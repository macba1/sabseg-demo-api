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hidePivotFieldList="1"/>
  <mc:AlternateContent xmlns:mc="http://schemas.openxmlformats.org/markup-compatibility/2006">
    <mc:Choice Requires="x15">
      <x15ac:absPath xmlns:x15ac="http://schemas.microsoft.com/office/spreadsheetml/2010/11/ac" url="https://brokerspartners.sharepoint.com/sites/Finanzas/Documentos compartidos/Controlling Comercial/00. REPORT/2026/01. ENERO/Estadisticas/01. Enero/"/>
    </mc:Choice>
  </mc:AlternateContent>
  <xr:revisionPtr revIDLastSave="64" documentId="8_{563F9197-BA70-4DA9-BAEC-ADEF08258C96}" xr6:coauthVersionLast="47" xr6:coauthVersionMax="47" xr10:uidLastSave="{1D79DDD2-410F-42C7-B704-BA5B6699EDB6}"/>
  <bookViews>
    <workbookView xWindow="-120" yWindow="-120" windowWidth="29040" windowHeight="15720" firstSheet="3" activeTab="3" xr2:uid="{AC9C8347-FAD0-48F6-AE62-0DE895465174}"/>
  </bookViews>
  <sheets>
    <sheet name="Instrucciones" sheetId="2" r:id="rId1"/>
    <sheet name="Descripción" sheetId="1" r:id="rId2"/>
    <sheet name="Modelo Datos" sheetId="3" r:id="rId3"/>
    <sheet name="TD" sheetId="6" r:id="rId4"/>
    <sheet name="Otros ingresos" sheetId="5" r:id="rId5"/>
    <sheet name="Validación Datos" sheetId="4" r:id="rId6"/>
    <sheet name="REPORT" sheetId="7" r:id="rId7"/>
  </sheets>
  <definedNames>
    <definedName name="_xlnm._FilterDatabase" localSheetId="2" hidden="1">'Modelo Datos'!$A$1:$AG$278</definedName>
  </definedNames>
  <calcPr calcId="191028" iterate="1"/>
  <pivotCaches>
    <pivotCache cacheId="3591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D11" i="6"/>
  <c r="E11" i="6"/>
  <c r="F11" i="6"/>
  <c r="B11" i="6"/>
  <c r="I14" i="6"/>
  <c r="J14" i="6"/>
  <c r="B6" i="4" l="1"/>
  <c r="B5" i="4"/>
  <c r="B7" i="4"/>
  <c r="B4" i="4"/>
</calcChain>
</file>

<file path=xl/sharedStrings.xml><?xml version="1.0" encoding="utf-8"?>
<sst xmlns="http://schemas.openxmlformats.org/spreadsheetml/2006/main" count="744" uniqueCount="317">
  <si>
    <t>INSRUCCIONES PARA LA CUMPLIMENTACIÓN DEL FICHERO MENSUAL DE RECIBOS</t>
  </si>
  <si>
    <r>
      <rPr>
        <b/>
        <sz val="11"/>
        <color theme="1"/>
        <rFont val="Aptos Narrow"/>
        <family val="2"/>
        <scheme val="minor"/>
      </rPr>
      <t>Fecha límite para la introducción de recibos</t>
    </r>
    <r>
      <rPr>
        <sz val="11"/>
        <color theme="1"/>
        <rFont val="Aptos Narrow"/>
        <family val="2"/>
        <scheme val="minor"/>
      </rPr>
      <t>: El día 6 del mes siguiente</t>
    </r>
  </si>
  <si>
    <r>
      <rPr>
        <b/>
        <sz val="11"/>
        <color theme="1"/>
        <rFont val="Aptos Narrow"/>
        <family val="2"/>
        <scheme val="minor"/>
      </rPr>
      <t xml:space="preserve">Fecha límite para enviar fichero: </t>
    </r>
    <r>
      <rPr>
        <sz val="11"/>
        <color theme="1"/>
        <rFont val="Aptos Narrow"/>
        <family val="2"/>
        <scheme val="minor"/>
      </rPr>
      <t>Día 7 de cada mes (o el siguiente laborable)</t>
    </r>
  </si>
  <si>
    <t>Requisitos información:</t>
  </si>
  <si>
    <t>- El periodo siempre es el acumulado del año en curso hasta el último día del mes anterior a la fecha de extracción</t>
  </si>
  <si>
    <t>- Rellenar la pestaña "Modelo Datos", con la siguiente información:</t>
  </si>
  <si>
    <t>- Recibos facturados en el periodo</t>
  </si>
  <si>
    <t>- Recibos anulados en el periodo (los importes de primas y comisiones multiplicar x -1)</t>
  </si>
  <si>
    <t>(Deberían aparecer todos los recibos anulados en el periodo en curso, incluso si estos recibos se facturaron en años anteriores)</t>
  </si>
  <si>
    <t>- Revisar en la pestaña "Validación de Datos" que las cifras resultantes de Primas y Comiones son correctas</t>
  </si>
  <si>
    <t xml:space="preserve"> - Rellenar pestaña otros ingresos: Honorarios y/o otras comisiones. (En caso de recibirlos.)</t>
  </si>
  <si>
    <t>- En caso de no disponer de algún campo, nos lo tendríais que comunicar</t>
  </si>
  <si>
    <r>
      <t xml:space="preserve">- Cambiar el nombre del fichero a: </t>
    </r>
    <r>
      <rPr>
        <b/>
        <sz val="11"/>
        <color theme="1"/>
        <rFont val="Aptos Narrow"/>
        <family val="2"/>
        <scheme val="minor"/>
      </rPr>
      <t>Nombre Correduria_yyyymm</t>
    </r>
  </si>
  <si>
    <t>(Eg: Sabseg_202506)</t>
  </si>
  <si>
    <t xml:space="preserve">- Enviar vía email el día 7 a: </t>
  </si>
  <si>
    <t>carles.saez@sabseg.com</t>
  </si>
  <si>
    <t xml:space="preserve">pere.torres@sabseg.com </t>
  </si>
  <si>
    <t>marc.anadon@sabseg.com</t>
  </si>
  <si>
    <t>MODELO DATOS</t>
  </si>
  <si>
    <t>DESCRIPCIÓN</t>
  </si>
  <si>
    <t>Num. Recibo Cía</t>
  </si>
  <si>
    <t>Número de recibo compañía</t>
  </si>
  <si>
    <t>Num. Recibo Interno</t>
  </si>
  <si>
    <t>Número de recibo interno (El que asigna al programa de gestión)</t>
  </si>
  <si>
    <t>Núm. Póliza Cía</t>
  </si>
  <si>
    <t>Número de póliza compañía</t>
  </si>
  <si>
    <t>Núm. Póliza Interno</t>
  </si>
  <si>
    <t>Número de póliza interno (El que asigna al programa de gestión)</t>
  </si>
  <si>
    <t>Fecha facturación</t>
  </si>
  <si>
    <t>Fecha de Facturación o emisión del recibo</t>
  </si>
  <si>
    <t>Fecha Efecto</t>
  </si>
  <si>
    <t>Fecha efecto recibo</t>
  </si>
  <si>
    <t>Producto</t>
  </si>
  <si>
    <t>Nombre de Producto</t>
  </si>
  <si>
    <t>Ramo</t>
  </si>
  <si>
    <t>Nombre de Ramo (con el mayor desglose posible, no ramo DGS)</t>
  </si>
  <si>
    <t>Prima neta</t>
  </si>
  <si>
    <t>Prima neta de póliza (sin impuestos)</t>
  </si>
  <si>
    <t>Comisión Bruta/Correduria</t>
  </si>
  <si>
    <t>Es la comsión total percibida, incluye sobrecomisión en recibo (si la hay)</t>
  </si>
  <si>
    <t>Comisión prima neta</t>
  </si>
  <si>
    <t>Comsión estándar de la póliza, sin la comsión adicional</t>
  </si>
  <si>
    <t>Comisión complementaria</t>
  </si>
  <si>
    <t>Comsión adicional, incluida en recibo</t>
  </si>
  <si>
    <t>Colaborador 1</t>
  </si>
  <si>
    <t>Indicar nombre de Colaborador / Auxiliar Externo 
Si es una venta Cruzada con otra correduria de Sabseg (póliza que le habeis emitido a la otra correduría), indicar como Colaborador a la otra correduría: "VC NOMBRE CORREDURIA"</t>
  </si>
  <si>
    <t>Póliza que habeis emitido a la otra correduría</t>
  </si>
  <si>
    <t>Colaborador 2</t>
  </si>
  <si>
    <t>Colaborador 3</t>
  </si>
  <si>
    <t>Comisión colaborador 1</t>
  </si>
  <si>
    <t>Comisión cedida al colaborador o auxiliar externo</t>
  </si>
  <si>
    <t>Comisión colaborador 2</t>
  </si>
  <si>
    <t>Comisión colaborador 3</t>
  </si>
  <si>
    <t>Fecha Liquidación Colaborador</t>
  </si>
  <si>
    <t>Fecha en las que se liquidan las comisiones al colaborador</t>
  </si>
  <si>
    <t>Tipo Recibo</t>
  </si>
  <si>
    <t>- Nueva Producción - Cartera - Sup. Cartera … (Las diferentes tipologías de  recibo que tengais en vuestro sistema)</t>
  </si>
  <si>
    <t>Empresa</t>
  </si>
  <si>
    <t>Nombre de vuestra correduria</t>
  </si>
  <si>
    <t>Compañía</t>
  </si>
  <si>
    <t>Aseguradora de la póliza</t>
  </si>
  <si>
    <t>Gestión</t>
  </si>
  <si>
    <t>Tipo de gestión/cobro: - Correduría - Compañía (Los diferentes tipos de gestión/cobro del  recibo/póliza que tengais en vuestro sistema)</t>
  </si>
  <si>
    <t>Duracion póliza</t>
  </si>
  <si>
    <t>Diferenciar por tipo de póliza. Renovable (Genera cartera) y temporales/únicas (No genera cartera).</t>
  </si>
  <si>
    <t>Situación</t>
  </si>
  <si>
    <t>- Cobrado - Liquidado - Pendiente - Anulado …. (Las diferentes situaciones del  recibo que tengais en vuestro sistema)</t>
  </si>
  <si>
    <t>Fecha devolución</t>
  </si>
  <si>
    <t xml:space="preserve">      Fechas de situación de los recibos</t>
  </si>
  <si>
    <t>Fecha de liquidación</t>
  </si>
  <si>
    <t>Fecha de cobro</t>
  </si>
  <si>
    <t>Fecha anulación</t>
  </si>
  <si>
    <t>Cliente NIF</t>
  </si>
  <si>
    <t>NIF del cliente</t>
  </si>
  <si>
    <t>Cliente Nombre</t>
  </si>
  <si>
    <t>Nombre del cliente o tomador</t>
  </si>
  <si>
    <t>Tipo Cliente</t>
  </si>
  <si>
    <t>Particular  /  Empresa (o Persona Física / Persona Jurídica)</t>
  </si>
  <si>
    <t>Cliente CP</t>
  </si>
  <si>
    <t>Código Postal</t>
  </si>
  <si>
    <t>OTROS INGRESOS</t>
  </si>
  <si>
    <t>Honorarios</t>
  </si>
  <si>
    <t xml:space="preserve">Honorarios percibidos </t>
  </si>
  <si>
    <t>Cesiones Honorarios</t>
  </si>
  <si>
    <t>Cesiones a colaboradores de los honorarios percibidos</t>
  </si>
  <si>
    <t>Otras comisiones</t>
  </si>
  <si>
    <t>Otras comisiones percibidas por mediación de seguros (colaborador de otra correduria, que no sea  SABSEG.)</t>
  </si>
  <si>
    <t>Cesiones Otras comisiones</t>
  </si>
  <si>
    <t>Cesiones a colaboradores de otras comisiones</t>
  </si>
  <si>
    <t>Núm. Recibo Interno</t>
  </si>
  <si>
    <t>Comisión Bruta</t>
  </si>
  <si>
    <t>INSESP0552-1</t>
  </si>
  <si>
    <t>Arte</t>
  </si>
  <si>
    <t>Poolsegur</t>
  </si>
  <si>
    <t>Insurart</t>
  </si>
  <si>
    <t>Liberty</t>
  </si>
  <si>
    <t>14714347M</t>
  </si>
  <si>
    <t>José María Martínez Zabalgoitia</t>
  </si>
  <si>
    <t>INSESP0562</t>
  </si>
  <si>
    <t>Aon</t>
  </si>
  <si>
    <t>S2828013I</t>
  </si>
  <si>
    <t>Museo Nacional de Antropología</t>
  </si>
  <si>
    <t>INSESP0563</t>
  </si>
  <si>
    <t>P2807900B</t>
  </si>
  <si>
    <t>Ayuntamiento de Madrid</t>
  </si>
  <si>
    <t>INSESP0564</t>
  </si>
  <si>
    <t>Howden</t>
  </si>
  <si>
    <t>B83818823</t>
  </si>
  <si>
    <t>Olivarera La Corchuera</t>
  </si>
  <si>
    <t>INSESP0565</t>
  </si>
  <si>
    <t>INSESP0567</t>
  </si>
  <si>
    <t>S2816021F</t>
  </si>
  <si>
    <t>Oficialia Mayor, Ministerio del Interior</t>
  </si>
  <si>
    <t>INSESP0568</t>
  </si>
  <si>
    <t>Marta Navarro</t>
  </si>
  <si>
    <t>G50000652</t>
  </si>
  <si>
    <t>Fundación Ibercaja</t>
  </si>
  <si>
    <t>INSESP0569</t>
  </si>
  <si>
    <t>B82627548</t>
  </si>
  <si>
    <t>LA FÁBRICA-GESTIÓN + CULTURA, S.L.</t>
  </si>
  <si>
    <t>INSESP0569-1</t>
  </si>
  <si>
    <t xml:space="preserve"> -   </t>
  </si>
  <si>
    <t>INSESP0570</t>
  </si>
  <si>
    <t>Baulenas</t>
  </si>
  <si>
    <t>P0704000I</t>
  </si>
  <si>
    <t>Negociat Espais d'Art-Ajuntament de Palma</t>
  </si>
  <si>
    <t>INSESP0570-1</t>
  </si>
  <si>
    <t>INSESP0571</t>
  </si>
  <si>
    <t>50795127H</t>
  </si>
  <si>
    <t>Fernando Maldonado Muguiro</t>
  </si>
  <si>
    <t>INSESP0572</t>
  </si>
  <si>
    <t>INSESP0574</t>
  </si>
  <si>
    <t>Howden RS</t>
  </si>
  <si>
    <t>R2800395B</t>
  </si>
  <si>
    <t>Universidad Pontificia de Comillas</t>
  </si>
  <si>
    <t>INSESP0575</t>
  </si>
  <si>
    <t>INSESP0576</t>
  </si>
  <si>
    <t>G47463823</t>
  </si>
  <si>
    <t>Fundación Siglo para el Turismo y las Artes de Castilla y León</t>
  </si>
  <si>
    <t>INSESP0577</t>
  </si>
  <si>
    <t>50298800P</t>
  </si>
  <si>
    <t>Manuel Laffón Parias</t>
  </si>
  <si>
    <t>INSESP0578</t>
  </si>
  <si>
    <t>50308033H</t>
  </si>
  <si>
    <t>Luís Carlos Ruspoli Sanchíz</t>
  </si>
  <si>
    <t>INSESP0579</t>
  </si>
  <si>
    <t>Lumos</t>
  </si>
  <si>
    <t>02022741Y</t>
  </si>
  <si>
    <t>Teresa Roca de Togores de Bustos</t>
  </si>
  <si>
    <t>INSESP0580</t>
  </si>
  <si>
    <t>51100577M</t>
  </si>
  <si>
    <t>María Pia Capriles López</t>
  </si>
  <si>
    <t>INSESP0581</t>
  </si>
  <si>
    <t>Q2818029G</t>
  </si>
  <si>
    <t>Universidad Carlos III de Madrid</t>
  </si>
  <si>
    <t>INSESP0582</t>
  </si>
  <si>
    <t>B75756809</t>
  </si>
  <si>
    <t>Arma Gallery SL</t>
  </si>
  <si>
    <t>INSESP0583</t>
  </si>
  <si>
    <t>Q2818002D</t>
  </si>
  <si>
    <t>Museo Nacional de Ciencias Naturales</t>
  </si>
  <si>
    <t>INSESP0584</t>
  </si>
  <si>
    <t>Q4578003H</t>
  </si>
  <si>
    <t>Museo del Greco</t>
  </si>
  <si>
    <t>INSESP0585</t>
  </si>
  <si>
    <t>B84061894</t>
  </si>
  <si>
    <t>Jose de la Mano Galería de Arte, S.L.</t>
  </si>
  <si>
    <t>INSESP0586</t>
  </si>
  <si>
    <t>S2800239B</t>
  </si>
  <si>
    <t>Subdirección General de Artes Visuales y Creación Contemporánea</t>
  </si>
  <si>
    <t>INSESP0587</t>
  </si>
  <si>
    <t>Q0700733I</t>
  </si>
  <si>
    <t>Institut d'Estudis Baleàrics del Consell Insular de Mallorca</t>
  </si>
  <si>
    <t>INSESP0588</t>
  </si>
  <si>
    <t>00224577M</t>
  </si>
  <si>
    <t>Álvaro Fernández-Villaverde y Silva</t>
  </si>
  <si>
    <t>INSESP0589</t>
  </si>
  <si>
    <t>INSESP0591</t>
  </si>
  <si>
    <t>Ricardo Sánchez-Arévalo</t>
  </si>
  <si>
    <t>G30010185</t>
  </si>
  <si>
    <t>Fundación Cajamurcia Centro Cultural Las Claras</t>
  </si>
  <si>
    <t>INSESP0498-1</t>
  </si>
  <si>
    <t>Museo Nacional y Centro de Investigación Altamira</t>
  </si>
  <si>
    <t>INSESP0524-2</t>
  </si>
  <si>
    <t>INSESP0540-1</t>
  </si>
  <si>
    <t>Subdirección General de Museo Estatales. Ministerio de Cultura y Deporte</t>
  </si>
  <si>
    <t>INSESP0520-1</t>
  </si>
  <si>
    <t>B23906464</t>
  </si>
  <si>
    <t>Sutherland Fine Art Handling</t>
  </si>
  <si>
    <t>INSESP0512-1</t>
  </si>
  <si>
    <t>Q2868026B</t>
  </si>
  <si>
    <t>Museo Lázaro Galdiano</t>
  </si>
  <si>
    <t>INSESP0534-1</t>
  </si>
  <si>
    <t>Jhasa</t>
  </si>
  <si>
    <t>A75431619</t>
  </si>
  <si>
    <t>Centro de Valores PV S.A.</t>
  </si>
  <si>
    <t>INSESP0534-2</t>
  </si>
  <si>
    <t>INSESP0419-3</t>
  </si>
  <si>
    <t>00229171E</t>
  </si>
  <si>
    <t>Rafael Fernández de Córdoba Esteban</t>
  </si>
  <si>
    <t>INSESP0569-2</t>
  </si>
  <si>
    <t>INSESP0569-3</t>
  </si>
  <si>
    <t>INSESP0578-1</t>
  </si>
  <si>
    <t>INSESP0580-1</t>
  </si>
  <si>
    <t>INSESP0582-1</t>
  </si>
  <si>
    <t>INSESP0585-1</t>
  </si>
  <si>
    <t>INSESP0587-1</t>
  </si>
  <si>
    <t>INSESP0587-2</t>
  </si>
  <si>
    <t>INSESP0592</t>
  </si>
  <si>
    <t>P5890006I</t>
  </si>
  <si>
    <t>Instituto de Cultura de Barcelona (Departamento de Festes)</t>
  </si>
  <si>
    <t>INSESP0593</t>
  </si>
  <si>
    <t>Varela y Ayala</t>
  </si>
  <si>
    <t>B56513757</t>
  </si>
  <si>
    <t>Global Marcio, S.L.</t>
  </si>
  <si>
    <t>INSESP0594</t>
  </si>
  <si>
    <t>INSESP0596</t>
  </si>
  <si>
    <t>Bureau</t>
  </si>
  <si>
    <t>G85460020</t>
  </si>
  <si>
    <t>Fundación Álvaro de Bazán</t>
  </si>
  <si>
    <t>INSESP0597</t>
  </si>
  <si>
    <t>INSESP0599</t>
  </si>
  <si>
    <t>Acorn</t>
  </si>
  <si>
    <t>A28489441</t>
  </si>
  <si>
    <t>Los Hornillos</t>
  </si>
  <si>
    <t>INSESP0600</t>
  </si>
  <si>
    <t>INSESP0601</t>
  </si>
  <si>
    <t>B08694523</t>
  </si>
  <si>
    <t>WARNER MUSIC SPAIN, S.L</t>
  </si>
  <si>
    <t>INSESP0602</t>
  </si>
  <si>
    <t>A65782807</t>
  </si>
  <si>
    <t>AGRUPACIO AMCI SEGUROS Y REASEGUROS</t>
  </si>
  <si>
    <t>INSESP0602-1</t>
  </si>
  <si>
    <t>INSESP0603</t>
  </si>
  <si>
    <t>Asterra</t>
  </si>
  <si>
    <t>P3003000A</t>
  </si>
  <si>
    <t>Ayuntamiento de Murcia</t>
  </si>
  <si>
    <t>INSESP0604</t>
  </si>
  <si>
    <t>B87760542</t>
  </si>
  <si>
    <t>Refiki, S.L.</t>
  </si>
  <si>
    <t>INSESP0605</t>
  </si>
  <si>
    <t>Marsh</t>
  </si>
  <si>
    <t>P2004900C</t>
  </si>
  <si>
    <t>Ayuntamiento de Irun</t>
  </si>
  <si>
    <t>INSESP0606</t>
  </si>
  <si>
    <t>00797930Z</t>
  </si>
  <si>
    <t>Joaquín Torrente García de la Mata</t>
  </si>
  <si>
    <t>INSESP0607</t>
  </si>
  <si>
    <t>INSESP0609</t>
  </si>
  <si>
    <t>50783660M</t>
  </si>
  <si>
    <t>Isabel Argüelles Salavierra</t>
  </si>
  <si>
    <t>INSESP0610</t>
  </si>
  <si>
    <t>INSESP0612</t>
  </si>
  <si>
    <t>G28474898</t>
  </si>
  <si>
    <t>UGT CEC</t>
  </si>
  <si>
    <t>INSESP0613</t>
  </si>
  <si>
    <t>Q1300474B</t>
  </si>
  <si>
    <t>Museo Nacional de Artes Escénicas</t>
  </si>
  <si>
    <t>INSESP0614</t>
  </si>
  <si>
    <t>INSESP0615</t>
  </si>
  <si>
    <t>INSESP0615-1</t>
  </si>
  <si>
    <t>INSESP0616</t>
  </si>
  <si>
    <t>00815961J</t>
  </si>
  <si>
    <t>María Paloma Ruíz de la Prada Mac-Crohon</t>
  </si>
  <si>
    <t>INSESP0617</t>
  </si>
  <si>
    <t>B61789491</t>
  </si>
  <si>
    <t>Trifusió Projects Culturals S.L.</t>
  </si>
  <si>
    <t>INSESP0618</t>
  </si>
  <si>
    <t>Baylin</t>
  </si>
  <si>
    <t>01464915E</t>
  </si>
  <si>
    <t>Maria Teresa Cruz-Conde Jiménez</t>
  </si>
  <si>
    <t>INSESP0619</t>
  </si>
  <si>
    <t>MARIMON BUENDIA Y CARRANZA, C.SS.L.</t>
  </si>
  <si>
    <t>47724606C</t>
  </si>
  <si>
    <t>LUIS FERRER JARA
LUIS FERRER JARA
LUIS FERRER JARA</t>
  </si>
  <si>
    <t>Etiquetas de fila</t>
  </si>
  <si>
    <t>Suma de Prima neta</t>
  </si>
  <si>
    <t>Suma de Comisión Bruta</t>
  </si>
  <si>
    <t>Suma de Comisión prima neta</t>
  </si>
  <si>
    <t>Suma de Comisión complementaria</t>
  </si>
  <si>
    <t>Suma de Comisión colaborador 1</t>
  </si>
  <si>
    <t>€' 000</t>
  </si>
  <si>
    <t>Real</t>
  </si>
  <si>
    <t>Comisiones Brutas YTD R</t>
  </si>
  <si>
    <t>Total general</t>
  </si>
  <si>
    <t>M-1</t>
  </si>
  <si>
    <t>Meses (Fecha facturación)</t>
  </si>
  <si>
    <t>dic</t>
  </si>
  <si>
    <t>MES ACTUAL</t>
  </si>
  <si>
    <t>Ajustes</t>
  </si>
  <si>
    <t xml:space="preserve">Arte </t>
  </si>
  <si>
    <t>la montse no tiene cesiones</t>
  </si>
  <si>
    <t>ene</t>
  </si>
  <si>
    <t>feb</t>
  </si>
  <si>
    <t>INDICAR DETALLE DE OTROS INGRESOS DURANTE EL PERIODO</t>
  </si>
  <si>
    <t>(Honorarios (SIN IVA), comisiones como colaborador de otras corredurias..)</t>
  </si>
  <si>
    <t>RAMO</t>
  </si>
  <si>
    <t>Mes</t>
  </si>
  <si>
    <t>Cesión Honorarios</t>
  </si>
  <si>
    <t>Cesiones 
Otras Comsiones</t>
  </si>
  <si>
    <t>Total</t>
  </si>
  <si>
    <t>VALIDACIÓN DATOS</t>
  </si>
  <si>
    <t>IMPORTES ACUMULADOS</t>
  </si>
  <si>
    <t>Primas Netas</t>
  </si>
  <si>
    <t>Comsiones Brutas</t>
  </si>
  <si>
    <t>Comisión P. Neta</t>
  </si>
  <si>
    <t>Comsión Colaborador</t>
  </si>
  <si>
    <t>Verificar que las cifras acumuladas son correctas</t>
  </si>
  <si>
    <t>empresa</t>
  </si>
  <si>
    <t>TIPO_DATO</t>
  </si>
  <si>
    <t>Equivalencia</t>
  </si>
  <si>
    <t>area</t>
  </si>
  <si>
    <t>Cliente</t>
  </si>
  <si>
    <t>Entidad Aseguradora</t>
  </si>
  <si>
    <t>Venta cruzada</t>
  </si>
  <si>
    <t>Total Comisión</t>
  </si>
  <si>
    <t>Generales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</si>
</sst>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\ &quot;€&quot;"/>
    <numFmt numFmtId="165" formatCode="00000"/>
    <numFmt numFmtId="166" formatCode="#,##0,_);\(#,##0,\);\-_);@_)"/>
  </numFmts>
  <fonts count="13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0"/>
      <name val="Arial"/>
      <family val="2"/>
    </font>
    <font>
      <b/>
      <sz val="11"/>
      <color theme="4"/>
      <name val="Aptos Narrow"/>
      <family val="2"/>
      <scheme val="minor"/>
    </font>
    <font>
      <b/>
      <i/>
      <sz val="10"/>
      <color theme="1"/>
      <name val="Aptos Narrow"/>
      <family val="2"/>
      <scheme val="minor"/>
    </font>
    <font>
      <sz val="9"/>
      <color theme="0"/>
      <name val="Courier New"/>
      <family val="3"/>
    </font>
    <font>
      <u/>
      <sz val="11"/>
      <color theme="1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rgb="FF000000"/>
      <name val="Calibri"/>
      <family val="2"/>
    </font>
    <font>
      <sz val="9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3" tint="0.499984740745262"/>
      </left>
      <right style="thin">
        <color theme="3" tint="0.499984740745262"/>
      </right>
      <top style="thin">
        <color theme="3" tint="0.499984740745262"/>
      </top>
      <bottom style="thin">
        <color theme="3" tint="0.499984740745262"/>
      </bottom>
      <diagonal/>
    </border>
    <border>
      <left/>
      <right/>
      <top style="thin">
        <color theme="3" tint="0.499984740745262"/>
      </top>
      <bottom/>
      <diagonal/>
    </border>
    <border>
      <left/>
      <right/>
      <top/>
      <bottom style="thin">
        <color theme="3" tint="0.499984740745262"/>
      </bottom>
      <diagonal/>
    </border>
    <border>
      <left/>
      <right style="thin">
        <color theme="7"/>
      </right>
      <top style="thin">
        <color theme="3" tint="0.499984740745262"/>
      </top>
      <bottom/>
      <diagonal/>
    </border>
    <border>
      <left/>
      <right style="thin">
        <color theme="7"/>
      </right>
      <top/>
      <bottom/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0"/>
      </left>
      <right/>
      <top/>
      <bottom/>
      <diagonal/>
    </border>
    <border>
      <left style="medium">
        <color theme="4" tint="0.39997558519241921"/>
      </left>
      <right style="medium">
        <color theme="4" tint="0.39997558519241921"/>
      </right>
      <top style="medium">
        <color theme="4" tint="0.39997558519241921"/>
      </top>
      <bottom style="medium">
        <color theme="4" tint="0.3999755851924192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70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 indent="2"/>
    </xf>
    <xf numFmtId="0" fontId="0" fillId="0" borderId="0" xfId="0" quotePrefix="1" applyAlignment="1">
      <alignment horizontal="left" vertical="center" wrapText="1" indent="2"/>
    </xf>
    <xf numFmtId="0" fontId="0" fillId="0" borderId="0" xfId="0" applyAlignment="1">
      <alignment horizontal="left" indent="2"/>
    </xf>
    <xf numFmtId="2" fontId="3" fillId="2" borderId="1" xfId="0" applyNumberFormat="1" applyFont="1" applyFill="1" applyBorder="1" applyAlignment="1">
      <alignment horizontal="left" vertical="center" wrapText="1" indent="2"/>
    </xf>
    <xf numFmtId="2" fontId="3" fillId="3" borderId="1" xfId="0" applyNumberFormat="1" applyFont="1" applyFill="1" applyBorder="1" applyAlignment="1">
      <alignment horizontal="left" vertical="center" wrapText="1" indent="2"/>
    </xf>
    <xf numFmtId="0" fontId="4" fillId="0" borderId="0" xfId="0" applyFont="1" applyAlignment="1">
      <alignment horizontal="left" indent="2"/>
    </xf>
    <xf numFmtId="0" fontId="0" fillId="4" borderId="0" xfId="0" applyFill="1"/>
    <xf numFmtId="0" fontId="0" fillId="4" borderId="0" xfId="0" quotePrefix="1" applyFill="1"/>
    <xf numFmtId="0" fontId="0" fillId="4" borderId="3" xfId="0" applyFill="1" applyBorder="1"/>
    <xf numFmtId="0" fontId="1" fillId="2" borderId="0" xfId="0" applyFont="1" applyFill="1" applyAlignment="1">
      <alignment horizontal="center"/>
    </xf>
    <xf numFmtId="164" fontId="2" fillId="0" borderId="2" xfId="0" applyNumberFormat="1" applyFont="1" applyBorder="1"/>
    <xf numFmtId="0" fontId="4" fillId="5" borderId="2" xfId="0" applyFont="1" applyFill="1" applyBorder="1"/>
    <xf numFmtId="0" fontId="5" fillId="0" borderId="0" xfId="0" applyFont="1"/>
    <xf numFmtId="2" fontId="3" fillId="2" borderId="1" xfId="0" applyNumberFormat="1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14" fontId="6" fillId="0" borderId="0" xfId="0" applyNumberFormat="1" applyFont="1"/>
    <xf numFmtId="14" fontId="0" fillId="0" borderId="0" xfId="0" applyNumberFormat="1" applyAlignment="1" applyProtection="1">
      <alignment horizontal="center"/>
      <protection locked="0"/>
    </xf>
    <xf numFmtId="0" fontId="0" fillId="4" borderId="5" xfId="0" applyFill="1" applyBorder="1"/>
    <xf numFmtId="0" fontId="0" fillId="4" borderId="6" xfId="0" applyFill="1" applyBorder="1"/>
    <xf numFmtId="0" fontId="8" fillId="4" borderId="0" xfId="0" applyFont="1" applyFill="1"/>
    <xf numFmtId="0" fontId="0" fillId="4" borderId="0" xfId="0" quotePrefix="1" applyFill="1" applyAlignment="1">
      <alignment vertical="center"/>
    </xf>
    <xf numFmtId="0" fontId="7" fillId="4" borderId="0" xfId="1" applyFill="1"/>
    <xf numFmtId="0" fontId="0" fillId="4" borderId="7" xfId="0" applyFill="1" applyBorder="1"/>
    <xf numFmtId="0" fontId="7" fillId="4" borderId="7" xfId="1" applyFill="1" applyBorder="1"/>
    <xf numFmtId="0" fontId="0" fillId="4" borderId="8" xfId="0" applyFill="1" applyBorder="1"/>
    <xf numFmtId="0" fontId="0" fillId="0" borderId="0" xfId="0" applyAlignment="1" applyProtection="1">
      <alignment wrapText="1"/>
      <protection locked="0"/>
    </xf>
    <xf numFmtId="14" fontId="0" fillId="0" borderId="0" xfId="0" applyNumberFormat="1" applyProtection="1">
      <protection locked="0"/>
    </xf>
    <xf numFmtId="14" fontId="0" fillId="0" borderId="0" xfId="0" applyNumberFormat="1" applyAlignment="1" applyProtection="1">
      <alignment wrapText="1"/>
      <protection locked="0"/>
    </xf>
    <xf numFmtId="0" fontId="0" fillId="6" borderId="0" xfId="0" applyFill="1" applyAlignment="1" applyProtection="1">
      <alignment wrapText="1"/>
      <protection locked="0"/>
    </xf>
    <xf numFmtId="0" fontId="0" fillId="0" borderId="6" xfId="0" applyBorder="1"/>
    <xf numFmtId="2" fontId="3" fillId="7" borderId="1" xfId="0" applyNumberFormat="1" applyFont="1" applyFill="1" applyBorder="1" applyAlignment="1">
      <alignment horizontal="center" vertical="center" wrapText="1"/>
    </xf>
    <xf numFmtId="2" fontId="3" fillId="8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left" vertical="center" wrapText="1" indent="2"/>
    </xf>
    <xf numFmtId="2" fontId="3" fillId="8" borderId="1" xfId="0" applyNumberFormat="1" applyFont="1" applyFill="1" applyBorder="1" applyAlignment="1">
      <alignment horizontal="left" vertical="center" wrapText="1" indent="2"/>
    </xf>
    <xf numFmtId="0" fontId="2" fillId="8" borderId="1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11" fillId="0" borderId="11" xfId="0" applyFont="1" applyBorder="1" applyAlignment="1">
      <alignment vertical="center"/>
    </xf>
    <xf numFmtId="0" fontId="12" fillId="0" borderId="0" xfId="0" applyFont="1"/>
    <xf numFmtId="43" fontId="11" fillId="0" borderId="11" xfId="2" applyFont="1" applyFill="1" applyBorder="1" applyAlignment="1">
      <alignment horizontal="right" vertical="center"/>
    </xf>
    <xf numFmtId="14" fontId="0" fillId="0" borderId="0" xfId="0" applyNumberFormat="1"/>
    <xf numFmtId="4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2" fillId="9" borderId="12" xfId="0" applyFont="1" applyFill="1" applyBorder="1"/>
    <xf numFmtId="0" fontId="2" fillId="9" borderId="13" xfId="0" applyFont="1" applyFill="1" applyBorder="1" applyAlignment="1">
      <alignment horizontal="left"/>
    </xf>
    <xf numFmtId="0" fontId="2" fillId="9" borderId="13" xfId="0" applyFont="1" applyFill="1" applyBorder="1"/>
    <xf numFmtId="0" fontId="2" fillId="0" borderId="0" xfId="0" applyFont="1"/>
    <xf numFmtId="43" fontId="0" fillId="0" borderId="0" xfId="0" applyNumberFormat="1"/>
    <xf numFmtId="14" fontId="11" fillId="0" borderId="11" xfId="0" applyNumberFormat="1" applyFont="1" applyBorder="1" applyAlignment="1">
      <alignment horizontal="right" vertical="center"/>
    </xf>
    <xf numFmtId="0" fontId="11" fillId="0" borderId="11" xfId="0" applyFont="1" applyBorder="1"/>
    <xf numFmtId="0" fontId="11" fillId="0" borderId="14" xfId="0" applyFont="1" applyBorder="1"/>
    <xf numFmtId="14" fontId="11" fillId="0" borderId="11" xfId="0" applyNumberFormat="1" applyFont="1" applyBorder="1"/>
    <xf numFmtId="14" fontId="11" fillId="0" borderId="14" xfId="0" applyNumberFormat="1" applyFont="1" applyBorder="1"/>
    <xf numFmtId="165" fontId="11" fillId="0" borderId="11" xfId="0" applyNumberFormat="1" applyFont="1" applyBorder="1" applyAlignment="1">
      <alignment vertical="center"/>
    </xf>
    <xf numFmtId="0" fontId="1" fillId="10" borderId="0" xfId="0" applyFont="1" applyFill="1" applyAlignment="1">
      <alignment horizontal="left"/>
    </xf>
    <xf numFmtId="166" fontId="1" fillId="10" borderId="0" xfId="0" applyNumberFormat="1" applyFont="1" applyFill="1" applyAlignment="1">
      <alignment horizontal="left"/>
    </xf>
    <xf numFmtId="4" fontId="0" fillId="0" borderId="0" xfId="0" applyNumberFormat="1" applyAlignment="1">
      <alignment horizontal="left"/>
    </xf>
    <xf numFmtId="4" fontId="0" fillId="0" borderId="0" xfId="0" applyNumberFormat="1"/>
    <xf numFmtId="4" fontId="2" fillId="0" borderId="12" xfId="0" applyNumberFormat="1" applyFont="1" applyBorder="1" applyAlignment="1">
      <alignment horizontal="left"/>
    </xf>
    <xf numFmtId="165" fontId="0" fillId="0" borderId="0" xfId="0" applyNumberFormat="1" applyProtection="1">
      <protection locked="0"/>
    </xf>
    <xf numFmtId="165" fontId="0" fillId="0" borderId="0" xfId="0" applyNumberFormat="1" applyAlignment="1" applyProtection="1">
      <alignment wrapText="1"/>
      <protection locked="0"/>
    </xf>
    <xf numFmtId="0" fontId="1" fillId="2" borderId="4" xfId="0" applyFont="1" applyFill="1" applyBorder="1" applyAlignment="1">
      <alignment horizontal="center"/>
    </xf>
    <xf numFmtId="0" fontId="0" fillId="0" borderId="9" xfId="0" quotePrefix="1" applyBorder="1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3">
    <cellStyle name="Hipervínculo" xfId="1" builtinId="8"/>
    <cellStyle name="Millares" xfId="2" builtinId="3"/>
    <cellStyle name="Normal" xfId="0" builtinId="0"/>
  </cellStyles>
  <dxfs count="3">
    <dxf>
      <numFmt numFmtId="35" formatCode="_-* #,##0.00_-;\-* #,##0.00_-;_-* &quot;-&quot;??_-;_-@_-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8659</xdr:colOff>
      <xdr:row>1</xdr:row>
      <xdr:rowOff>76893</xdr:rowOff>
    </xdr:from>
    <xdr:to>
      <xdr:col>3</xdr:col>
      <xdr:colOff>745721</xdr:colOff>
      <xdr:row>3</xdr:row>
      <xdr:rowOff>97911</xdr:rowOff>
    </xdr:to>
    <xdr:pic>
      <xdr:nvPicPr>
        <xdr:cNvPr id="2" name="GrÃ¡fico 3">
          <a:extLst>
            <a:ext uri="{FF2B5EF4-FFF2-40B4-BE49-F238E27FC236}">
              <a16:creationId xmlns:a16="http://schemas.microsoft.com/office/drawing/2014/main" id="{5F8F1978-E350-5A4F-D294-1EA33D152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977" y="258734"/>
          <a:ext cx="1883872" cy="3885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90.774942824071" createdVersion="8" refreshedVersion="8" minRefreshableVersion="3" recordCount="13242" xr:uid="{07F5742A-7DF6-46D9-BC27-CFED4A4CFEBD}">
  <cacheSource type="worksheet">
    <worksheetSource ref="A1:AG1048576" sheet="Modelo Datos"/>
  </cacheSource>
  <cacheFields count="35">
    <cacheField name="Num. Recibo Cía" numFmtId="0">
      <sharedItems containsNonDate="0" containsString="0" containsBlank="1"/>
    </cacheField>
    <cacheField name="Núm. Recibo Interno" numFmtId="0">
      <sharedItems containsNonDate="0" containsString="0" containsBlank="1"/>
    </cacheField>
    <cacheField name="Núm. Póliza Cía" numFmtId="0">
      <sharedItems containsBlank="1"/>
    </cacheField>
    <cacheField name="Núm. Póliza Interno" numFmtId="0">
      <sharedItems containsNonDate="0" containsString="0" containsBlank="1"/>
    </cacheField>
    <cacheField name="Fecha facturación" numFmtId="0">
      <sharedItems containsNonDate="0" containsDate="1" containsString="0" containsBlank="1" minDate="2025-01-01T00:00:00" maxDate="2026-02-28T00:00:00" count="39">
        <d v="2026-01-12T00:00:00"/>
        <d v="2026-01-14T00:00:00"/>
        <d v="2026-01-15T00:00:00"/>
        <d v="2026-01-16T00:00:00"/>
        <d v="2026-01-28T00:00:00"/>
        <d v="2026-01-20T00:00:00"/>
        <d v="2026-01-19T00:00:00"/>
        <d v="2026-01-21T00:00:00"/>
        <d v="2026-01-22T00:00:00"/>
        <d v="2026-01-27T00:00:00"/>
        <d v="2026-01-29T00:00:00"/>
        <d v="2026-01-30T00:00:00"/>
        <d v="2026-02-01T00:00:00"/>
        <d v="2026-02-04T00:00:00"/>
        <d v="2026-02-11T00:00:00"/>
        <d v="2026-02-23T00:00:00"/>
        <d v="2026-02-05T00:00:00"/>
        <d v="2026-02-20T00:00:00"/>
        <d v="2026-02-02T00:00:00"/>
        <d v="2026-02-09T00:00:00"/>
        <d v="2026-02-24T00:00:00"/>
        <d v="2026-02-13T00:00:00"/>
        <d v="2026-02-16T00:00:00"/>
        <d v="2026-02-19T00:00:00"/>
        <d v="2026-02-25T00:00:00"/>
        <d v="2026-02-27T00:00:00"/>
        <m/>
        <d v="2025-01-01T00:00:00" u="1"/>
        <d v="2025-02-01T00:00:00" u="1"/>
        <d v="2025-03-01T00:00:00" u="1"/>
        <d v="2025-04-01T00:00:00" u="1"/>
        <d v="2025-05-01T00:00:00" u="1"/>
        <d v="2025-06-01T00:00:00" u="1"/>
        <d v="2025-07-01T00:00:00" u="1"/>
        <d v="2025-08-01T00:00:00" u="1"/>
        <d v="2025-09-01T00:00:00" u="1"/>
        <d v="2025-10-01T00:00:00" u="1"/>
        <d v="2025-11-01T00:00:00" u="1"/>
        <d v="2025-12-01T00:00:00" u="1"/>
      </sharedItems>
      <fieldGroup par="34"/>
    </cacheField>
    <cacheField name="Fecha Efecto" numFmtId="0">
      <sharedItems containsNonDate="0" containsDate="1" containsString="0" containsBlank="1" minDate="2025-04-25T00:00:00" maxDate="2026-03-07T00:00:00"/>
    </cacheField>
    <cacheField name="Producto" numFmtId="0">
      <sharedItems containsBlank="1" count="2">
        <s v="Arte"/>
        <m/>
      </sharedItems>
    </cacheField>
    <cacheField name="Ramo" numFmtId="0">
      <sharedItems containsBlank="1"/>
    </cacheField>
    <cacheField name="Prima neta" numFmtId="0">
      <sharedItems containsBlank="1" containsMixedTypes="1" containsNumber="1" minValue="-27816.69" maxValue="27816.69"/>
    </cacheField>
    <cacheField name="Comisión Bruta" numFmtId="0">
      <sharedItems containsBlank="1" containsMixedTypes="1" containsNumber="1" minValue="-10431.258749999999" maxValue="10431.258749999999"/>
    </cacheField>
    <cacheField name="Comisión prima neta" numFmtId="0">
      <sharedItems containsBlank="1" containsMixedTypes="1" containsNumber="1" minValue="-10431.258749999999" maxValue="10431.258749999999"/>
    </cacheField>
    <cacheField name="Comisión complementaria" numFmtId="0">
      <sharedItems containsNonDate="0" containsString="0" containsBlank="1"/>
    </cacheField>
    <cacheField name="Colaborador 1" numFmtId="0">
      <sharedItems containsBlank="1"/>
    </cacheField>
    <cacheField name="Colaborador 2" numFmtId="0">
      <sharedItems containsNonDate="0" containsString="0" containsBlank="1"/>
    </cacheField>
    <cacheField name="Colaborador 3" numFmtId="0">
      <sharedItems containsNonDate="0" containsString="0" containsBlank="1"/>
    </cacheField>
    <cacheField name="Comisión colaborador 1" numFmtId="0">
      <sharedItems containsBlank="1" containsMixedTypes="1" containsNumber="1" minValue="-6954.1724999999997" maxValue="6954.1724999999997"/>
    </cacheField>
    <cacheField name="Comisión colaborador 2" numFmtId="0">
      <sharedItems containsNonDate="0" containsString="0" containsBlank="1"/>
    </cacheField>
    <cacheField name="Comisión colaborador 3" numFmtId="0">
      <sharedItems containsNonDate="0" containsString="0" containsBlank="1"/>
    </cacheField>
    <cacheField name="Fecha Liquidación Colaborador" numFmtId="0">
      <sharedItems containsNonDate="0" containsString="0" containsBlank="1"/>
    </cacheField>
    <cacheField name="Tipo Recibo" numFmtId="0">
      <sharedItems containsNonDate="0" containsString="0" containsBlank="1"/>
    </cacheField>
    <cacheField name="Empresa" numFmtId="0">
      <sharedItems containsBlank="1"/>
    </cacheField>
    <cacheField name="Compañía" numFmtId="0">
      <sharedItems containsBlank="1"/>
    </cacheField>
    <cacheField name="Gestión" numFmtId="0">
      <sharedItems containsNonDate="0" containsString="0" containsBlank="1"/>
    </cacheField>
    <cacheField name="Duracion póliza" numFmtId="0">
      <sharedItems containsNonDate="0" containsString="0" containsBlank="1"/>
    </cacheField>
    <cacheField name="Situación" numFmtId="0">
      <sharedItems containsNonDate="0" containsString="0" containsBlank="1"/>
    </cacheField>
    <cacheField name="Fecha devolución" numFmtId="0">
      <sharedItems containsNonDate="0" containsString="0" containsBlank="1"/>
    </cacheField>
    <cacheField name="Fecha de liquidación" numFmtId="0">
      <sharedItems containsNonDate="0" containsString="0" containsBlank="1"/>
    </cacheField>
    <cacheField name="Fecha de cobro" numFmtId="0">
      <sharedItems containsNonDate="0" containsString="0" containsBlank="1"/>
    </cacheField>
    <cacheField name="Fecha anulación" numFmtId="0">
      <sharedItems containsNonDate="0" containsString="0" containsBlank="1"/>
    </cacheField>
    <cacheField name="Cliente NIF" numFmtId="0">
      <sharedItems containsBlank="1"/>
    </cacheField>
    <cacheField name="Cliente Nombre" numFmtId="0">
      <sharedItems containsBlank="1"/>
    </cacheField>
    <cacheField name="Tipo Cliente" numFmtId="0">
      <sharedItems containsNonDate="0" containsString="0" containsBlank="1"/>
    </cacheField>
    <cacheField name="Cliente CP" numFmtId="0">
      <sharedItems containsString="0" containsBlank="1" containsNumber="1" containsInteger="1" minValue="7001" maxValue="50001"/>
    </cacheField>
    <cacheField name="Días (Fecha facturación)" numFmtId="0" databaseField="0">
      <fieldGroup base="4">
        <rangePr groupBy="days" startDate="2026-01-12T00:00:00" endDate="2026-02-28T00:00:00"/>
        <groupItems count="368">
          <s v="&lt;12/01/2026"/>
          <s v="01-ene"/>
          <s v="02-ene"/>
          <s v="03-ene"/>
          <s v="04-ene"/>
          <s v="05-ene"/>
          <s v="06-ene"/>
          <s v="07-ene"/>
          <s v="08-ene"/>
          <s v="09-ene"/>
          <s v="10-ene"/>
          <s v="11-ene"/>
          <s v="12-ene"/>
          <s v="13-ene"/>
          <s v="14-ene"/>
          <s v="15-ene"/>
          <s v="16-ene"/>
          <s v="17-ene"/>
          <s v="18-ene"/>
          <s v="19-ene"/>
          <s v="20-ene"/>
          <s v="21-ene"/>
          <s v="22-ene"/>
          <s v="23-ene"/>
          <s v="24-ene"/>
          <s v="25-ene"/>
          <s v="26-ene"/>
          <s v="27-ene"/>
          <s v="28-ene"/>
          <s v="29-ene"/>
          <s v="30-ene"/>
          <s v="31-ene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br"/>
          <s v="02-abr"/>
          <s v="03-abr"/>
          <s v="04-abr"/>
          <s v="05-abr"/>
          <s v="06-abr"/>
          <s v="07-abr"/>
          <s v="08-abr"/>
          <s v="09-abr"/>
          <s v="10-abr"/>
          <s v="11-abr"/>
          <s v="12-abr"/>
          <s v="13-abr"/>
          <s v="14-abr"/>
          <s v="15-abr"/>
          <s v="16-abr"/>
          <s v="17-abr"/>
          <s v="18-abr"/>
          <s v="19-abr"/>
          <s v="20-abr"/>
          <s v="21-abr"/>
          <s v="22-abr"/>
          <s v="23-abr"/>
          <s v="24-abr"/>
          <s v="25-abr"/>
          <s v="26-abr"/>
          <s v="27-abr"/>
          <s v="28-abr"/>
          <s v="29-abr"/>
          <s v="30-ab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go"/>
          <s v="02-ago"/>
          <s v="03-ago"/>
          <s v="04-ago"/>
          <s v="05-ago"/>
          <s v="06-ago"/>
          <s v="07-ago"/>
          <s v="08-ago"/>
          <s v="09-ago"/>
          <s v="10-ago"/>
          <s v="11-ago"/>
          <s v="12-ago"/>
          <s v="13-ago"/>
          <s v="14-ago"/>
          <s v="15-ago"/>
          <s v="16-ago"/>
          <s v="17-ago"/>
          <s v="18-ago"/>
          <s v="19-ago"/>
          <s v="20-ago"/>
          <s v="21-ago"/>
          <s v="22-ago"/>
          <s v="23-ago"/>
          <s v="24-ago"/>
          <s v="25-ago"/>
          <s v="26-ago"/>
          <s v="27-ago"/>
          <s v="28-ago"/>
          <s v="29-ago"/>
          <s v="30-ago"/>
          <s v="31-ago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ic"/>
          <s v="02-dic"/>
          <s v="03-dic"/>
          <s v="04-dic"/>
          <s v="05-dic"/>
          <s v="06-dic"/>
          <s v="07-dic"/>
          <s v="08-dic"/>
          <s v="09-dic"/>
          <s v="10-dic"/>
          <s v="11-dic"/>
          <s v="12-dic"/>
          <s v="13-dic"/>
          <s v="14-dic"/>
          <s v="15-dic"/>
          <s v="16-dic"/>
          <s v="17-dic"/>
          <s v="18-dic"/>
          <s v="19-dic"/>
          <s v="20-dic"/>
          <s v="21-dic"/>
          <s v="22-dic"/>
          <s v="23-dic"/>
          <s v="24-dic"/>
          <s v="25-dic"/>
          <s v="26-dic"/>
          <s v="27-dic"/>
          <s v="28-dic"/>
          <s v="29-dic"/>
          <s v="30-dic"/>
          <s v="31-dic"/>
          <s v="&gt;28/02/2026"/>
        </groupItems>
      </fieldGroup>
    </cacheField>
    <cacheField name="Meses (Fecha facturación)" numFmtId="0" databaseField="0">
      <fieldGroup base="4">
        <rangePr groupBy="months" startDate="2026-01-12T00:00:00" endDate="2026-02-28T00:00:00"/>
        <groupItems count="14">
          <s v="&lt;12/01/2026"/>
          <s v="ene"/>
          <s v="feb"/>
          <s v="mar"/>
          <s v="abr"/>
          <s v="may"/>
          <s v="jun"/>
          <s v="jul"/>
          <s v="ago"/>
          <s v="sep"/>
          <s v="oct"/>
          <s v="nov"/>
          <s v="dic"/>
          <s v="&gt;28/02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42">
  <r>
    <m/>
    <m/>
    <s v="INSESP0552-1"/>
    <m/>
    <x v="0"/>
    <d v="2026-01-31T00:00:00"/>
    <x v="0"/>
    <s v="Arte"/>
    <n v="-1396.98"/>
    <n v="-523.87"/>
    <n v="-523.87"/>
    <m/>
    <s v="Poolsegur"/>
    <m/>
    <m/>
    <n v="-419.09"/>
    <m/>
    <m/>
    <m/>
    <m/>
    <s v="Insurart"/>
    <s v="Liberty"/>
    <m/>
    <m/>
    <m/>
    <m/>
    <m/>
    <m/>
    <m/>
    <s v="14714347M"/>
    <s v="José María Martínez Zabalgoitia"/>
    <m/>
    <n v="48930"/>
  </r>
  <r>
    <m/>
    <m/>
    <s v="INSESP0562"/>
    <m/>
    <x v="0"/>
    <d v="2026-01-08T00:00:00"/>
    <x v="0"/>
    <s v="Arte"/>
    <n v="350"/>
    <n v="131.25"/>
    <n v="131.25"/>
    <m/>
    <s v="Aon"/>
    <m/>
    <m/>
    <n v="105"/>
    <m/>
    <m/>
    <m/>
    <m/>
    <s v="Insurart"/>
    <s v="Liberty"/>
    <m/>
    <m/>
    <m/>
    <m/>
    <m/>
    <m/>
    <m/>
    <s v="S2828013I"/>
    <s v="Museo Nacional de Antropología"/>
    <m/>
    <n v="28014"/>
  </r>
  <r>
    <m/>
    <m/>
    <s v="INSESP0563"/>
    <m/>
    <x v="0"/>
    <d v="2026-01-16T00:00:00"/>
    <x v="0"/>
    <s v="Arte"/>
    <n v="349.99"/>
    <n v="131.25"/>
    <n v="131.25"/>
    <m/>
    <s v="Poolsegur"/>
    <m/>
    <m/>
    <n v="105"/>
    <m/>
    <m/>
    <m/>
    <m/>
    <s v="Insurart"/>
    <s v="Liberty"/>
    <m/>
    <m/>
    <m/>
    <m/>
    <m/>
    <m/>
    <m/>
    <s v="P2807900B"/>
    <s v="Ayuntamiento de Madrid"/>
    <m/>
    <n v="28014"/>
  </r>
  <r>
    <m/>
    <m/>
    <s v="INSESP0564"/>
    <m/>
    <x v="1"/>
    <d v="2026-01-09T00:00:00"/>
    <x v="0"/>
    <s v="Arte"/>
    <n v="7854.6"/>
    <n v="2749.11"/>
    <n v="2749.11"/>
    <m/>
    <s v="Howden"/>
    <m/>
    <m/>
    <n v="2081.4699999999998"/>
    <m/>
    <m/>
    <m/>
    <m/>
    <s v="Insurart"/>
    <s v="Liberty"/>
    <m/>
    <m/>
    <m/>
    <m/>
    <m/>
    <m/>
    <m/>
    <s v="B83818823"/>
    <s v="Olivarera La Corchuera"/>
    <m/>
    <n v="41700"/>
  </r>
  <r>
    <m/>
    <m/>
    <s v="INSESP0565"/>
    <m/>
    <x v="1"/>
    <d v="2026-01-09T00:00:00"/>
    <x v="0"/>
    <s v="Arte"/>
    <n v="200"/>
    <n v="70"/>
    <n v="70"/>
    <m/>
    <s v="Howden"/>
    <m/>
    <m/>
    <n v="53"/>
    <m/>
    <m/>
    <m/>
    <m/>
    <s v="Insurart"/>
    <s v="Liberty"/>
    <m/>
    <m/>
    <m/>
    <m/>
    <m/>
    <m/>
    <m/>
    <s v="B83818823"/>
    <s v="Olivarera La Corchuera"/>
    <m/>
    <n v="41700"/>
  </r>
  <r>
    <m/>
    <m/>
    <s v="INSESP0567"/>
    <m/>
    <x v="2"/>
    <d v="2026-01-19T00:00:00"/>
    <x v="0"/>
    <s v="Arte"/>
    <n v="350"/>
    <n v="131.25"/>
    <n v="131.25"/>
    <m/>
    <s v="Poolsegur"/>
    <m/>
    <m/>
    <n v="105"/>
    <m/>
    <m/>
    <m/>
    <m/>
    <s v="Insurart"/>
    <s v="Liberty"/>
    <m/>
    <m/>
    <m/>
    <m/>
    <m/>
    <m/>
    <m/>
    <s v="S2816021F"/>
    <s v="Oficialia Mayor, Ministerio del Interior"/>
    <m/>
    <n v="28037"/>
  </r>
  <r>
    <m/>
    <m/>
    <s v="INSESP0568"/>
    <m/>
    <x v="3"/>
    <d v="2026-02-17T00:00:00"/>
    <x v="0"/>
    <s v="Arte"/>
    <n v="350"/>
    <n v="131.25"/>
    <n v="131.25"/>
    <m/>
    <s v="Marta Navarro"/>
    <m/>
    <m/>
    <n v="70"/>
    <m/>
    <m/>
    <m/>
    <m/>
    <s v="Insurart"/>
    <s v="Liberty"/>
    <m/>
    <m/>
    <m/>
    <m/>
    <m/>
    <m/>
    <m/>
    <s v="G50000652"/>
    <s v="Fundación Ibercaja"/>
    <m/>
    <n v="50001"/>
  </r>
  <r>
    <m/>
    <m/>
    <s v="INSESP0569"/>
    <m/>
    <x v="3"/>
    <d v="2026-01-19T00:00:00"/>
    <x v="0"/>
    <s v="Arte"/>
    <n v="350"/>
    <n v="131.25"/>
    <n v="131.25"/>
    <m/>
    <s v="Aon"/>
    <m/>
    <m/>
    <n v="105"/>
    <m/>
    <m/>
    <m/>
    <m/>
    <s v="Insurart"/>
    <s v="Liberty"/>
    <m/>
    <m/>
    <m/>
    <m/>
    <m/>
    <m/>
    <m/>
    <s v="B82627548"/>
    <s v="LA FÁBRICA-GESTIÓN + CULTURA, S.L."/>
    <m/>
    <n v="28014"/>
  </r>
  <r>
    <m/>
    <m/>
    <s v="INSESP0569-1"/>
    <m/>
    <x v="4"/>
    <d v="2026-01-19T00:00:00"/>
    <x v="0"/>
    <s v="Arte"/>
    <s v=" -   "/>
    <s v=" -   "/>
    <s v=" -   "/>
    <m/>
    <s v="Aon"/>
    <m/>
    <m/>
    <s v=" -   "/>
    <m/>
    <m/>
    <m/>
    <m/>
    <s v="Insurart"/>
    <s v="Liberty"/>
    <m/>
    <m/>
    <m/>
    <m/>
    <m/>
    <m/>
    <m/>
    <s v="B82627548"/>
    <s v="LA FÁBRICA-GESTIÓN + CULTURA, S.L."/>
    <m/>
    <n v="28014"/>
  </r>
  <r>
    <m/>
    <m/>
    <s v="INSESP0570"/>
    <m/>
    <x v="3"/>
    <d v="2026-01-19T00:00:00"/>
    <x v="0"/>
    <s v="Arte"/>
    <n v="350"/>
    <n v="131.25"/>
    <n v="131.25"/>
    <m/>
    <s v="Baulenas"/>
    <m/>
    <m/>
    <n v="70"/>
    <m/>
    <m/>
    <m/>
    <m/>
    <s v="Insurart"/>
    <s v="Liberty"/>
    <m/>
    <m/>
    <m/>
    <m/>
    <m/>
    <m/>
    <m/>
    <s v="P0704000I"/>
    <s v="Negociat Espais d'Art-Ajuntament de Palma"/>
    <m/>
    <n v="7001"/>
  </r>
  <r>
    <m/>
    <m/>
    <s v="INSESP0570-1"/>
    <m/>
    <x v="5"/>
    <d v="2026-01-19T00:00:00"/>
    <x v="0"/>
    <s v="Arte"/>
    <s v=" -   "/>
    <s v=" -   "/>
    <s v=" -   "/>
    <m/>
    <s v="Baulenas"/>
    <m/>
    <m/>
    <s v=" -   "/>
    <m/>
    <m/>
    <m/>
    <m/>
    <s v="Insurart"/>
    <s v="Liberty"/>
    <m/>
    <m/>
    <m/>
    <m/>
    <m/>
    <m/>
    <m/>
    <s v="P0704000I"/>
    <s v="Negociat Espais d'Art-Ajuntament de Palma"/>
    <m/>
    <n v="7001"/>
  </r>
  <r>
    <m/>
    <m/>
    <s v="INSESP0571"/>
    <m/>
    <x v="6"/>
    <d v="2026-01-24T00:00:00"/>
    <x v="0"/>
    <s v="Arte"/>
    <n v="6780"/>
    <n v="2373"/>
    <n v="2373"/>
    <m/>
    <s v="Poolsegur"/>
    <m/>
    <m/>
    <n v="1695"/>
    <m/>
    <m/>
    <m/>
    <m/>
    <s v="Insurart"/>
    <s v="Liberty"/>
    <m/>
    <m/>
    <m/>
    <m/>
    <m/>
    <m/>
    <m/>
    <s v="50795127H"/>
    <s v="Fernando Maldonado Muguiro"/>
    <m/>
    <n v="28010"/>
  </r>
  <r>
    <m/>
    <m/>
    <s v="INSESP0572"/>
    <m/>
    <x v="6"/>
    <d v="2026-01-24T00:00:00"/>
    <x v="0"/>
    <s v="Arte"/>
    <n v="200"/>
    <n v="70"/>
    <n v="70"/>
    <m/>
    <s v="Poolsegur"/>
    <m/>
    <m/>
    <n v="50"/>
    <m/>
    <m/>
    <m/>
    <m/>
    <s v="Insurart"/>
    <s v="Liberty"/>
    <m/>
    <m/>
    <m/>
    <m/>
    <m/>
    <m/>
    <m/>
    <s v="50795127H"/>
    <s v="Fernando Maldonado Muguiro"/>
    <m/>
    <n v="28010"/>
  </r>
  <r>
    <m/>
    <m/>
    <s v="INSESP0574"/>
    <m/>
    <x v="6"/>
    <d v="2026-03-01T00:00:00"/>
    <x v="0"/>
    <s v="Arte"/>
    <n v="1823.33"/>
    <n v="683.75"/>
    <n v="683.75"/>
    <m/>
    <s v="Howden RS"/>
    <m/>
    <m/>
    <n v="455.83"/>
    <m/>
    <m/>
    <m/>
    <m/>
    <s v="Insurart"/>
    <s v="Liberty"/>
    <m/>
    <m/>
    <m/>
    <m/>
    <m/>
    <m/>
    <m/>
    <s v="R2800395B"/>
    <s v="Universidad Pontificia de Comillas"/>
    <m/>
    <n v="28015"/>
  </r>
  <r>
    <m/>
    <m/>
    <s v="INSESP0575"/>
    <m/>
    <x v="6"/>
    <d v="2026-01-20T00:00:00"/>
    <x v="0"/>
    <s v="Arte"/>
    <n v="350"/>
    <n v="131.25"/>
    <n v="131.25"/>
    <m/>
    <s v="Baulenas"/>
    <m/>
    <m/>
    <n v="70"/>
    <m/>
    <m/>
    <m/>
    <m/>
    <s v="Insurart"/>
    <s v="Liberty"/>
    <m/>
    <m/>
    <m/>
    <m/>
    <m/>
    <m/>
    <m/>
    <s v="P0704000I"/>
    <s v="Negociat Espais d'Art-Ajuntament de Palma"/>
    <m/>
    <n v="7001"/>
  </r>
  <r>
    <m/>
    <m/>
    <s v="INSESP0576"/>
    <m/>
    <x v="6"/>
    <d v="2026-02-06T00:00:00"/>
    <x v="0"/>
    <s v="Arte"/>
    <n v="350"/>
    <n v="131.25"/>
    <n v="131.25"/>
    <m/>
    <s v="Aon"/>
    <m/>
    <m/>
    <n v="105"/>
    <m/>
    <m/>
    <m/>
    <m/>
    <s v="Insurart"/>
    <s v="Liberty"/>
    <m/>
    <m/>
    <m/>
    <m/>
    <m/>
    <m/>
    <m/>
    <s v="G47463823"/>
    <s v="Fundación Siglo para el Turismo y las Artes de Castilla y León"/>
    <m/>
    <n v="47015"/>
  </r>
  <r>
    <m/>
    <m/>
    <s v="INSESP0577"/>
    <m/>
    <x v="5"/>
    <d v="2026-02-14T00:00:00"/>
    <x v="0"/>
    <s v="Arte"/>
    <n v="1490.4"/>
    <n v="558.9"/>
    <n v="558.9"/>
    <m/>
    <s v="Poolsegur"/>
    <m/>
    <m/>
    <n v="447.12"/>
    <m/>
    <m/>
    <m/>
    <m/>
    <s v="Insurart"/>
    <s v="Liberty"/>
    <m/>
    <m/>
    <m/>
    <m/>
    <m/>
    <m/>
    <m/>
    <s v="50298800P"/>
    <s v="Manuel Laffón Parias"/>
    <m/>
    <n v="41013"/>
  </r>
  <r>
    <m/>
    <m/>
    <s v="INSESP0577"/>
    <m/>
    <x v="5"/>
    <d v="2026-02-14T00:00:00"/>
    <x v="0"/>
    <s v="Arte"/>
    <n v="1490.4"/>
    <n v="558.9"/>
    <n v="558.9"/>
    <m/>
    <s v="Poolsegur"/>
    <m/>
    <m/>
    <n v="447.12"/>
    <m/>
    <m/>
    <m/>
    <m/>
    <s v="Insurart"/>
    <s v="Liberty"/>
    <m/>
    <m/>
    <m/>
    <m/>
    <m/>
    <m/>
    <m/>
    <s v="50298800P"/>
    <s v="Manuel Laffón Parias"/>
    <m/>
    <n v="41013"/>
  </r>
  <r>
    <m/>
    <m/>
    <s v="INSESP0578"/>
    <m/>
    <x v="5"/>
    <d v="2026-02-17T00:00:00"/>
    <x v="0"/>
    <s v="Arte"/>
    <n v="750"/>
    <n v="281.25"/>
    <n v="281.25"/>
    <m/>
    <s v="Poolsegur"/>
    <m/>
    <m/>
    <n v="225"/>
    <m/>
    <m/>
    <m/>
    <m/>
    <s v="Insurart"/>
    <s v="Liberty"/>
    <m/>
    <m/>
    <m/>
    <m/>
    <m/>
    <m/>
    <m/>
    <s v="50308033H"/>
    <s v="Luís Carlos Ruspoli Sanchíz"/>
    <m/>
    <n v="28010"/>
  </r>
  <r>
    <m/>
    <m/>
    <s v="INSESP0579"/>
    <m/>
    <x v="5"/>
    <d v="2026-02-21T00:00:00"/>
    <x v="0"/>
    <s v="Arte"/>
    <n v="500"/>
    <n v="187.5"/>
    <n v="187.5"/>
    <m/>
    <s v="Lumos"/>
    <m/>
    <m/>
    <n v="125"/>
    <m/>
    <m/>
    <m/>
    <m/>
    <s v="Insurart"/>
    <s v="Liberty"/>
    <m/>
    <m/>
    <m/>
    <m/>
    <m/>
    <m/>
    <m/>
    <s v="02022741Y"/>
    <s v="Teresa Roca de Togores de Bustos"/>
    <m/>
    <n v="28006"/>
  </r>
  <r>
    <m/>
    <m/>
    <s v="INSESP0580"/>
    <m/>
    <x v="7"/>
    <d v="2026-02-20T00:00:00"/>
    <x v="0"/>
    <s v="Arte"/>
    <n v="2575.84"/>
    <n v="965.94"/>
    <n v="965.94"/>
    <m/>
    <s v="Marta Navarro"/>
    <m/>
    <m/>
    <n v="695.48"/>
    <m/>
    <m/>
    <m/>
    <m/>
    <s v="Insurart"/>
    <s v="Liberty"/>
    <m/>
    <m/>
    <m/>
    <m/>
    <m/>
    <m/>
    <m/>
    <s v="51100577M"/>
    <s v="María Pia Capriles López"/>
    <m/>
    <n v="28002"/>
  </r>
  <r>
    <m/>
    <m/>
    <s v="INSESP0580"/>
    <m/>
    <x v="7"/>
    <d v="2026-02-20T00:00:00"/>
    <x v="0"/>
    <s v="Arte"/>
    <n v="2575.84"/>
    <n v="965.94"/>
    <n v="965.94"/>
    <m/>
    <s v="Marta Navarro"/>
    <m/>
    <m/>
    <n v="695.48"/>
    <m/>
    <m/>
    <m/>
    <m/>
    <s v="Insurart"/>
    <s v="Liberty"/>
    <m/>
    <m/>
    <m/>
    <m/>
    <m/>
    <m/>
    <m/>
    <s v="51100577M"/>
    <s v="María Pia Capriles López"/>
    <m/>
    <n v="28002"/>
  </r>
  <r>
    <m/>
    <m/>
    <s v="INSESP0581"/>
    <m/>
    <x v="8"/>
    <d v="2026-02-04T00:00:00"/>
    <x v="0"/>
    <s v="Arte"/>
    <n v="350"/>
    <n v="131.25"/>
    <n v="131.25"/>
    <m/>
    <s v="Howden"/>
    <m/>
    <m/>
    <n v="70"/>
    <m/>
    <m/>
    <m/>
    <m/>
    <s v="Insurart"/>
    <s v="Liberty"/>
    <m/>
    <m/>
    <m/>
    <m/>
    <m/>
    <m/>
    <m/>
    <s v="Q2818029G"/>
    <s v="Universidad Carlos III de Madrid"/>
    <m/>
    <n v="28903"/>
  </r>
  <r>
    <m/>
    <m/>
    <s v="INSESP0582"/>
    <m/>
    <x v="8"/>
    <d v="2026-01-22T00:00:00"/>
    <x v="0"/>
    <s v="Arte"/>
    <n v="750"/>
    <n v="281.25"/>
    <n v="281.25"/>
    <m/>
    <s v="Poolsegur"/>
    <m/>
    <m/>
    <n v="225"/>
    <m/>
    <m/>
    <m/>
    <m/>
    <s v="Insurart"/>
    <s v="Liberty"/>
    <m/>
    <m/>
    <m/>
    <m/>
    <m/>
    <m/>
    <m/>
    <s v="B75756809"/>
    <s v="Arma Gallery SL"/>
    <m/>
    <n v="28004"/>
  </r>
  <r>
    <m/>
    <m/>
    <s v="INSESP0583"/>
    <m/>
    <x v="9"/>
    <d v="2026-02-17T00:00:00"/>
    <x v="0"/>
    <s v="Arte"/>
    <n v="350"/>
    <n v="131.25"/>
    <n v="131.25"/>
    <m/>
    <s v="Poolsegur"/>
    <m/>
    <m/>
    <n v="105"/>
    <m/>
    <m/>
    <m/>
    <m/>
    <s v="Insurart"/>
    <s v="Liberty"/>
    <m/>
    <m/>
    <m/>
    <m/>
    <m/>
    <m/>
    <m/>
    <s v="Q2818002D"/>
    <s v="Museo Nacional de Ciencias Naturales"/>
    <m/>
    <n v="28006"/>
  </r>
  <r>
    <m/>
    <m/>
    <s v="INSESP0584"/>
    <m/>
    <x v="4"/>
    <d v="2026-02-16T00:00:00"/>
    <x v="0"/>
    <s v="Arte"/>
    <n v="210"/>
    <n v="78.75"/>
    <n v="78.75"/>
    <m/>
    <s v="Poolsegur"/>
    <m/>
    <m/>
    <n v="63"/>
    <m/>
    <m/>
    <m/>
    <m/>
    <s v="Insurart"/>
    <s v="Liberty"/>
    <m/>
    <m/>
    <m/>
    <m/>
    <m/>
    <m/>
    <m/>
    <s v="Q4578003H"/>
    <s v="Museo del Greco"/>
    <m/>
    <n v="45002"/>
  </r>
  <r>
    <m/>
    <m/>
    <s v="INSESP0585"/>
    <m/>
    <x v="4"/>
    <d v="2026-03-06T00:00:00"/>
    <x v="0"/>
    <s v="Arte"/>
    <n v="1757.01"/>
    <n v="658.88"/>
    <n v="658.88"/>
    <m/>
    <s v="Poolsegur"/>
    <m/>
    <m/>
    <n v="527.1"/>
    <m/>
    <m/>
    <m/>
    <m/>
    <s v="Insurart"/>
    <s v="Liberty"/>
    <m/>
    <m/>
    <m/>
    <m/>
    <m/>
    <m/>
    <m/>
    <s v="B84061894"/>
    <s v="Jose de la Mano Galería de Arte, S.L."/>
    <m/>
    <n v="28014"/>
  </r>
  <r>
    <m/>
    <m/>
    <s v="INSESP0586"/>
    <m/>
    <x v="10"/>
    <d v="2026-02-09T00:00:00"/>
    <x v="0"/>
    <s v="Arte"/>
    <n v="350"/>
    <n v="131.25"/>
    <n v="131.25"/>
    <m/>
    <s v="Aon"/>
    <m/>
    <m/>
    <n v="105"/>
    <m/>
    <m/>
    <m/>
    <m/>
    <s v="Insurart"/>
    <s v="Liberty"/>
    <m/>
    <m/>
    <m/>
    <m/>
    <m/>
    <m/>
    <m/>
    <s v="S2800239B"/>
    <s v="Subdirección General de Artes Visuales y Creación Contemporánea"/>
    <m/>
    <n v="28004"/>
  </r>
  <r>
    <m/>
    <m/>
    <s v="INSESP0587"/>
    <m/>
    <x v="10"/>
    <d v="2026-02-01T00:00:00"/>
    <x v="0"/>
    <s v="Arte"/>
    <n v="350"/>
    <n v="131.25"/>
    <n v="131.25"/>
    <m/>
    <s v="Baulenas"/>
    <m/>
    <m/>
    <n v="70"/>
    <m/>
    <m/>
    <m/>
    <m/>
    <s v="Insurart"/>
    <s v="Liberty"/>
    <m/>
    <m/>
    <m/>
    <m/>
    <m/>
    <m/>
    <m/>
    <s v="Q0700733I"/>
    <s v="Institut d'Estudis Baleàrics del Consell Insular de Mallorca"/>
    <m/>
    <n v="7001"/>
  </r>
  <r>
    <m/>
    <m/>
    <s v="INSESP0588"/>
    <m/>
    <x v="11"/>
    <d v="2026-02-09T00:00:00"/>
    <x v="0"/>
    <s v="Arte"/>
    <n v="1254.28"/>
    <n v="439"/>
    <n v="439"/>
    <m/>
    <s v="Lumos"/>
    <m/>
    <m/>
    <n v="313.57"/>
    <m/>
    <m/>
    <m/>
    <m/>
    <s v="Insurart"/>
    <s v="Liberty"/>
    <m/>
    <m/>
    <m/>
    <m/>
    <m/>
    <m/>
    <m/>
    <s v="00224577M"/>
    <s v="Álvaro Fernández-Villaverde y Silva"/>
    <m/>
    <n v="28014"/>
  </r>
  <r>
    <m/>
    <m/>
    <s v="INSESP0589"/>
    <m/>
    <x v="11"/>
    <d v="2026-02-09T00:00:00"/>
    <x v="0"/>
    <s v="Arte"/>
    <n v="90"/>
    <n v="31.5"/>
    <n v="31.5"/>
    <m/>
    <s v="Lumos"/>
    <m/>
    <m/>
    <n v="22.5"/>
    <m/>
    <m/>
    <m/>
    <m/>
    <s v="Insurart"/>
    <s v="Liberty"/>
    <m/>
    <m/>
    <m/>
    <m/>
    <m/>
    <m/>
    <m/>
    <s v="00224577M"/>
    <s v="Álvaro Fernández-Villaverde y Silva"/>
    <m/>
    <n v="28014"/>
  </r>
  <r>
    <m/>
    <m/>
    <s v="INSESP0591"/>
    <m/>
    <x v="11"/>
    <d v="2026-02-02T00:00:00"/>
    <x v="0"/>
    <s v="Arte"/>
    <n v="300"/>
    <n v="112.5"/>
    <n v="112.5"/>
    <m/>
    <s v="Ricardo Sánchez-Arévalo"/>
    <m/>
    <m/>
    <n v="60"/>
    <m/>
    <m/>
    <m/>
    <m/>
    <s v="Insurart"/>
    <s v="Liberty"/>
    <m/>
    <m/>
    <m/>
    <m/>
    <m/>
    <m/>
    <m/>
    <s v="G30010185"/>
    <s v="Fundación Cajamurcia Centro Cultural Las Claras"/>
    <m/>
    <n v="30008"/>
  </r>
  <r>
    <m/>
    <m/>
    <s v="INSESP0498-1"/>
    <m/>
    <x v="11"/>
    <d v="2026-02-02T00:00:00"/>
    <x v="0"/>
    <s v="Arte"/>
    <m/>
    <m/>
    <m/>
    <m/>
    <m/>
    <m/>
    <m/>
    <m/>
    <m/>
    <m/>
    <m/>
    <m/>
    <s v="Insurart"/>
    <s v="Liberty"/>
    <m/>
    <m/>
    <m/>
    <m/>
    <m/>
    <m/>
    <m/>
    <m/>
    <s v="Museo Nacional y Centro de Investigación Altamira"/>
    <m/>
    <m/>
  </r>
  <r>
    <m/>
    <m/>
    <s v="INSESP0524-2"/>
    <m/>
    <x v="11"/>
    <d v="2026-02-02T00:00:00"/>
    <x v="0"/>
    <s v="Arte"/>
    <m/>
    <m/>
    <m/>
    <m/>
    <m/>
    <m/>
    <m/>
    <m/>
    <m/>
    <m/>
    <m/>
    <m/>
    <s v="Insurart"/>
    <s v="Liberty"/>
    <m/>
    <m/>
    <m/>
    <m/>
    <m/>
    <m/>
    <m/>
    <m/>
    <s v="Fundación Cajamurcia Centro Cultural Las Claras"/>
    <m/>
    <m/>
  </r>
  <r>
    <m/>
    <m/>
    <s v="INSESP0540-1"/>
    <m/>
    <x v="11"/>
    <d v="2026-02-02T00:00:00"/>
    <x v="0"/>
    <s v="Arte"/>
    <m/>
    <m/>
    <m/>
    <m/>
    <m/>
    <m/>
    <m/>
    <m/>
    <m/>
    <m/>
    <m/>
    <m/>
    <s v="Insurart"/>
    <s v="Liberty"/>
    <m/>
    <m/>
    <m/>
    <m/>
    <m/>
    <m/>
    <m/>
    <m/>
    <s v="Subdirección General de Museo Estatales. Ministerio de Cultura y Deporte"/>
    <m/>
    <m/>
  </r>
  <r>
    <m/>
    <m/>
    <s v="INSESP0520-1"/>
    <m/>
    <x v="12"/>
    <d v="2025-10-16T00:00:00"/>
    <x v="0"/>
    <s v="Arte"/>
    <n v="0"/>
    <n v="0"/>
    <n v="0"/>
    <m/>
    <s v="Poolsegur"/>
    <m/>
    <m/>
    <n v="0"/>
    <m/>
    <m/>
    <m/>
    <m/>
    <s v="Insurart"/>
    <s v="Liberty"/>
    <m/>
    <m/>
    <m/>
    <m/>
    <m/>
    <m/>
    <m/>
    <s v="B23906464"/>
    <s v="Sutherland Fine Art Handling"/>
    <m/>
    <n v="11500"/>
  </r>
  <r>
    <m/>
    <m/>
    <s v="INSESP0512-1"/>
    <m/>
    <x v="12"/>
    <d v="2025-12-01T00:00:00"/>
    <x v="0"/>
    <s v="Arte"/>
    <n v="0"/>
    <n v="0"/>
    <n v="0"/>
    <m/>
    <s v="Marta Navarro"/>
    <m/>
    <m/>
    <n v="0"/>
    <m/>
    <m/>
    <m/>
    <m/>
    <s v="Insurart"/>
    <s v="Liberty"/>
    <m/>
    <m/>
    <m/>
    <m/>
    <m/>
    <m/>
    <m/>
    <s v="Q2868026B"/>
    <s v="Museo Lázaro Galdiano"/>
    <m/>
    <n v="28006"/>
  </r>
  <r>
    <m/>
    <m/>
    <s v="INSESP0534-1"/>
    <m/>
    <x v="12"/>
    <d v="2025-11-17T00:00:00"/>
    <x v="0"/>
    <s v="Arte"/>
    <n v="-27816.69"/>
    <n v="-10431.258749999999"/>
    <n v="-10431.258749999999"/>
    <m/>
    <s v="Jhasa"/>
    <m/>
    <m/>
    <n v="-6954.1724999999997"/>
    <m/>
    <m/>
    <m/>
    <m/>
    <s v="Insurart"/>
    <s v="Liberty"/>
    <m/>
    <m/>
    <m/>
    <m/>
    <m/>
    <m/>
    <m/>
    <s v="A75431619"/>
    <s v="Centro de Valores PV S.A."/>
    <m/>
    <n v="28001"/>
  </r>
  <r>
    <m/>
    <m/>
    <s v="INSESP0534-2"/>
    <m/>
    <x v="12"/>
    <d v="2025-11-17T00:00:00"/>
    <x v="0"/>
    <s v="Arte"/>
    <n v="27816.69"/>
    <n v="10431.258749999999"/>
    <n v="10431.258749999999"/>
    <m/>
    <s v="Jhasa"/>
    <m/>
    <m/>
    <n v="6954.1724999999997"/>
    <m/>
    <m/>
    <m/>
    <m/>
    <s v="Insurart"/>
    <s v="Liberty"/>
    <m/>
    <m/>
    <m/>
    <m/>
    <m/>
    <m/>
    <m/>
    <s v="A75431619"/>
    <s v="Centro de Valores PV S.A."/>
    <m/>
    <n v="28001"/>
  </r>
  <r>
    <m/>
    <m/>
    <s v="INSESP0419-3"/>
    <m/>
    <x v="12"/>
    <d v="2025-04-25T00:00:00"/>
    <x v="0"/>
    <s v="Arte"/>
    <n v="-1153.81"/>
    <n v="-432.67874999999998"/>
    <n v="-432.67874999999998"/>
    <m/>
    <s v="Poolsegur"/>
    <m/>
    <m/>
    <n v="-346.14299999999997"/>
    <m/>
    <m/>
    <m/>
    <m/>
    <s v="Insurart"/>
    <s v="Liberty"/>
    <m/>
    <m/>
    <m/>
    <m/>
    <m/>
    <m/>
    <m/>
    <s v="00229171E"/>
    <s v="Rafael Fernández de Córdoba Esteban"/>
    <m/>
    <n v="28020"/>
  </r>
  <r>
    <m/>
    <m/>
    <s v="INSESP0569-2"/>
    <m/>
    <x v="13"/>
    <d v="2026-02-04T00:00:00"/>
    <x v="0"/>
    <s v="Arte"/>
    <n v="0"/>
    <n v="0"/>
    <n v="0"/>
    <m/>
    <s v="Aon"/>
    <m/>
    <m/>
    <n v="0"/>
    <m/>
    <m/>
    <m/>
    <m/>
    <m/>
    <m/>
    <m/>
    <m/>
    <m/>
    <m/>
    <m/>
    <m/>
    <m/>
    <s v="B82627548"/>
    <s v="LA FÁBRICA-GESTIÓN + CULTURA, S.L."/>
    <m/>
    <n v="28004"/>
  </r>
  <r>
    <m/>
    <m/>
    <s v="INSESP0569-3"/>
    <m/>
    <x v="13"/>
    <d v="2026-02-04T00:00:00"/>
    <x v="0"/>
    <s v="Arte"/>
    <n v="0"/>
    <n v="0"/>
    <n v="0"/>
    <m/>
    <s v="Aon"/>
    <m/>
    <m/>
    <n v="0"/>
    <m/>
    <m/>
    <m/>
    <m/>
    <m/>
    <m/>
    <m/>
    <m/>
    <m/>
    <m/>
    <m/>
    <m/>
    <m/>
    <s v="B82627548"/>
    <s v="LA FÁBRICA-GESTIÓN + CULTURA, S.L."/>
    <m/>
    <n v="28004"/>
  </r>
  <r>
    <m/>
    <m/>
    <s v="INSESP0578-1"/>
    <m/>
    <x v="14"/>
    <d v="2026-02-11T00:00:00"/>
    <x v="0"/>
    <s v="Arte"/>
    <n v="0"/>
    <n v="0"/>
    <n v="0"/>
    <m/>
    <s v="Poolsegur"/>
    <m/>
    <m/>
    <n v="0"/>
    <m/>
    <m/>
    <m/>
    <m/>
    <m/>
    <m/>
    <m/>
    <m/>
    <m/>
    <m/>
    <m/>
    <m/>
    <m/>
    <s v="50308033H"/>
    <s v="Luís Carlos Ruspoli Sanchíz"/>
    <m/>
    <n v="28010"/>
  </r>
  <r>
    <m/>
    <m/>
    <s v="INSESP0580-1"/>
    <m/>
    <x v="15"/>
    <d v="2026-02-23T00:00:00"/>
    <x v="0"/>
    <s v="Arte"/>
    <n v="32.76"/>
    <n v="12.285"/>
    <n v="12.285"/>
    <m/>
    <s v="Marta Navarro"/>
    <m/>
    <m/>
    <n v="8.8452000000000002"/>
    <m/>
    <m/>
    <m/>
    <m/>
    <m/>
    <m/>
    <m/>
    <m/>
    <m/>
    <m/>
    <m/>
    <m/>
    <m/>
    <s v="51100577M"/>
    <s v="María Pia Capriles López"/>
    <m/>
    <n v="28002"/>
  </r>
  <r>
    <m/>
    <m/>
    <s v="INSESP0582-1"/>
    <m/>
    <x v="16"/>
    <d v="2026-02-05T00:00:00"/>
    <x v="0"/>
    <s v="Arte"/>
    <n v="100"/>
    <n v="37.5"/>
    <n v="37.5"/>
    <m/>
    <s v="Poolsegur"/>
    <m/>
    <m/>
    <n v="30"/>
    <m/>
    <m/>
    <m/>
    <m/>
    <m/>
    <m/>
    <m/>
    <m/>
    <m/>
    <m/>
    <m/>
    <m/>
    <m/>
    <s v="B75756809"/>
    <s v="Arma Gallery SL"/>
    <m/>
    <n v="28004"/>
  </r>
  <r>
    <m/>
    <m/>
    <s v="INSESP0585-1"/>
    <m/>
    <x v="17"/>
    <d v="2026-02-20T00:00:00"/>
    <x v="0"/>
    <s v="Arte"/>
    <n v="0"/>
    <n v="0"/>
    <n v="0"/>
    <m/>
    <s v="Poolsegur"/>
    <m/>
    <m/>
    <n v="0"/>
    <m/>
    <m/>
    <m/>
    <m/>
    <m/>
    <m/>
    <m/>
    <m/>
    <m/>
    <m/>
    <m/>
    <m/>
    <m/>
    <s v="B84061894"/>
    <s v="Jose de la Mano Galería de Arte, S.L."/>
    <m/>
    <n v="28014"/>
  </r>
  <r>
    <m/>
    <m/>
    <s v="INSESP0587-1"/>
    <m/>
    <x v="18"/>
    <d v="2026-02-02T00:00:00"/>
    <x v="0"/>
    <s v="Arte"/>
    <n v="0"/>
    <n v="0"/>
    <n v="0"/>
    <m/>
    <s v="Baulenas"/>
    <m/>
    <m/>
    <n v="0"/>
    <m/>
    <m/>
    <m/>
    <m/>
    <m/>
    <m/>
    <m/>
    <m/>
    <m/>
    <m/>
    <m/>
    <m/>
    <m/>
    <s v="Q0700733I"/>
    <s v="Institut d'Estudis Baleàrics del Consell Insular de Mallorca"/>
    <m/>
    <n v="7001"/>
  </r>
  <r>
    <m/>
    <m/>
    <s v="INSESP0587-2"/>
    <m/>
    <x v="14"/>
    <d v="2026-02-11T00:00:00"/>
    <x v="0"/>
    <s v="Arte"/>
    <n v="0"/>
    <n v="0"/>
    <n v="0"/>
    <m/>
    <s v="Baulenas"/>
    <m/>
    <m/>
    <n v="0"/>
    <m/>
    <m/>
    <m/>
    <m/>
    <m/>
    <m/>
    <m/>
    <m/>
    <m/>
    <m/>
    <m/>
    <m/>
    <m/>
    <s v="Q0700733I"/>
    <s v="Institut d'Estudis Baleàrics del Consell Insular de Mallorca"/>
    <m/>
    <n v="7001"/>
  </r>
  <r>
    <m/>
    <m/>
    <s v="INSESP0592"/>
    <m/>
    <x v="13"/>
    <d v="2026-02-04T00:00:00"/>
    <x v="0"/>
    <s v="Arte"/>
    <n v="400"/>
    <n v="150"/>
    <n v="150"/>
    <m/>
    <s v="Aon"/>
    <m/>
    <m/>
    <n v="120"/>
    <m/>
    <m/>
    <m/>
    <m/>
    <m/>
    <m/>
    <m/>
    <m/>
    <m/>
    <m/>
    <m/>
    <m/>
    <m/>
    <s v="P5890006I"/>
    <s v="Instituto de Cultura de Barcelona (Departamento de Festes)"/>
    <m/>
    <n v="8191"/>
  </r>
  <r>
    <m/>
    <m/>
    <s v="INSESP0593"/>
    <m/>
    <x v="13"/>
    <d v="2026-02-04T00:00:00"/>
    <x v="0"/>
    <s v="Arte"/>
    <n v="9070.57"/>
    <n v="3174.6994999999997"/>
    <n v="3174.6994999999997"/>
    <m/>
    <s v="Varela y Ayala"/>
    <m/>
    <m/>
    <n v="2267.6424999999999"/>
    <m/>
    <m/>
    <m/>
    <m/>
    <m/>
    <m/>
    <m/>
    <m/>
    <m/>
    <m/>
    <m/>
    <m/>
    <m/>
    <s v="B56513757"/>
    <s v="Global Marcio, S.L."/>
    <m/>
    <n v="28002"/>
  </r>
  <r>
    <m/>
    <m/>
    <s v="INSESP0594"/>
    <m/>
    <x v="13"/>
    <d v="2026-02-04T00:00:00"/>
    <x v="0"/>
    <s v="Arte"/>
    <n v="200"/>
    <n v="70"/>
    <n v="70"/>
    <m/>
    <s v="Varela y Ayala"/>
    <m/>
    <m/>
    <n v="50"/>
    <m/>
    <m/>
    <m/>
    <m/>
    <m/>
    <m/>
    <m/>
    <m/>
    <m/>
    <m/>
    <m/>
    <m/>
    <m/>
    <s v="B56513757"/>
    <s v="Global Marcio, S.L."/>
    <m/>
    <n v="28002"/>
  </r>
  <r>
    <m/>
    <m/>
    <s v="INSESP0596"/>
    <m/>
    <x v="13"/>
    <d v="2026-02-04T00:00:00"/>
    <x v="0"/>
    <s v="Arte"/>
    <n v="11960.27"/>
    <n v="4186.0945000000002"/>
    <n v="4186.0945000000002"/>
    <m/>
    <s v="Bureau"/>
    <m/>
    <m/>
    <n v="2990.0675000000001"/>
    <m/>
    <m/>
    <m/>
    <m/>
    <m/>
    <m/>
    <m/>
    <m/>
    <m/>
    <m/>
    <m/>
    <m/>
    <m/>
    <s v="G85460020"/>
    <s v="Fundación Álvaro de Bazán"/>
    <m/>
    <n v="10200"/>
  </r>
  <r>
    <m/>
    <m/>
    <s v="INSESP0597"/>
    <m/>
    <x v="13"/>
    <d v="2026-02-04T00:00:00"/>
    <x v="0"/>
    <s v="Arte"/>
    <n v="200"/>
    <n v="70"/>
    <n v="70"/>
    <m/>
    <s v="Lumos"/>
    <m/>
    <m/>
    <n v="50"/>
    <m/>
    <m/>
    <m/>
    <m/>
    <m/>
    <m/>
    <m/>
    <m/>
    <m/>
    <m/>
    <m/>
    <m/>
    <m/>
    <s v="G85460020"/>
    <s v="Fundación Álvaro de Bazán"/>
    <m/>
    <n v="10200"/>
  </r>
  <r>
    <m/>
    <m/>
    <s v="INSESP0599"/>
    <m/>
    <x v="13"/>
    <d v="2026-02-04T00:00:00"/>
    <x v="0"/>
    <s v="Arte"/>
    <n v="4550"/>
    <n v="1592.5"/>
    <n v="1592.5"/>
    <m/>
    <s v="Acorn"/>
    <m/>
    <m/>
    <n v="1137.5"/>
    <m/>
    <m/>
    <m/>
    <m/>
    <m/>
    <m/>
    <m/>
    <m/>
    <m/>
    <m/>
    <m/>
    <m/>
    <m/>
    <s v="A28489441"/>
    <s v="Los Hornillos"/>
    <m/>
    <n v="39450"/>
  </r>
  <r>
    <m/>
    <m/>
    <s v="INSESP0600"/>
    <m/>
    <x v="13"/>
    <d v="2026-02-04T00:00:00"/>
    <x v="0"/>
    <s v="Arte"/>
    <n v="200"/>
    <n v="70"/>
    <n v="70"/>
    <m/>
    <s v="Acorn"/>
    <m/>
    <m/>
    <n v="50"/>
    <m/>
    <m/>
    <m/>
    <m/>
    <m/>
    <m/>
    <m/>
    <m/>
    <m/>
    <m/>
    <m/>
    <m/>
    <m/>
    <s v="A28489441"/>
    <s v="Los Hornillos"/>
    <m/>
    <n v="39450"/>
  </r>
  <r>
    <m/>
    <m/>
    <s v="INSESP0601"/>
    <m/>
    <x v="19"/>
    <d v="2026-02-09T00:00:00"/>
    <x v="0"/>
    <s v="Arte"/>
    <n v="350"/>
    <n v="131.25"/>
    <n v="131.25"/>
    <m/>
    <s v="Aon"/>
    <m/>
    <m/>
    <n v="105"/>
    <m/>
    <m/>
    <m/>
    <m/>
    <m/>
    <m/>
    <m/>
    <m/>
    <m/>
    <m/>
    <m/>
    <m/>
    <m/>
    <s v="B08694523"/>
    <s v="WARNER MUSIC SPAIN, S.L"/>
    <m/>
    <n v="28008"/>
  </r>
  <r>
    <m/>
    <m/>
    <s v="INSESP0602"/>
    <m/>
    <x v="19"/>
    <d v="2026-02-09T00:00:00"/>
    <x v="0"/>
    <s v="Arte"/>
    <n v="350"/>
    <n v="131.25"/>
    <n v="131.25"/>
    <m/>
    <s v="Aon"/>
    <m/>
    <m/>
    <n v="105"/>
    <m/>
    <m/>
    <m/>
    <m/>
    <m/>
    <m/>
    <m/>
    <m/>
    <m/>
    <m/>
    <m/>
    <m/>
    <m/>
    <s v="A65782807"/>
    <s v="AGRUPACIO AMCI SEGUROS Y REASEGUROS"/>
    <m/>
    <n v="28043"/>
  </r>
  <r>
    <m/>
    <m/>
    <s v="INSESP0602-1"/>
    <m/>
    <x v="20"/>
    <d v="2026-02-24T00:00:00"/>
    <x v="0"/>
    <s v="Arte"/>
    <n v="0"/>
    <n v="0"/>
    <n v="0"/>
    <m/>
    <s v="Aon"/>
    <m/>
    <m/>
    <n v="0"/>
    <m/>
    <m/>
    <m/>
    <m/>
    <m/>
    <m/>
    <m/>
    <m/>
    <m/>
    <m/>
    <m/>
    <m/>
    <m/>
    <s v="A65782807"/>
    <s v="AGRUPACIO AMCI SEGUROS Y REASEGUROS"/>
    <m/>
    <n v="28043"/>
  </r>
  <r>
    <m/>
    <m/>
    <s v="INSESP0603"/>
    <m/>
    <x v="21"/>
    <d v="2026-02-13T00:00:00"/>
    <x v="0"/>
    <s v="Arte"/>
    <n v="350"/>
    <n v="131.25"/>
    <n v="131.25"/>
    <m/>
    <s v="Asterra"/>
    <m/>
    <m/>
    <n v="70"/>
    <m/>
    <m/>
    <m/>
    <m/>
    <m/>
    <m/>
    <m/>
    <m/>
    <m/>
    <m/>
    <m/>
    <m/>
    <m/>
    <s v="P3003000A"/>
    <s v="Ayuntamiento de Murcia"/>
    <m/>
    <n v="30002"/>
  </r>
  <r>
    <m/>
    <m/>
    <s v="INSESP0604"/>
    <m/>
    <x v="22"/>
    <d v="2026-02-16T00:00:00"/>
    <x v="0"/>
    <s v="Arte"/>
    <n v="350"/>
    <n v="131.25"/>
    <n v="131.25"/>
    <m/>
    <s v="Ricardo Sánchez-Arévalo"/>
    <m/>
    <m/>
    <n v="70"/>
    <m/>
    <m/>
    <m/>
    <m/>
    <m/>
    <m/>
    <m/>
    <m/>
    <m/>
    <m/>
    <m/>
    <m/>
    <m/>
    <s v="B87760542"/>
    <s v="Refiki, S.L."/>
    <m/>
    <n v="10003"/>
  </r>
  <r>
    <m/>
    <m/>
    <s v="INSESP0605"/>
    <m/>
    <x v="23"/>
    <d v="2026-02-19T00:00:00"/>
    <x v="0"/>
    <s v="Arte"/>
    <n v="350"/>
    <n v="131.25"/>
    <n v="131.25"/>
    <m/>
    <s v="Marsh"/>
    <m/>
    <m/>
    <n v="70"/>
    <m/>
    <m/>
    <m/>
    <m/>
    <m/>
    <m/>
    <m/>
    <m/>
    <m/>
    <m/>
    <m/>
    <m/>
    <m/>
    <s v="P2004900C"/>
    <s v="Ayuntamiento de Irun"/>
    <m/>
    <n v="20304"/>
  </r>
  <r>
    <m/>
    <m/>
    <s v="INSESP0606"/>
    <m/>
    <x v="23"/>
    <d v="2026-02-19T00:00:00"/>
    <x v="0"/>
    <s v="Arte"/>
    <n v="4300"/>
    <n v="1505"/>
    <n v="1505"/>
    <m/>
    <s v="Poolsegur"/>
    <m/>
    <m/>
    <n v="1290"/>
    <m/>
    <m/>
    <m/>
    <m/>
    <m/>
    <m/>
    <m/>
    <m/>
    <m/>
    <m/>
    <m/>
    <m/>
    <m/>
    <s v="00797930Z"/>
    <s v="Joaquín Torrente García de la Mata"/>
    <m/>
    <n v="28004"/>
  </r>
  <r>
    <m/>
    <m/>
    <s v="INSESP0607"/>
    <m/>
    <x v="23"/>
    <d v="2026-02-19T00:00:00"/>
    <x v="0"/>
    <s v="Arte"/>
    <n v="200"/>
    <n v="70"/>
    <n v="70"/>
    <m/>
    <s v="Poolsegur"/>
    <m/>
    <m/>
    <n v="60"/>
    <m/>
    <m/>
    <m/>
    <m/>
    <m/>
    <m/>
    <m/>
    <m/>
    <m/>
    <m/>
    <m/>
    <m/>
    <m/>
    <s v="00797930Z"/>
    <s v="Joaquín Torrente García de la Mata"/>
    <m/>
    <n v="28004"/>
  </r>
  <r>
    <m/>
    <m/>
    <s v="INSESP0609"/>
    <m/>
    <x v="23"/>
    <d v="2026-02-19T00:00:00"/>
    <x v="0"/>
    <s v="Arte"/>
    <n v="12800"/>
    <n v="4480"/>
    <n v="4480"/>
    <m/>
    <s v="Poolsegur"/>
    <m/>
    <m/>
    <n v="3840"/>
    <m/>
    <m/>
    <m/>
    <m/>
    <m/>
    <m/>
    <m/>
    <m/>
    <m/>
    <m/>
    <m/>
    <m/>
    <m/>
    <s v="50783660M"/>
    <s v="Isabel Argüelles Salavierra"/>
    <m/>
    <n v="28223"/>
  </r>
  <r>
    <m/>
    <m/>
    <s v="INSESP0610"/>
    <m/>
    <x v="23"/>
    <d v="2026-02-19T00:00:00"/>
    <x v="0"/>
    <s v="Arte"/>
    <n v="200"/>
    <n v="70"/>
    <n v="70"/>
    <m/>
    <s v="Poolsegur"/>
    <m/>
    <m/>
    <n v="60"/>
    <m/>
    <m/>
    <m/>
    <m/>
    <m/>
    <m/>
    <m/>
    <m/>
    <m/>
    <m/>
    <m/>
    <m/>
    <m/>
    <s v="50783660M"/>
    <s v="Isabel Argüelles Salavierra"/>
    <m/>
    <n v="28223"/>
  </r>
  <r>
    <m/>
    <m/>
    <s v="INSESP0612"/>
    <m/>
    <x v="23"/>
    <d v="2026-02-19T00:00:00"/>
    <x v="0"/>
    <s v="Arte"/>
    <n v="300"/>
    <n v="112.5"/>
    <n v="112.5"/>
    <m/>
    <s v="Aon"/>
    <m/>
    <m/>
    <n v="90"/>
    <m/>
    <m/>
    <m/>
    <m/>
    <m/>
    <m/>
    <m/>
    <m/>
    <m/>
    <m/>
    <m/>
    <m/>
    <m/>
    <s v="G28474898"/>
    <s v="UGT CEC"/>
    <m/>
    <n v="28002"/>
  </r>
  <r>
    <m/>
    <m/>
    <s v="INSESP0613"/>
    <m/>
    <x v="17"/>
    <d v="2026-02-20T00:00:00"/>
    <x v="0"/>
    <s v="Arte"/>
    <n v="350"/>
    <n v="131.25"/>
    <n v="131.25"/>
    <m/>
    <s v="Aon"/>
    <m/>
    <m/>
    <n v="105"/>
    <m/>
    <m/>
    <m/>
    <m/>
    <m/>
    <m/>
    <m/>
    <m/>
    <m/>
    <m/>
    <m/>
    <m/>
    <m/>
    <s v="Q1300474B"/>
    <s v="Museo Nacional de Artes Escénicas"/>
    <m/>
    <n v="28001"/>
  </r>
  <r>
    <m/>
    <m/>
    <s v="INSESP0614"/>
    <m/>
    <x v="17"/>
    <d v="2026-02-20T00:00:00"/>
    <x v="0"/>
    <s v="Arte"/>
    <n v="350"/>
    <n v="131.25"/>
    <n v="131.25"/>
    <m/>
    <s v="Aon"/>
    <m/>
    <m/>
    <n v="105"/>
    <m/>
    <m/>
    <m/>
    <m/>
    <m/>
    <m/>
    <m/>
    <m/>
    <m/>
    <m/>
    <m/>
    <m/>
    <m/>
    <s v="Q1300474B"/>
    <s v="Museo Nacional de Artes Escénicas"/>
    <m/>
    <n v="13270"/>
  </r>
  <r>
    <m/>
    <m/>
    <s v="INSESP0615"/>
    <m/>
    <x v="15"/>
    <d v="2026-02-23T00:00:00"/>
    <x v="0"/>
    <s v="Arte"/>
    <n v="350"/>
    <n v="131.25"/>
    <n v="131.25"/>
    <m/>
    <s v="Aon"/>
    <m/>
    <m/>
    <n v="105"/>
    <m/>
    <m/>
    <m/>
    <m/>
    <m/>
    <m/>
    <m/>
    <m/>
    <m/>
    <m/>
    <m/>
    <m/>
    <m/>
    <s v="B82627548"/>
    <s v="LA FÁBRICA-GESTIÓN + CULTURA, S.L."/>
    <m/>
    <n v="28042"/>
  </r>
  <r>
    <m/>
    <m/>
    <s v="INSESP0615-1"/>
    <m/>
    <x v="20"/>
    <d v="2026-02-24T00:00:00"/>
    <x v="0"/>
    <s v="Arte"/>
    <n v="0"/>
    <n v="0"/>
    <n v="0"/>
    <m/>
    <s v="Aon"/>
    <m/>
    <m/>
    <n v="0"/>
    <m/>
    <m/>
    <m/>
    <m/>
    <m/>
    <m/>
    <m/>
    <m/>
    <m/>
    <m/>
    <m/>
    <m/>
    <m/>
    <s v="B82627548"/>
    <s v="LA FÁBRICA-GESTIÓN + CULTURA, S.L."/>
    <m/>
    <n v="28042"/>
  </r>
  <r>
    <m/>
    <m/>
    <s v="INSESP0616"/>
    <m/>
    <x v="20"/>
    <d v="2026-02-24T00:00:00"/>
    <x v="0"/>
    <s v="Arte"/>
    <n v="750"/>
    <n v="281.25"/>
    <n v="281.25"/>
    <m/>
    <s v="Poolsegur"/>
    <m/>
    <m/>
    <n v="225"/>
    <m/>
    <m/>
    <m/>
    <m/>
    <m/>
    <m/>
    <m/>
    <m/>
    <m/>
    <m/>
    <m/>
    <m/>
    <m/>
    <s v="00815961J"/>
    <s v="María Paloma Ruíz de la Prada Mac-Crohon"/>
    <m/>
    <n v="28001"/>
  </r>
  <r>
    <m/>
    <m/>
    <s v="INSESP0616"/>
    <m/>
    <x v="20"/>
    <d v="2026-02-24T00:00:00"/>
    <x v="0"/>
    <s v="Arte"/>
    <n v="750"/>
    <n v="281.25"/>
    <n v="281.25"/>
    <m/>
    <s v="Poolsegur"/>
    <m/>
    <m/>
    <n v="225"/>
    <m/>
    <m/>
    <m/>
    <m/>
    <m/>
    <m/>
    <m/>
    <m/>
    <m/>
    <m/>
    <m/>
    <m/>
    <m/>
    <s v="00815961J"/>
    <s v="María Paloma Ruíz de la Prada Mac-Crohon"/>
    <m/>
    <n v="28001"/>
  </r>
  <r>
    <m/>
    <m/>
    <s v="INSESP0616"/>
    <m/>
    <x v="20"/>
    <d v="2026-02-24T00:00:00"/>
    <x v="0"/>
    <s v="Arte"/>
    <n v="750"/>
    <n v="281.25"/>
    <n v="281.25"/>
    <m/>
    <s v="Poolsegur"/>
    <m/>
    <m/>
    <n v="225"/>
    <m/>
    <m/>
    <m/>
    <m/>
    <m/>
    <m/>
    <m/>
    <m/>
    <m/>
    <m/>
    <m/>
    <m/>
    <m/>
    <s v="00815961J"/>
    <s v="María Paloma Ruíz de la Prada Mac-Crohon"/>
    <m/>
    <n v="28001"/>
  </r>
  <r>
    <m/>
    <m/>
    <s v="INSESP0616"/>
    <m/>
    <x v="20"/>
    <d v="2026-02-24T00:00:00"/>
    <x v="0"/>
    <s v="Arte"/>
    <n v="750"/>
    <n v="281.25"/>
    <n v="281.25"/>
    <m/>
    <s v="Poolsegur"/>
    <m/>
    <m/>
    <n v="225"/>
    <m/>
    <m/>
    <m/>
    <m/>
    <m/>
    <m/>
    <m/>
    <m/>
    <m/>
    <m/>
    <m/>
    <m/>
    <m/>
    <s v="00815961J"/>
    <s v="María Paloma Ruíz de la Prada Mac-Crohon"/>
    <m/>
    <n v="28001"/>
  </r>
  <r>
    <m/>
    <m/>
    <s v="INSESP0617"/>
    <m/>
    <x v="20"/>
    <d v="2026-02-24T00:00:00"/>
    <x v="0"/>
    <s v="Arte"/>
    <n v="474.03"/>
    <n v="177.76124999999999"/>
    <n v="177.76124999999999"/>
    <m/>
    <s v="Baulenas"/>
    <m/>
    <m/>
    <n v="94.805999999999997"/>
    <m/>
    <m/>
    <m/>
    <m/>
    <m/>
    <m/>
    <m/>
    <m/>
    <m/>
    <m/>
    <m/>
    <m/>
    <m/>
    <s v="B61789491"/>
    <s v="Trifusió Projects Culturals S.L."/>
    <m/>
    <n v="8911"/>
  </r>
  <r>
    <m/>
    <m/>
    <s v="INSESP0618"/>
    <m/>
    <x v="24"/>
    <d v="2026-02-25T00:00:00"/>
    <x v="0"/>
    <s v="Arte"/>
    <n v="2148.4899999999998"/>
    <n v="805.68374999999992"/>
    <n v="805.68374999999992"/>
    <m/>
    <s v="Baylin"/>
    <m/>
    <m/>
    <n v="429.69799999999998"/>
    <m/>
    <m/>
    <m/>
    <m/>
    <m/>
    <m/>
    <m/>
    <m/>
    <m/>
    <m/>
    <m/>
    <m/>
    <m/>
    <s v="01464915E"/>
    <s v="Maria Teresa Cruz-Conde Jiménez"/>
    <m/>
    <n v="28109"/>
  </r>
  <r>
    <m/>
    <m/>
    <s v="INSESP0619"/>
    <m/>
    <x v="25"/>
    <d v="2026-02-27T00:00:00"/>
    <x v="0"/>
    <s v="Arte"/>
    <n v="835"/>
    <n v="313.125"/>
    <n v="313.125"/>
    <m/>
    <s v="MARIMON BUENDIA Y CARRANZA, C.SS.L."/>
    <m/>
    <m/>
    <n v="167"/>
    <m/>
    <m/>
    <m/>
    <m/>
    <m/>
    <m/>
    <m/>
    <m/>
    <m/>
    <m/>
    <m/>
    <m/>
    <m/>
    <s v="47724606C"/>
    <s v="LUIS FERRER JARA_x000a_LUIS FERRER JARA_x000a_LUIS FERRER JARA"/>
    <m/>
    <n v="8021"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x v="26"/>
    <m/>
    <x v="1"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ECE34F-65E6-4A19-83C8-7C12BB0C27D3}" name="TablaDinámica3" cacheId="35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8:J9" firstHeaderRow="0" firstDataRow="1" firstDataCol="1" rowPageCount="1" colPageCount="1"/>
  <pivotFields count="35">
    <pivotField showAll="0"/>
    <pivotField showAll="0"/>
    <pivotField showAll="0"/>
    <pivotField showAll="0"/>
    <pivotField showAll="0">
      <items count="40">
        <item m="1" x="27"/>
        <item m="1" x="28"/>
        <item m="1" x="29"/>
        <item m="1" x="30"/>
        <item m="1" x="31"/>
        <item m="1" x="32"/>
        <item m="1" x="33"/>
        <item x="26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axis="axisRow" showAll="0">
      <items count="3">
        <item x="0"/>
        <item h="1" x="1"/>
        <item t="default"/>
      </items>
    </pivotField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sd="0" x="12"/>
        <item h="1" sd="0" x="13"/>
        <item t="default"/>
      </items>
    </pivotField>
  </pivotFields>
  <rowFields count="1">
    <field x="6"/>
  </rowFields>
  <rowItems count="1">
    <i t="grand">
      <x/>
    </i>
  </rowItems>
  <colFields count="1">
    <field x="-2"/>
  </colFields>
  <colItems count="2">
    <i>
      <x/>
    </i>
    <i i="1">
      <x v="1"/>
    </i>
  </colItems>
  <pageFields count="1">
    <pageField fld="34" hier="-1"/>
  </pageFields>
  <dataFields count="2">
    <dataField name="Suma de Prima neta" fld="8" baseField="0" baseItem="0" numFmtId="4"/>
    <dataField name="Suma de Comisión prima neta" fld="10" baseField="0" baseItem="0" numFmtId="4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2AEE4-ED53-4D54-9487-0BFCD8DD1F13}" name="TablaDinámica1" cacheId="35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F3" firstHeaderRow="0" firstDataRow="1" firstDataCol="1"/>
  <pivotFields count="35">
    <pivotField showAll="0"/>
    <pivotField showAll="0"/>
    <pivotField showAll="0"/>
    <pivotField showAll="0"/>
    <pivotField showAll="0">
      <items count="40">
        <item m="1" x="27"/>
        <item m="1" x="28"/>
        <item m="1" x="29"/>
        <item m="1" x="30"/>
        <item m="1" x="31"/>
        <item m="1" x="32"/>
        <item m="1" x="33"/>
        <item x="26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axis="axisRow" showAll="0">
      <items count="3">
        <item x="0"/>
        <item h="1" x="1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Prima neta" fld="8" baseField="0" baseItem="0"/>
    <dataField name="Suma de Comisión Bruta" fld="9" baseField="0" baseItem="0"/>
    <dataField name="Suma de Comisión prima neta" fld="10" baseField="0" baseItem="0"/>
    <dataField name="Suma de Comisión complementaria" fld="11" baseField="0" baseItem="0"/>
    <dataField name="Suma de Comisión colaborador 1" fld="1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1EC443-75F4-4548-BC6A-83DE2BE7E008}" name="TablaDinámica2" cacheId="359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0:F23" firstHeaderRow="0" firstDataRow="1" firstDataCol="1"/>
  <pivotFields count="35">
    <pivotField showAll="0"/>
    <pivotField showAll="0"/>
    <pivotField showAll="0"/>
    <pivotField showAll="0"/>
    <pivotField showAll="0">
      <items count="40">
        <item m="1" x="27"/>
        <item m="1" x="28"/>
        <item m="1" x="29"/>
        <item m="1" x="30"/>
        <item m="1" x="31"/>
        <item m="1" x="32"/>
        <item m="1" x="33"/>
        <item x="26"/>
        <item m="1" x="34"/>
        <item m="1" x="35"/>
        <item m="1" x="36"/>
        <item m="1" x="37"/>
        <item m="1" x="3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369"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0"/>
        <item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34"/>
  </rowFields>
  <rowItems count="3"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a de Prima neta" fld="8" baseField="0" baseItem="0" numFmtId="43"/>
    <dataField name="Suma de Comisión Bruta" fld="9" baseField="0" baseItem="0" numFmtId="43"/>
    <dataField name="Suma de Comisión prima neta" fld="10" baseField="0" baseItem="0" numFmtId="43"/>
    <dataField name="Suma de Comisión complementaria" fld="11" baseField="0" baseItem="0"/>
    <dataField name="Suma de Comisión colaborador 1" fld="15" baseField="0" baseItem="0"/>
  </dataFields>
  <formats count="1">
    <format dxfId="0">
      <pivotArea outline="0" collapsedLevelsAreSubtotals="1" fieldPosition="0">
        <references count="1">
          <reference field="4294967294" count="3" selected="0">
            <x v="0"/>
            <x v="1"/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rc.anadon@sabseg.com" TargetMode="External"/><Relationship Id="rId2" Type="http://schemas.openxmlformats.org/officeDocument/2006/relationships/hyperlink" Target="mailto:pere.torres@sabseg.com" TargetMode="External"/><Relationship Id="rId1" Type="http://schemas.openxmlformats.org/officeDocument/2006/relationships/hyperlink" Target="mailto:carles.saez@sabseg.com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7E3B-4C39-4B40-A276-7423FFD64277}">
  <dimension ref="A5:AD31"/>
  <sheetViews>
    <sheetView showGridLines="0" zoomScale="110" zoomScaleNormal="110" workbookViewId="0">
      <selection activeCell="F30" sqref="F30"/>
    </sheetView>
  </sheetViews>
  <sheetFormatPr defaultColWidth="11.42578125" defaultRowHeight="15"/>
  <cols>
    <col min="2" max="2" width="5.28515625" customWidth="1"/>
    <col min="10" max="10" width="24.28515625" customWidth="1"/>
  </cols>
  <sheetData>
    <row r="5" spans="1:30">
      <c r="B5" s="67" t="s">
        <v>0</v>
      </c>
      <c r="C5" s="67"/>
      <c r="D5" s="67"/>
      <c r="E5" s="67"/>
      <c r="F5" s="67"/>
      <c r="G5" s="67"/>
      <c r="H5" s="67"/>
      <c r="I5" s="67"/>
      <c r="J5" s="67"/>
    </row>
    <row r="6" spans="1:30">
      <c r="A6" s="33"/>
      <c r="B6" s="10"/>
      <c r="C6" s="10"/>
      <c r="D6" s="10"/>
      <c r="E6" s="10"/>
      <c r="F6" s="10"/>
      <c r="G6" s="10"/>
      <c r="H6" s="10"/>
      <c r="I6" s="10"/>
      <c r="J6" s="21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</row>
    <row r="7" spans="1:30">
      <c r="A7" s="33"/>
      <c r="B7" s="8"/>
      <c r="C7" s="8" t="s">
        <v>1</v>
      </c>
      <c r="D7" s="8"/>
      <c r="E7" s="8"/>
      <c r="F7" s="8"/>
      <c r="G7" s="8"/>
      <c r="H7" s="8"/>
      <c r="I7" s="8"/>
      <c r="J7" s="22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</row>
    <row r="8" spans="1:30">
      <c r="A8" s="33"/>
      <c r="B8" s="8"/>
      <c r="C8" s="8" t="s">
        <v>2</v>
      </c>
      <c r="D8" s="8"/>
      <c r="E8" s="8"/>
      <c r="F8" s="8"/>
      <c r="G8" s="8"/>
      <c r="H8" s="8"/>
      <c r="I8" s="8"/>
      <c r="J8" s="22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</row>
    <row r="9" spans="1:30">
      <c r="A9" s="33"/>
      <c r="B9" s="8"/>
      <c r="C9" s="8"/>
      <c r="D9" s="8"/>
      <c r="E9" s="8"/>
      <c r="F9" s="8"/>
      <c r="G9" s="8"/>
      <c r="H9" s="8"/>
      <c r="I9" s="8"/>
      <c r="J9" s="22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</row>
    <row r="10" spans="1:30">
      <c r="A10" s="33"/>
      <c r="B10" s="8"/>
      <c r="C10" s="23" t="s">
        <v>3</v>
      </c>
      <c r="D10" s="8"/>
      <c r="E10" s="8"/>
      <c r="F10" s="8"/>
      <c r="G10" s="8"/>
      <c r="H10" s="8"/>
      <c r="I10" s="8"/>
      <c r="J10" s="22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</row>
    <row r="11" spans="1:30">
      <c r="A11" s="33"/>
      <c r="B11" s="8"/>
      <c r="C11" s="8"/>
      <c r="D11" s="8"/>
      <c r="E11" s="8"/>
      <c r="F11" s="8"/>
      <c r="G11" s="8"/>
      <c r="H11" s="8"/>
      <c r="I11" s="8"/>
      <c r="J11" s="22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</row>
    <row r="12" spans="1:30">
      <c r="A12" s="33"/>
      <c r="B12" s="8"/>
      <c r="C12" s="9" t="s">
        <v>4</v>
      </c>
      <c r="D12" s="8"/>
      <c r="E12" s="8"/>
      <c r="F12" s="8"/>
      <c r="G12" s="8"/>
      <c r="H12" s="8"/>
      <c r="I12" s="8"/>
      <c r="J12" s="22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</row>
    <row r="13" spans="1:30">
      <c r="A13" s="33"/>
      <c r="B13" s="8"/>
      <c r="C13" s="9" t="s">
        <v>5</v>
      </c>
      <c r="D13" s="8"/>
      <c r="E13" s="8"/>
      <c r="F13" s="8"/>
      <c r="G13" s="8"/>
      <c r="H13" s="8"/>
      <c r="I13" s="8"/>
      <c r="J13" s="22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</row>
    <row r="14" spans="1:30">
      <c r="A14" s="33"/>
      <c r="B14" s="8"/>
      <c r="D14" s="9" t="s">
        <v>6</v>
      </c>
      <c r="E14" s="8"/>
      <c r="F14" s="8"/>
      <c r="G14" s="8"/>
      <c r="H14" s="8"/>
      <c r="I14" s="8"/>
      <c r="J14" s="22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</row>
    <row r="15" spans="1:30" ht="14.45" customHeight="1">
      <c r="A15" s="33"/>
      <c r="B15" s="8"/>
      <c r="D15" s="9" t="s">
        <v>7</v>
      </c>
      <c r="E15" s="8"/>
      <c r="F15" s="8"/>
      <c r="G15" s="8"/>
      <c r="H15" s="8"/>
      <c r="I15" s="8"/>
      <c r="J15" s="22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</row>
    <row r="16" spans="1:30">
      <c r="A16" s="33"/>
      <c r="B16" s="8"/>
      <c r="C16" s="9" t="s">
        <v>8</v>
      </c>
      <c r="D16" s="8"/>
      <c r="E16" s="8"/>
      <c r="F16" s="8"/>
      <c r="G16" s="8"/>
      <c r="H16" s="8"/>
      <c r="I16" s="8"/>
      <c r="J16" s="22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</row>
    <row r="17" spans="1:30">
      <c r="A17" s="33"/>
      <c r="B17" s="8"/>
      <c r="C17" s="9" t="s">
        <v>9</v>
      </c>
      <c r="D17" s="8"/>
      <c r="E17" s="8"/>
      <c r="F17" s="8"/>
      <c r="G17" s="8"/>
      <c r="H17" s="8"/>
      <c r="I17" s="8"/>
      <c r="J17" s="22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</row>
    <row r="18" spans="1:30">
      <c r="A18" s="33"/>
      <c r="B18" s="8"/>
      <c r="C18" s="9" t="s">
        <v>10</v>
      </c>
      <c r="D18" s="8"/>
      <c r="E18" s="8"/>
      <c r="F18" s="8"/>
      <c r="G18" s="8"/>
      <c r="H18" s="8"/>
      <c r="I18" s="8"/>
      <c r="J18" s="22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</row>
    <row r="19" spans="1:30">
      <c r="A19" s="33"/>
      <c r="B19" s="8"/>
      <c r="C19" s="9" t="s">
        <v>11</v>
      </c>
      <c r="D19" s="8"/>
      <c r="E19" s="8"/>
      <c r="F19" s="8"/>
      <c r="G19" s="8"/>
      <c r="H19" s="8"/>
      <c r="I19" s="8"/>
      <c r="J19" s="22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</row>
    <row r="20" spans="1:30">
      <c r="A20" s="33"/>
      <c r="B20" s="8"/>
      <c r="C20" s="9" t="s">
        <v>12</v>
      </c>
      <c r="D20" s="8"/>
      <c r="E20" s="8"/>
      <c r="F20" s="8"/>
      <c r="G20" s="8"/>
      <c r="H20" s="8"/>
      <c r="I20" s="8"/>
      <c r="J20" s="22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</row>
    <row r="21" spans="1:30">
      <c r="A21" s="33"/>
      <c r="B21" s="8"/>
      <c r="C21" s="9" t="s">
        <v>13</v>
      </c>
      <c r="D21" s="8"/>
      <c r="E21" s="8"/>
      <c r="F21" s="8"/>
      <c r="G21" s="8"/>
      <c r="H21" s="8"/>
      <c r="I21" s="8"/>
      <c r="J21" s="22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</row>
    <row r="22" spans="1:30">
      <c r="A22" s="33"/>
      <c r="B22" s="8"/>
      <c r="C22" s="24" t="s">
        <v>14</v>
      </c>
      <c r="D22" s="8"/>
      <c r="E22" s="8"/>
      <c r="F22" s="8"/>
      <c r="G22" s="8"/>
      <c r="H22" s="8"/>
      <c r="I22" s="8"/>
      <c r="J22" s="22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</row>
    <row r="23" spans="1:30">
      <c r="A23" s="33"/>
      <c r="B23" s="8"/>
      <c r="C23" s="8"/>
      <c r="D23" s="25" t="s">
        <v>15</v>
      </c>
      <c r="E23" s="8"/>
      <c r="F23" s="8"/>
      <c r="G23" s="8"/>
      <c r="H23" s="8"/>
      <c r="I23" s="8"/>
      <c r="J23" s="22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</row>
    <row r="24" spans="1:30">
      <c r="A24" s="33"/>
      <c r="B24" s="8"/>
      <c r="C24" s="8"/>
      <c r="D24" s="25" t="s">
        <v>16</v>
      </c>
      <c r="E24" s="8"/>
      <c r="F24" s="8"/>
      <c r="G24" s="8"/>
      <c r="H24" s="8"/>
      <c r="I24" s="8"/>
      <c r="J24" s="22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</row>
    <row r="25" spans="1:30">
      <c r="A25" s="33"/>
      <c r="B25" s="26"/>
      <c r="C25" s="26"/>
      <c r="D25" s="27" t="s">
        <v>17</v>
      </c>
      <c r="E25" s="26"/>
      <c r="F25" s="26"/>
      <c r="G25" s="26"/>
      <c r="H25" s="26"/>
      <c r="I25" s="26"/>
      <c r="J25" s="2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</row>
    <row r="26" spans="1:30"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</row>
    <row r="27" spans="1:30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</row>
    <row r="28" spans="1:30"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</row>
    <row r="29" spans="1:30"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</row>
    <row r="30" spans="1:30"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</row>
    <row r="31" spans="1:30"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</row>
  </sheetData>
  <mergeCells count="1">
    <mergeCell ref="B5:J5"/>
  </mergeCells>
  <hyperlinks>
    <hyperlink ref="D23" r:id="rId1" xr:uid="{F08D3C81-5E2A-4559-84A2-FEC20DDF9E7D}"/>
    <hyperlink ref="D24" r:id="rId2" xr:uid="{287FF756-0498-43ED-B342-DD76A82A2539}"/>
    <hyperlink ref="D25" r:id="rId3" xr:uid="{0D6B488C-58D3-431C-90B2-236C5015A843}"/>
  </hyperlinks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D61B1-1232-4C64-A4A0-828E30549AE1}">
  <dimension ref="A1:K40"/>
  <sheetViews>
    <sheetView showGridLines="0" topLeftCell="A3" workbookViewId="0">
      <selection activeCell="A28" sqref="A28"/>
    </sheetView>
  </sheetViews>
  <sheetFormatPr defaultColWidth="11.42578125" defaultRowHeight="15"/>
  <cols>
    <col min="1" max="1" width="34.85546875" style="4" customWidth="1"/>
    <col min="2" max="2" width="115.42578125" style="4" customWidth="1"/>
    <col min="3" max="3" width="16.7109375" customWidth="1"/>
    <col min="4" max="4" width="15.7109375" customWidth="1"/>
    <col min="8" max="8" width="17.85546875" customWidth="1"/>
    <col min="9" max="9" width="18.7109375" customWidth="1"/>
    <col min="10" max="10" width="15.5703125" customWidth="1"/>
    <col min="11" max="11" width="18.140625" customWidth="1"/>
    <col min="12" max="12" width="18" customWidth="1"/>
    <col min="13" max="13" width="12" customWidth="1"/>
    <col min="14" max="14" width="14" customWidth="1"/>
    <col min="15" max="15" width="12.42578125" customWidth="1"/>
    <col min="16" max="16" width="14.85546875" customWidth="1"/>
    <col min="17" max="17" width="15.85546875" customWidth="1"/>
  </cols>
  <sheetData>
    <row r="1" spans="1:11">
      <c r="A1" s="7" t="s">
        <v>18</v>
      </c>
      <c r="B1" s="7" t="s">
        <v>19</v>
      </c>
    </row>
    <row r="2" spans="1:11" ht="15" customHeight="1">
      <c r="A2" s="5" t="s">
        <v>20</v>
      </c>
      <c r="B2" s="2" t="s">
        <v>21</v>
      </c>
    </row>
    <row r="3" spans="1:11" ht="15" customHeight="1">
      <c r="A3" s="37" t="s">
        <v>22</v>
      </c>
      <c r="B3" s="2" t="s">
        <v>23</v>
      </c>
    </row>
    <row r="4" spans="1:11" ht="15" customHeight="1">
      <c r="A4" s="5" t="s">
        <v>24</v>
      </c>
      <c r="B4" s="2" t="s">
        <v>25</v>
      </c>
    </row>
    <row r="5" spans="1:11" ht="15" customHeight="1">
      <c r="A5" s="37" t="s">
        <v>26</v>
      </c>
      <c r="B5" s="2" t="s">
        <v>27</v>
      </c>
    </row>
    <row r="6" spans="1:11" ht="15" customHeight="1">
      <c r="A6" s="5" t="s">
        <v>28</v>
      </c>
      <c r="B6" s="2" t="s">
        <v>29</v>
      </c>
    </row>
    <row r="7" spans="1:11" ht="15" customHeight="1">
      <c r="A7" s="5" t="s">
        <v>30</v>
      </c>
      <c r="B7" s="2" t="s">
        <v>31</v>
      </c>
    </row>
    <row r="8" spans="1:11" ht="15" customHeight="1">
      <c r="A8" s="5" t="s">
        <v>32</v>
      </c>
      <c r="B8" s="2" t="s">
        <v>33</v>
      </c>
    </row>
    <row r="9" spans="1:11" ht="15" customHeight="1">
      <c r="A9" s="5" t="s">
        <v>34</v>
      </c>
      <c r="B9" s="2" t="s">
        <v>35</v>
      </c>
    </row>
    <row r="10" spans="1:11" ht="15" customHeight="1">
      <c r="A10" s="5" t="s">
        <v>36</v>
      </c>
      <c r="B10" s="2" t="s">
        <v>37</v>
      </c>
    </row>
    <row r="11" spans="1:11" ht="15" customHeight="1">
      <c r="A11" s="5" t="s">
        <v>38</v>
      </c>
      <c r="B11" s="2" t="s">
        <v>39</v>
      </c>
    </row>
    <row r="12" spans="1:11" ht="15" customHeight="1">
      <c r="A12" s="5" t="s">
        <v>40</v>
      </c>
      <c r="B12" s="2" t="s">
        <v>41</v>
      </c>
    </row>
    <row r="13" spans="1:11" ht="15" customHeight="1">
      <c r="A13" s="5" t="s">
        <v>42</v>
      </c>
      <c r="B13" s="2" t="s">
        <v>43</v>
      </c>
    </row>
    <row r="14" spans="1:11" ht="45.6" customHeight="1">
      <c r="A14" s="5" t="s">
        <v>44</v>
      </c>
      <c r="B14" s="2" t="s">
        <v>45</v>
      </c>
      <c r="C14" s="69"/>
      <c r="D14" s="69"/>
      <c r="E14" s="69"/>
      <c r="F14" s="69"/>
      <c r="G14" s="69"/>
      <c r="H14" s="69"/>
      <c r="K14" s="1" t="s">
        <v>46</v>
      </c>
    </row>
    <row r="15" spans="1:11" ht="45.6" customHeight="1">
      <c r="A15" s="37" t="s">
        <v>47</v>
      </c>
      <c r="B15" s="2" t="s">
        <v>45</v>
      </c>
      <c r="C15" s="69"/>
      <c r="D15" s="69"/>
      <c r="E15" s="69"/>
      <c r="F15" s="69"/>
      <c r="G15" s="69"/>
      <c r="H15" s="69"/>
      <c r="K15" s="1" t="s">
        <v>46</v>
      </c>
    </row>
    <row r="16" spans="1:11" ht="45.6" customHeight="1">
      <c r="A16" s="37" t="s">
        <v>48</v>
      </c>
      <c r="B16" s="2" t="s">
        <v>45</v>
      </c>
      <c r="C16" s="69"/>
      <c r="D16" s="69"/>
      <c r="E16" s="69"/>
      <c r="F16" s="69"/>
      <c r="G16" s="69"/>
      <c r="H16" s="69"/>
      <c r="K16" s="1" t="s">
        <v>46</v>
      </c>
    </row>
    <row r="17" spans="1:8" ht="19.5" customHeight="1">
      <c r="A17" s="5" t="s">
        <v>49</v>
      </c>
      <c r="B17" s="2" t="s">
        <v>50</v>
      </c>
    </row>
    <row r="18" spans="1:8" ht="19.5" customHeight="1">
      <c r="A18" s="37" t="s">
        <v>51</v>
      </c>
      <c r="B18" s="2" t="s">
        <v>50</v>
      </c>
    </row>
    <row r="19" spans="1:8" ht="19.5" customHeight="1">
      <c r="A19" s="37" t="s">
        <v>52</v>
      </c>
      <c r="B19" s="2" t="s">
        <v>50</v>
      </c>
    </row>
    <row r="20" spans="1:8" ht="19.5" customHeight="1">
      <c r="A20" s="37" t="s">
        <v>53</v>
      </c>
      <c r="B20" s="2" t="s">
        <v>54</v>
      </c>
    </row>
    <row r="21" spans="1:8" ht="15" customHeight="1">
      <c r="A21" s="5" t="s">
        <v>55</v>
      </c>
      <c r="B21" s="3" t="s">
        <v>56</v>
      </c>
      <c r="C21" s="69"/>
      <c r="D21" s="69"/>
      <c r="E21" s="69"/>
      <c r="F21" s="69"/>
      <c r="G21" s="69"/>
      <c r="H21" s="69"/>
    </row>
    <row r="22" spans="1:8" ht="15" customHeight="1">
      <c r="A22" s="5" t="s">
        <v>57</v>
      </c>
      <c r="B22" s="2" t="s">
        <v>58</v>
      </c>
    </row>
    <row r="23" spans="1:8" ht="15" customHeight="1">
      <c r="A23" s="5" t="s">
        <v>59</v>
      </c>
      <c r="B23" s="2" t="s">
        <v>60</v>
      </c>
    </row>
    <row r="24" spans="1:8" ht="30">
      <c r="A24" s="5" t="s">
        <v>61</v>
      </c>
      <c r="B24" s="2" t="s">
        <v>62</v>
      </c>
      <c r="C24" s="69"/>
      <c r="D24" s="69"/>
      <c r="E24" s="69"/>
      <c r="F24" s="69"/>
      <c r="G24" s="69"/>
      <c r="H24" s="69"/>
    </row>
    <row r="25" spans="1:8">
      <c r="A25" s="37" t="s">
        <v>63</v>
      </c>
      <c r="B25" s="2" t="s">
        <v>64</v>
      </c>
      <c r="C25" s="69"/>
      <c r="D25" s="69"/>
      <c r="E25" s="69"/>
      <c r="F25" s="69"/>
      <c r="G25" s="69"/>
      <c r="H25" s="69"/>
    </row>
    <row r="26" spans="1:8" ht="14.25" customHeight="1">
      <c r="A26" s="36" t="s">
        <v>65</v>
      </c>
      <c r="B26" s="3" t="s">
        <v>66</v>
      </c>
      <c r="C26" s="69"/>
      <c r="D26" s="69"/>
      <c r="E26" s="69"/>
      <c r="F26" s="69"/>
      <c r="G26" s="69"/>
      <c r="H26" s="69"/>
    </row>
    <row r="27" spans="1:8" ht="14.25" customHeight="1">
      <c r="A27" s="36" t="s">
        <v>67</v>
      </c>
      <c r="B27" s="68" t="s">
        <v>68</v>
      </c>
      <c r="C27" s="69"/>
      <c r="D27" s="69"/>
      <c r="E27" s="69"/>
      <c r="F27" s="69"/>
      <c r="G27" s="69"/>
      <c r="H27" s="69"/>
    </row>
    <row r="28" spans="1:8" ht="14.25" customHeight="1">
      <c r="A28" s="36" t="s">
        <v>69</v>
      </c>
      <c r="B28" s="68"/>
      <c r="C28" s="69"/>
      <c r="D28" s="69"/>
      <c r="E28" s="69"/>
      <c r="F28" s="69"/>
      <c r="G28" s="69"/>
      <c r="H28" s="69"/>
    </row>
    <row r="29" spans="1:8" ht="14.25" customHeight="1">
      <c r="A29" s="36" t="s">
        <v>70</v>
      </c>
      <c r="B29" s="68"/>
      <c r="C29" s="69"/>
      <c r="D29" s="69"/>
      <c r="E29" s="69"/>
      <c r="F29" s="69"/>
      <c r="G29" s="69"/>
      <c r="H29" s="69"/>
    </row>
    <row r="30" spans="1:8" ht="15" customHeight="1">
      <c r="A30" s="5" t="s">
        <v>71</v>
      </c>
      <c r="B30" s="68"/>
    </row>
    <row r="31" spans="1:8" ht="15" customHeight="1">
      <c r="A31" s="6" t="s">
        <v>72</v>
      </c>
      <c r="B31" s="2" t="s">
        <v>73</v>
      </c>
    </row>
    <row r="32" spans="1:8" ht="15" customHeight="1">
      <c r="A32" s="6" t="s">
        <v>74</v>
      </c>
      <c r="B32" s="2" t="s">
        <v>75</v>
      </c>
    </row>
    <row r="33" spans="1:2" ht="15" customHeight="1">
      <c r="A33" s="6" t="s">
        <v>76</v>
      </c>
      <c r="B33" s="3" t="s">
        <v>77</v>
      </c>
    </row>
    <row r="34" spans="1:2" ht="15" customHeight="1">
      <c r="A34" s="6" t="s">
        <v>78</v>
      </c>
      <c r="B34" s="2" t="s">
        <v>79</v>
      </c>
    </row>
    <row r="36" spans="1:2">
      <c r="A36" s="7" t="s">
        <v>80</v>
      </c>
      <c r="B36" s="7" t="s">
        <v>19</v>
      </c>
    </row>
    <row r="37" spans="1:2">
      <c r="A37" s="5" t="s">
        <v>81</v>
      </c>
      <c r="B37" s="4" t="s">
        <v>82</v>
      </c>
    </row>
    <row r="38" spans="1:2">
      <c r="A38" s="5" t="s">
        <v>83</v>
      </c>
      <c r="B38" s="4" t="s">
        <v>84</v>
      </c>
    </row>
    <row r="39" spans="1:2">
      <c r="A39" s="5" t="s">
        <v>85</v>
      </c>
      <c r="B39" s="4" t="s">
        <v>86</v>
      </c>
    </row>
    <row r="40" spans="1:2">
      <c r="A40" s="5" t="s">
        <v>87</v>
      </c>
      <c r="B40" s="4" t="s">
        <v>88</v>
      </c>
    </row>
  </sheetData>
  <mergeCells count="11">
    <mergeCell ref="B27:B30"/>
    <mergeCell ref="C14:H14"/>
    <mergeCell ref="C16:H16"/>
    <mergeCell ref="C21:H21"/>
    <mergeCell ref="C15:H15"/>
    <mergeCell ref="C24:H24"/>
    <mergeCell ref="C29:H29"/>
    <mergeCell ref="C28:H28"/>
    <mergeCell ref="C27:H27"/>
    <mergeCell ref="C26:H26"/>
    <mergeCell ref="C25:H2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C0D49-8D65-45C4-BF76-8C6A07DD4334}">
  <dimension ref="A1:AG13242"/>
  <sheetViews>
    <sheetView zoomScaleNormal="100" workbookViewId="0">
      <pane ySplit="1" topLeftCell="A37" activePane="bottomLeft" state="frozen"/>
      <selection pane="bottomLeft" activeCell="AE64" sqref="AE64"/>
    </sheetView>
  </sheetViews>
  <sheetFormatPr defaultColWidth="10.85546875" defaultRowHeight="15"/>
  <cols>
    <col min="1" max="12" width="16" style="17" customWidth="1"/>
    <col min="13" max="13" width="20.42578125" style="17" customWidth="1"/>
    <col min="14" max="23" width="16" style="17" customWidth="1"/>
    <col min="24" max="24" width="18.42578125" style="17" customWidth="1"/>
    <col min="25" max="25" width="16.7109375" style="17" customWidth="1"/>
    <col min="26" max="27" width="16" style="17" customWidth="1"/>
    <col min="28" max="28" width="16.42578125" style="17" customWidth="1"/>
    <col min="29" max="33" width="16" style="17" customWidth="1"/>
    <col min="34" max="16384" width="10.85546875" style="18"/>
  </cols>
  <sheetData>
    <row r="1" spans="1:33" customFormat="1" ht="38.25">
      <c r="A1" s="15" t="s">
        <v>20</v>
      </c>
      <c r="B1" s="35" t="s">
        <v>89</v>
      </c>
      <c r="C1" s="15" t="s">
        <v>24</v>
      </c>
      <c r="D1" s="35" t="s">
        <v>26</v>
      </c>
      <c r="E1" s="15" t="s">
        <v>28</v>
      </c>
      <c r="F1" s="15" t="s">
        <v>30</v>
      </c>
      <c r="G1" s="15" t="s">
        <v>32</v>
      </c>
      <c r="H1" s="15" t="s">
        <v>34</v>
      </c>
      <c r="I1" s="15" t="s">
        <v>36</v>
      </c>
      <c r="J1" s="15" t="s">
        <v>90</v>
      </c>
      <c r="K1" s="15" t="s">
        <v>40</v>
      </c>
      <c r="L1" s="15" t="s">
        <v>42</v>
      </c>
      <c r="M1" s="15" t="s">
        <v>44</v>
      </c>
      <c r="N1" s="35" t="s">
        <v>47</v>
      </c>
      <c r="O1" s="35" t="s">
        <v>48</v>
      </c>
      <c r="P1" s="15" t="s">
        <v>49</v>
      </c>
      <c r="Q1" s="35" t="s">
        <v>51</v>
      </c>
      <c r="R1" s="35" t="s">
        <v>52</v>
      </c>
      <c r="S1" s="35" t="s">
        <v>53</v>
      </c>
      <c r="T1" s="15" t="s">
        <v>55</v>
      </c>
      <c r="U1" s="15" t="s">
        <v>57</v>
      </c>
      <c r="V1" s="15" t="s">
        <v>59</v>
      </c>
      <c r="W1" s="15" t="s">
        <v>61</v>
      </c>
      <c r="X1" s="35" t="s">
        <v>63</v>
      </c>
      <c r="Y1" s="34" t="s">
        <v>65</v>
      </c>
      <c r="Z1" s="34" t="s">
        <v>67</v>
      </c>
      <c r="AA1" s="34" t="s">
        <v>69</v>
      </c>
      <c r="AB1" s="34" t="s">
        <v>70</v>
      </c>
      <c r="AC1" s="15" t="s">
        <v>71</v>
      </c>
      <c r="AD1" s="16" t="s">
        <v>72</v>
      </c>
      <c r="AE1" s="16" t="s">
        <v>74</v>
      </c>
      <c r="AF1" s="16" t="s">
        <v>76</v>
      </c>
      <c r="AG1" s="16" t="s">
        <v>78</v>
      </c>
    </row>
    <row r="2" spans="1:33">
      <c r="A2" s="29"/>
      <c r="C2" s="43" t="s">
        <v>91</v>
      </c>
      <c r="D2" s="29"/>
      <c r="E2" s="30">
        <v>46034</v>
      </c>
      <c r="F2" s="30">
        <v>46053</v>
      </c>
      <c r="G2" s="17" t="s">
        <v>92</v>
      </c>
      <c r="H2" s="17" t="s">
        <v>92</v>
      </c>
      <c r="I2" s="47">
        <v>-1396.98</v>
      </c>
      <c r="J2" s="17">
        <v>-523.87</v>
      </c>
      <c r="K2" s="17">
        <v>-523.87</v>
      </c>
      <c r="M2" s="17" t="s">
        <v>93</v>
      </c>
      <c r="P2" s="17">
        <v>-419.09</v>
      </c>
      <c r="U2" s="17" t="s">
        <v>94</v>
      </c>
      <c r="V2" s="17" t="s">
        <v>95</v>
      </c>
      <c r="W2" s="29"/>
      <c r="X2" s="29"/>
      <c r="Z2" s="18"/>
      <c r="AC2" s="31"/>
      <c r="AD2" s="43" t="s">
        <v>96</v>
      </c>
      <c r="AE2" s="43" t="s">
        <v>97</v>
      </c>
      <c r="AF2" s="29"/>
      <c r="AG2" s="65">
        <v>48930</v>
      </c>
    </row>
    <row r="3" spans="1:33">
      <c r="A3" s="29"/>
      <c r="C3" s="43" t="s">
        <v>98</v>
      </c>
      <c r="D3" s="29"/>
      <c r="E3" s="30">
        <v>46034</v>
      </c>
      <c r="F3" s="30">
        <v>46030</v>
      </c>
      <c r="G3" s="17" t="s">
        <v>92</v>
      </c>
      <c r="H3" s="17" t="s">
        <v>92</v>
      </c>
      <c r="I3" s="17">
        <v>350</v>
      </c>
      <c r="J3" s="17">
        <v>131.25</v>
      </c>
      <c r="K3" s="17">
        <v>131.25</v>
      </c>
      <c r="M3" s="17" t="s">
        <v>99</v>
      </c>
      <c r="P3" s="17">
        <v>105</v>
      </c>
      <c r="U3" s="17" t="s">
        <v>94</v>
      </c>
      <c r="V3" s="17" t="s">
        <v>95</v>
      </c>
      <c r="Y3" s="29"/>
      <c r="AA3" s="18"/>
      <c r="AC3" s="31"/>
      <c r="AD3" s="43" t="s">
        <v>100</v>
      </c>
      <c r="AE3" s="43" t="s">
        <v>101</v>
      </c>
      <c r="AG3" s="66">
        <v>28014</v>
      </c>
    </row>
    <row r="4" spans="1:33">
      <c r="A4" s="29"/>
      <c r="C4" s="43" t="s">
        <v>102</v>
      </c>
      <c r="D4" s="29"/>
      <c r="E4" s="30">
        <v>46034</v>
      </c>
      <c r="F4" s="30">
        <v>46038</v>
      </c>
      <c r="G4" s="17" t="s">
        <v>92</v>
      </c>
      <c r="H4" s="17" t="s">
        <v>92</v>
      </c>
      <c r="I4" s="17">
        <v>349.99</v>
      </c>
      <c r="J4" s="17">
        <v>131.25</v>
      </c>
      <c r="K4" s="17">
        <v>131.25</v>
      </c>
      <c r="M4" s="17" t="s">
        <v>93</v>
      </c>
      <c r="P4" s="17">
        <v>105</v>
      </c>
      <c r="U4" s="17" t="s">
        <v>94</v>
      </c>
      <c r="V4" s="17" t="s">
        <v>95</v>
      </c>
      <c r="AC4" s="30"/>
      <c r="AD4" s="43" t="s">
        <v>103</v>
      </c>
      <c r="AE4" s="43" t="s">
        <v>104</v>
      </c>
      <c r="AG4" s="66">
        <v>28014</v>
      </c>
    </row>
    <row r="5" spans="1:33">
      <c r="A5" s="29"/>
      <c r="C5" s="43" t="s">
        <v>105</v>
      </c>
      <c r="D5" s="29"/>
      <c r="E5" s="30">
        <v>46036</v>
      </c>
      <c r="F5" s="30">
        <v>46031</v>
      </c>
      <c r="G5" s="17" t="s">
        <v>92</v>
      </c>
      <c r="H5" s="17" t="s">
        <v>92</v>
      </c>
      <c r="I5" s="47">
        <v>7854.6</v>
      </c>
      <c r="J5" s="47">
        <v>2749.11</v>
      </c>
      <c r="K5" s="47">
        <v>2749.11</v>
      </c>
      <c r="M5" s="17" t="s">
        <v>106</v>
      </c>
      <c r="P5" s="47">
        <v>2081.4699999999998</v>
      </c>
      <c r="U5" s="17" t="s">
        <v>94</v>
      </c>
      <c r="V5" s="17" t="s">
        <v>95</v>
      </c>
      <c r="X5" s="29"/>
      <c r="Y5" s="29"/>
      <c r="AA5" s="18"/>
      <c r="AC5" s="31"/>
      <c r="AD5" s="43" t="s">
        <v>107</v>
      </c>
      <c r="AE5" s="43" t="s">
        <v>108</v>
      </c>
      <c r="AG5" s="66">
        <v>41700</v>
      </c>
    </row>
    <row r="6" spans="1:33">
      <c r="A6" s="29"/>
      <c r="C6" s="43" t="s">
        <v>109</v>
      </c>
      <c r="D6" s="29"/>
      <c r="E6" s="30">
        <v>46036</v>
      </c>
      <c r="F6" s="30">
        <v>46031</v>
      </c>
      <c r="G6" s="17" t="s">
        <v>92</v>
      </c>
      <c r="H6" s="17" t="s">
        <v>92</v>
      </c>
      <c r="I6" s="17">
        <v>200</v>
      </c>
      <c r="J6" s="17">
        <v>70</v>
      </c>
      <c r="K6" s="17">
        <v>70</v>
      </c>
      <c r="M6" s="17" t="s">
        <v>106</v>
      </c>
      <c r="P6" s="17">
        <v>53</v>
      </c>
      <c r="U6" s="17" t="s">
        <v>94</v>
      </c>
      <c r="V6" s="17" t="s">
        <v>95</v>
      </c>
      <c r="X6" s="29"/>
      <c r="Y6" s="29"/>
      <c r="AA6" s="18"/>
      <c r="AC6" s="31"/>
      <c r="AD6" s="43" t="s">
        <v>107</v>
      </c>
      <c r="AE6" s="43" t="s">
        <v>108</v>
      </c>
      <c r="AG6" s="66">
        <v>41700</v>
      </c>
    </row>
    <row r="7" spans="1:33">
      <c r="A7" s="29"/>
      <c r="C7" s="43" t="s">
        <v>110</v>
      </c>
      <c r="D7" s="29"/>
      <c r="E7" s="30">
        <v>46037</v>
      </c>
      <c r="F7" s="30">
        <v>46041</v>
      </c>
      <c r="G7" s="17" t="s">
        <v>92</v>
      </c>
      <c r="H7" s="17" t="s">
        <v>92</v>
      </c>
      <c r="I7" s="17">
        <v>350</v>
      </c>
      <c r="J7" s="17">
        <v>131.25</v>
      </c>
      <c r="K7" s="17">
        <v>131.25</v>
      </c>
      <c r="M7" s="17" t="s">
        <v>93</v>
      </c>
      <c r="P7" s="17">
        <v>105</v>
      </c>
      <c r="U7" s="17" t="s">
        <v>94</v>
      </c>
      <c r="V7" s="17" t="s">
        <v>95</v>
      </c>
      <c r="X7" s="29"/>
      <c r="Y7" s="29"/>
      <c r="AA7" s="18"/>
      <c r="AC7" s="31"/>
      <c r="AD7" s="43" t="s">
        <v>111</v>
      </c>
      <c r="AE7" s="43" t="s">
        <v>112</v>
      </c>
      <c r="AG7" s="66">
        <v>28037</v>
      </c>
    </row>
    <row r="8" spans="1:33">
      <c r="A8" s="29"/>
      <c r="C8" s="43" t="s">
        <v>113</v>
      </c>
      <c r="D8" s="29"/>
      <c r="E8" s="30">
        <v>46038</v>
      </c>
      <c r="F8" s="30">
        <v>46070</v>
      </c>
      <c r="G8" s="17" t="s">
        <v>92</v>
      </c>
      <c r="H8" s="17" t="s">
        <v>92</v>
      </c>
      <c r="I8" s="17">
        <v>350</v>
      </c>
      <c r="J8" s="17">
        <v>131.25</v>
      </c>
      <c r="K8" s="17">
        <v>131.25</v>
      </c>
      <c r="M8" s="17" t="s">
        <v>114</v>
      </c>
      <c r="P8" s="17">
        <v>70</v>
      </c>
      <c r="U8" s="17" t="s">
        <v>94</v>
      </c>
      <c r="V8" s="17" t="s">
        <v>95</v>
      </c>
      <c r="X8" s="29"/>
      <c r="Y8" s="29"/>
      <c r="AA8" s="18"/>
      <c r="AC8" s="31"/>
      <c r="AD8" s="43" t="s">
        <v>115</v>
      </c>
      <c r="AE8" s="43" t="s">
        <v>116</v>
      </c>
      <c r="AG8" s="66">
        <v>50001</v>
      </c>
    </row>
    <row r="9" spans="1:33">
      <c r="A9" s="29"/>
      <c r="C9" s="43" t="s">
        <v>117</v>
      </c>
      <c r="D9" s="29"/>
      <c r="E9" s="30">
        <v>46038</v>
      </c>
      <c r="F9" s="30">
        <v>46041</v>
      </c>
      <c r="G9" s="17" t="s">
        <v>92</v>
      </c>
      <c r="H9" s="17" t="s">
        <v>92</v>
      </c>
      <c r="I9" s="17">
        <v>350</v>
      </c>
      <c r="J9" s="17">
        <v>131.25</v>
      </c>
      <c r="K9" s="17">
        <v>131.25</v>
      </c>
      <c r="M9" s="17" t="s">
        <v>99</v>
      </c>
      <c r="P9" s="17">
        <v>105</v>
      </c>
      <c r="U9" s="17" t="s">
        <v>94</v>
      </c>
      <c r="V9" s="17" t="s">
        <v>95</v>
      </c>
      <c r="X9" s="29"/>
      <c r="Y9" s="29"/>
      <c r="AA9" s="18"/>
      <c r="AC9" s="31"/>
      <c r="AD9" s="43" t="s">
        <v>118</v>
      </c>
      <c r="AE9" s="43" t="s">
        <v>119</v>
      </c>
      <c r="AG9" s="66">
        <v>28014</v>
      </c>
    </row>
    <row r="10" spans="1:33">
      <c r="A10" s="29"/>
      <c r="C10" s="43" t="s">
        <v>120</v>
      </c>
      <c r="D10" s="29"/>
      <c r="E10" s="30">
        <v>46050</v>
      </c>
      <c r="F10" s="30">
        <v>46041</v>
      </c>
      <c r="G10" s="17" t="s">
        <v>92</v>
      </c>
      <c r="H10" s="17" t="s">
        <v>92</v>
      </c>
      <c r="I10" s="17" t="s">
        <v>121</v>
      </c>
      <c r="J10" s="17" t="s">
        <v>121</v>
      </c>
      <c r="K10" s="17" t="s">
        <v>121</v>
      </c>
      <c r="M10" s="17" t="s">
        <v>99</v>
      </c>
      <c r="P10" s="17" t="s">
        <v>121</v>
      </c>
      <c r="U10" s="17" t="s">
        <v>94</v>
      </c>
      <c r="V10" s="17" t="s">
        <v>95</v>
      </c>
      <c r="X10" s="29"/>
      <c r="Y10" s="29"/>
      <c r="AA10" s="18"/>
      <c r="AC10" s="31"/>
      <c r="AD10" s="43" t="s">
        <v>118</v>
      </c>
      <c r="AE10" s="43" t="s">
        <v>119</v>
      </c>
      <c r="AG10" s="66">
        <v>28014</v>
      </c>
    </row>
    <row r="11" spans="1:33">
      <c r="A11" s="29"/>
      <c r="C11" s="43" t="s">
        <v>122</v>
      </c>
      <c r="D11" s="29"/>
      <c r="E11" s="30">
        <v>46038</v>
      </c>
      <c r="F11" s="30">
        <v>46041</v>
      </c>
      <c r="G11" s="17" t="s">
        <v>92</v>
      </c>
      <c r="H11" s="17" t="s">
        <v>92</v>
      </c>
      <c r="I11" s="17">
        <v>350</v>
      </c>
      <c r="J11" s="17">
        <v>131.25</v>
      </c>
      <c r="K11" s="17">
        <v>131.25</v>
      </c>
      <c r="M11" s="17" t="s">
        <v>123</v>
      </c>
      <c r="P11" s="17">
        <v>70</v>
      </c>
      <c r="U11" s="17" t="s">
        <v>94</v>
      </c>
      <c r="V11" s="17" t="s">
        <v>95</v>
      </c>
      <c r="X11" s="29"/>
      <c r="Y11" s="29"/>
      <c r="AA11" s="18"/>
      <c r="AC11" s="31"/>
      <c r="AD11" s="43" t="s">
        <v>124</v>
      </c>
      <c r="AE11" s="43" t="s">
        <v>125</v>
      </c>
      <c r="AG11" s="66">
        <v>7001</v>
      </c>
    </row>
    <row r="12" spans="1:33">
      <c r="A12" s="29"/>
      <c r="C12" s="43" t="s">
        <v>126</v>
      </c>
      <c r="D12" s="29"/>
      <c r="E12" s="30">
        <v>46042</v>
      </c>
      <c r="F12" s="30">
        <v>46041</v>
      </c>
      <c r="G12" s="17" t="s">
        <v>92</v>
      </c>
      <c r="H12" s="17" t="s">
        <v>92</v>
      </c>
      <c r="I12" s="17" t="s">
        <v>121</v>
      </c>
      <c r="J12" s="17" t="s">
        <v>121</v>
      </c>
      <c r="K12" s="17" t="s">
        <v>121</v>
      </c>
      <c r="M12" s="17" t="s">
        <v>123</v>
      </c>
      <c r="P12" s="17" t="s">
        <v>121</v>
      </c>
      <c r="U12" s="17" t="s">
        <v>94</v>
      </c>
      <c r="V12" s="17" t="s">
        <v>95</v>
      </c>
      <c r="X12" s="29"/>
      <c r="Y12" s="29"/>
      <c r="AA12" s="18"/>
      <c r="AC12" s="31"/>
      <c r="AD12" s="43" t="s">
        <v>124</v>
      </c>
      <c r="AE12" s="43" t="s">
        <v>125</v>
      </c>
      <c r="AG12" s="66">
        <v>7001</v>
      </c>
    </row>
    <row r="13" spans="1:33">
      <c r="A13" s="29"/>
      <c r="C13" s="43" t="s">
        <v>127</v>
      </c>
      <c r="D13" s="29"/>
      <c r="E13" s="30">
        <v>46041</v>
      </c>
      <c r="F13" s="30">
        <v>46046</v>
      </c>
      <c r="G13" s="17" t="s">
        <v>92</v>
      </c>
      <c r="H13" s="17" t="s">
        <v>92</v>
      </c>
      <c r="I13" s="47">
        <v>6780</v>
      </c>
      <c r="J13" s="47">
        <v>2373</v>
      </c>
      <c r="K13" s="47">
        <v>2373</v>
      </c>
      <c r="M13" s="17" t="s">
        <v>93</v>
      </c>
      <c r="P13" s="47">
        <v>1695</v>
      </c>
      <c r="U13" s="17" t="s">
        <v>94</v>
      </c>
      <c r="V13" s="17" t="s">
        <v>95</v>
      </c>
      <c r="X13" s="29"/>
      <c r="Y13" s="29"/>
      <c r="AA13" s="18"/>
      <c r="AC13" s="31"/>
      <c r="AD13" s="43" t="s">
        <v>128</v>
      </c>
      <c r="AE13" s="43" t="s">
        <v>129</v>
      </c>
      <c r="AG13" s="66">
        <v>28010</v>
      </c>
    </row>
    <row r="14" spans="1:33">
      <c r="A14" s="29"/>
      <c r="C14" s="43" t="s">
        <v>130</v>
      </c>
      <c r="D14" s="29"/>
      <c r="E14" s="30">
        <v>46041</v>
      </c>
      <c r="F14" s="30">
        <v>46046</v>
      </c>
      <c r="G14" s="17" t="s">
        <v>92</v>
      </c>
      <c r="H14" s="17" t="s">
        <v>92</v>
      </c>
      <c r="I14" s="17">
        <v>200</v>
      </c>
      <c r="J14" s="17">
        <v>70</v>
      </c>
      <c r="K14" s="17">
        <v>70</v>
      </c>
      <c r="M14" s="17" t="s">
        <v>93</v>
      </c>
      <c r="P14" s="17">
        <v>50</v>
      </c>
      <c r="U14" s="17" t="s">
        <v>94</v>
      </c>
      <c r="V14" s="17" t="s">
        <v>95</v>
      </c>
      <c r="X14" s="29"/>
      <c r="Y14" s="29"/>
      <c r="AA14" s="18"/>
      <c r="AC14" s="31"/>
      <c r="AD14" s="43" t="s">
        <v>128</v>
      </c>
      <c r="AE14" s="43" t="s">
        <v>129</v>
      </c>
      <c r="AG14" s="66">
        <v>28010</v>
      </c>
    </row>
    <row r="15" spans="1:33">
      <c r="A15" s="29"/>
      <c r="C15" s="43" t="s">
        <v>131</v>
      </c>
      <c r="D15" s="29"/>
      <c r="E15" s="30">
        <v>46041</v>
      </c>
      <c r="F15" s="30">
        <v>46082</v>
      </c>
      <c r="G15" s="17" t="s">
        <v>92</v>
      </c>
      <c r="H15" s="17" t="s">
        <v>92</v>
      </c>
      <c r="I15" s="47">
        <v>1823.33</v>
      </c>
      <c r="J15" s="17">
        <v>683.75</v>
      </c>
      <c r="K15" s="17">
        <v>683.75</v>
      </c>
      <c r="M15" s="17" t="s">
        <v>132</v>
      </c>
      <c r="P15" s="17">
        <v>455.83</v>
      </c>
      <c r="U15" s="17" t="s">
        <v>94</v>
      </c>
      <c r="V15" s="17" t="s">
        <v>95</v>
      </c>
      <c r="X15" s="29"/>
      <c r="Y15" s="29"/>
      <c r="AA15" s="18"/>
      <c r="AC15" s="30"/>
      <c r="AD15" s="43" t="s">
        <v>133</v>
      </c>
      <c r="AE15" s="43" t="s">
        <v>134</v>
      </c>
      <c r="AG15" s="66">
        <v>28015</v>
      </c>
    </row>
    <row r="16" spans="1:33">
      <c r="A16" s="29"/>
      <c r="C16" s="43" t="s">
        <v>135</v>
      </c>
      <c r="D16" s="29"/>
      <c r="E16" s="30">
        <v>46041</v>
      </c>
      <c r="F16" s="30">
        <v>46042</v>
      </c>
      <c r="G16" s="17" t="s">
        <v>92</v>
      </c>
      <c r="H16" s="17" t="s">
        <v>92</v>
      </c>
      <c r="I16" s="17">
        <v>350</v>
      </c>
      <c r="J16" s="17">
        <v>131.25</v>
      </c>
      <c r="K16" s="17">
        <v>131.25</v>
      </c>
      <c r="M16" s="17" t="s">
        <v>123</v>
      </c>
      <c r="P16" s="17">
        <v>70</v>
      </c>
      <c r="U16" s="17" t="s">
        <v>94</v>
      </c>
      <c r="V16" s="17" t="s">
        <v>95</v>
      </c>
      <c r="X16" s="29"/>
      <c r="Y16" s="29"/>
      <c r="AA16" s="18"/>
      <c r="AC16" s="31"/>
      <c r="AD16" s="43" t="s">
        <v>124</v>
      </c>
      <c r="AE16" s="43" t="s">
        <v>125</v>
      </c>
      <c r="AG16" s="66">
        <v>7001</v>
      </c>
    </row>
    <row r="17" spans="1:33">
      <c r="A17" s="29"/>
      <c r="C17" s="43" t="s">
        <v>136</v>
      </c>
      <c r="D17" s="29"/>
      <c r="E17" s="30">
        <v>46041</v>
      </c>
      <c r="F17" s="30">
        <v>46059</v>
      </c>
      <c r="G17" s="17" t="s">
        <v>92</v>
      </c>
      <c r="H17" s="17" t="s">
        <v>92</v>
      </c>
      <c r="I17" s="17">
        <v>350</v>
      </c>
      <c r="J17" s="17">
        <v>131.25</v>
      </c>
      <c r="K17" s="17">
        <v>131.25</v>
      </c>
      <c r="M17" s="17" t="s">
        <v>99</v>
      </c>
      <c r="P17" s="17">
        <v>105</v>
      </c>
      <c r="U17" s="17" t="s">
        <v>94</v>
      </c>
      <c r="V17" s="17" t="s">
        <v>95</v>
      </c>
      <c r="X17" s="29"/>
      <c r="Y17" s="29"/>
      <c r="AA17" s="18"/>
      <c r="AC17" s="31"/>
      <c r="AD17" s="43" t="s">
        <v>137</v>
      </c>
      <c r="AE17" s="43" t="s">
        <v>138</v>
      </c>
      <c r="AG17" s="66">
        <v>47015</v>
      </c>
    </row>
    <row r="18" spans="1:33">
      <c r="A18" s="29"/>
      <c r="C18" s="43" t="s">
        <v>139</v>
      </c>
      <c r="D18" s="29"/>
      <c r="E18" s="30">
        <v>46042</v>
      </c>
      <c r="F18" s="30">
        <v>46067</v>
      </c>
      <c r="G18" s="17" t="s">
        <v>92</v>
      </c>
      <c r="H18" s="17" t="s">
        <v>92</v>
      </c>
      <c r="I18" s="47">
        <v>1490.4</v>
      </c>
      <c r="J18" s="17">
        <v>558.9</v>
      </c>
      <c r="K18" s="17">
        <v>558.9</v>
      </c>
      <c r="M18" s="17" t="s">
        <v>93</v>
      </c>
      <c r="P18" s="17">
        <v>447.12</v>
      </c>
      <c r="U18" s="17" t="s">
        <v>94</v>
      </c>
      <c r="V18" s="17" t="s">
        <v>95</v>
      </c>
      <c r="X18" s="29"/>
      <c r="Y18" s="29"/>
      <c r="AA18" s="18"/>
      <c r="AC18" s="31"/>
      <c r="AD18" s="43" t="s">
        <v>140</v>
      </c>
      <c r="AE18" s="43" t="s">
        <v>141</v>
      </c>
      <c r="AG18" s="66">
        <v>41013</v>
      </c>
    </row>
    <row r="19" spans="1:33">
      <c r="A19" s="29"/>
      <c r="C19" s="43" t="s">
        <v>139</v>
      </c>
      <c r="D19" s="29"/>
      <c r="E19" s="30">
        <v>46042</v>
      </c>
      <c r="F19" s="30">
        <v>46067</v>
      </c>
      <c r="G19" s="17" t="s">
        <v>92</v>
      </c>
      <c r="H19" s="17" t="s">
        <v>92</v>
      </c>
      <c r="I19" s="47">
        <v>1490.4</v>
      </c>
      <c r="J19" s="17">
        <v>558.9</v>
      </c>
      <c r="K19" s="17">
        <v>558.9</v>
      </c>
      <c r="M19" s="17" t="s">
        <v>93</v>
      </c>
      <c r="P19" s="17">
        <v>447.12</v>
      </c>
      <c r="U19" s="17" t="s">
        <v>94</v>
      </c>
      <c r="V19" s="17" t="s">
        <v>95</v>
      </c>
      <c r="X19" s="29"/>
      <c r="Y19" s="29"/>
      <c r="AA19" s="18"/>
      <c r="AC19" s="31"/>
      <c r="AD19" s="43" t="s">
        <v>140</v>
      </c>
      <c r="AE19" s="43" t="s">
        <v>141</v>
      </c>
      <c r="AG19" s="66">
        <v>41013</v>
      </c>
    </row>
    <row r="20" spans="1:33">
      <c r="A20" s="29"/>
      <c r="C20" s="43" t="s">
        <v>142</v>
      </c>
      <c r="D20" s="29"/>
      <c r="E20" s="30">
        <v>46042</v>
      </c>
      <c r="F20" s="30">
        <v>46070</v>
      </c>
      <c r="G20" s="17" t="s">
        <v>92</v>
      </c>
      <c r="H20" s="17" t="s">
        <v>92</v>
      </c>
      <c r="I20" s="17">
        <v>750</v>
      </c>
      <c r="J20" s="17">
        <v>281.25</v>
      </c>
      <c r="K20" s="17">
        <v>281.25</v>
      </c>
      <c r="M20" s="17" t="s">
        <v>93</v>
      </c>
      <c r="P20" s="17">
        <v>225</v>
      </c>
      <c r="U20" s="17" t="s">
        <v>94</v>
      </c>
      <c r="V20" s="17" t="s">
        <v>95</v>
      </c>
      <c r="X20" s="29"/>
      <c r="Y20" s="29"/>
      <c r="AA20" s="18"/>
      <c r="AC20" s="31"/>
      <c r="AD20" s="43" t="s">
        <v>143</v>
      </c>
      <c r="AE20" s="43" t="s">
        <v>144</v>
      </c>
      <c r="AG20" s="66">
        <v>28010</v>
      </c>
    </row>
    <row r="21" spans="1:33">
      <c r="A21" s="29"/>
      <c r="C21" s="43" t="s">
        <v>145</v>
      </c>
      <c r="D21" s="29"/>
      <c r="E21" s="30">
        <v>46042</v>
      </c>
      <c r="F21" s="30">
        <v>46074</v>
      </c>
      <c r="G21" s="17" t="s">
        <v>92</v>
      </c>
      <c r="H21" s="17" t="s">
        <v>92</v>
      </c>
      <c r="I21" s="17">
        <v>500</v>
      </c>
      <c r="J21" s="17">
        <v>187.5</v>
      </c>
      <c r="K21" s="17">
        <v>187.5</v>
      </c>
      <c r="M21" s="17" t="s">
        <v>146</v>
      </c>
      <c r="P21" s="17">
        <v>125</v>
      </c>
      <c r="U21" s="17" t="s">
        <v>94</v>
      </c>
      <c r="V21" s="17" t="s">
        <v>95</v>
      </c>
      <c r="X21" s="29"/>
      <c r="Y21" s="29"/>
      <c r="AA21" s="18"/>
      <c r="AC21" s="31"/>
      <c r="AD21" s="43" t="s">
        <v>147</v>
      </c>
      <c r="AE21" s="43" t="s">
        <v>148</v>
      </c>
      <c r="AG21" s="66">
        <v>28006</v>
      </c>
    </row>
    <row r="22" spans="1:33">
      <c r="A22" s="29"/>
      <c r="C22" s="43" t="s">
        <v>149</v>
      </c>
      <c r="D22" s="29"/>
      <c r="E22" s="30">
        <v>46043</v>
      </c>
      <c r="F22" s="30">
        <v>46073</v>
      </c>
      <c r="G22" s="17" t="s">
        <v>92</v>
      </c>
      <c r="H22" s="17" t="s">
        <v>92</v>
      </c>
      <c r="I22" s="47">
        <v>2575.84</v>
      </c>
      <c r="J22" s="17">
        <v>965.94</v>
      </c>
      <c r="K22" s="17">
        <v>965.94</v>
      </c>
      <c r="M22" s="17" t="s">
        <v>114</v>
      </c>
      <c r="P22" s="17">
        <v>695.48</v>
      </c>
      <c r="U22" s="17" t="s">
        <v>94</v>
      </c>
      <c r="V22" s="17" t="s">
        <v>95</v>
      </c>
      <c r="X22" s="29"/>
      <c r="Y22" s="29"/>
      <c r="AA22" s="18"/>
      <c r="AC22" s="31"/>
      <c r="AD22" s="43" t="s">
        <v>150</v>
      </c>
      <c r="AE22" s="43" t="s">
        <v>151</v>
      </c>
      <c r="AG22" s="66">
        <v>28002</v>
      </c>
    </row>
    <row r="23" spans="1:33">
      <c r="A23" s="29"/>
      <c r="C23" s="43" t="s">
        <v>149</v>
      </c>
      <c r="D23" s="29"/>
      <c r="E23" s="30">
        <v>46043</v>
      </c>
      <c r="F23" s="30">
        <v>46073</v>
      </c>
      <c r="G23" s="17" t="s">
        <v>92</v>
      </c>
      <c r="H23" s="17" t="s">
        <v>92</v>
      </c>
      <c r="I23" s="47">
        <v>2575.84</v>
      </c>
      <c r="J23" s="17">
        <v>965.94</v>
      </c>
      <c r="K23" s="17">
        <v>965.94</v>
      </c>
      <c r="M23" s="17" t="s">
        <v>114</v>
      </c>
      <c r="P23" s="17">
        <v>695.48</v>
      </c>
      <c r="U23" s="17" t="s">
        <v>94</v>
      </c>
      <c r="V23" s="17" t="s">
        <v>95</v>
      </c>
      <c r="X23" s="29"/>
      <c r="Y23" s="29"/>
      <c r="AA23" s="18"/>
      <c r="AC23" s="31"/>
      <c r="AD23" s="43" t="s">
        <v>150</v>
      </c>
      <c r="AE23" s="43" t="s">
        <v>151</v>
      </c>
      <c r="AG23" s="66">
        <v>28002</v>
      </c>
    </row>
    <row r="24" spans="1:33">
      <c r="A24" s="29"/>
      <c r="C24" s="43" t="s">
        <v>152</v>
      </c>
      <c r="D24" s="29"/>
      <c r="E24" s="30">
        <v>46044</v>
      </c>
      <c r="F24" s="30">
        <v>46057</v>
      </c>
      <c r="G24" s="17" t="s">
        <v>92</v>
      </c>
      <c r="H24" s="17" t="s">
        <v>92</v>
      </c>
      <c r="I24" s="17">
        <v>350</v>
      </c>
      <c r="J24" s="17">
        <v>131.25</v>
      </c>
      <c r="K24" s="17">
        <v>131.25</v>
      </c>
      <c r="M24" s="17" t="s">
        <v>106</v>
      </c>
      <c r="P24" s="17">
        <v>70</v>
      </c>
      <c r="U24" s="17" t="s">
        <v>94</v>
      </c>
      <c r="V24" s="17" t="s">
        <v>95</v>
      </c>
      <c r="X24" s="29"/>
      <c r="Y24" s="29"/>
      <c r="AA24" s="18"/>
      <c r="AC24" s="31"/>
      <c r="AD24" s="43" t="s">
        <v>153</v>
      </c>
      <c r="AE24" s="43" t="s">
        <v>154</v>
      </c>
      <c r="AG24" s="66">
        <v>28903</v>
      </c>
    </row>
    <row r="25" spans="1:33">
      <c r="A25" s="29"/>
      <c r="C25" s="43" t="s">
        <v>155</v>
      </c>
      <c r="D25" s="29"/>
      <c r="E25" s="30">
        <v>46044</v>
      </c>
      <c r="F25" s="30">
        <v>46044</v>
      </c>
      <c r="G25" s="17" t="s">
        <v>92</v>
      </c>
      <c r="H25" s="17" t="s">
        <v>92</v>
      </c>
      <c r="I25" s="17">
        <v>750</v>
      </c>
      <c r="J25" s="17">
        <v>281.25</v>
      </c>
      <c r="K25" s="17">
        <v>281.25</v>
      </c>
      <c r="M25" s="17" t="s">
        <v>93</v>
      </c>
      <c r="P25" s="17">
        <v>225</v>
      </c>
      <c r="U25" s="17" t="s">
        <v>94</v>
      </c>
      <c r="V25" s="17" t="s">
        <v>95</v>
      </c>
      <c r="X25" s="29"/>
      <c r="Y25" s="29"/>
      <c r="AA25" s="18"/>
      <c r="AC25" s="31"/>
      <c r="AD25" s="43" t="s">
        <v>156</v>
      </c>
      <c r="AE25" s="43" t="s">
        <v>157</v>
      </c>
      <c r="AG25" s="66">
        <v>28004</v>
      </c>
    </row>
    <row r="26" spans="1:33">
      <c r="A26" s="29"/>
      <c r="C26" s="43" t="s">
        <v>158</v>
      </c>
      <c r="D26" s="29"/>
      <c r="E26" s="30">
        <v>46049</v>
      </c>
      <c r="F26" s="30">
        <v>46070</v>
      </c>
      <c r="G26" s="17" t="s">
        <v>92</v>
      </c>
      <c r="H26" s="17" t="s">
        <v>92</v>
      </c>
      <c r="I26" s="17">
        <v>350</v>
      </c>
      <c r="J26" s="17">
        <v>131.25</v>
      </c>
      <c r="K26" s="17">
        <v>131.25</v>
      </c>
      <c r="M26" s="17" t="s">
        <v>93</v>
      </c>
      <c r="P26" s="17">
        <v>105</v>
      </c>
      <c r="U26" s="17" t="s">
        <v>94</v>
      </c>
      <c r="V26" s="17" t="s">
        <v>95</v>
      </c>
      <c r="X26" s="29"/>
      <c r="Y26" s="29"/>
      <c r="AA26" s="18"/>
      <c r="AC26" s="31"/>
      <c r="AD26" s="43" t="s">
        <v>159</v>
      </c>
      <c r="AE26" s="43" t="s">
        <v>160</v>
      </c>
      <c r="AG26" s="66">
        <v>28006</v>
      </c>
    </row>
    <row r="27" spans="1:33">
      <c r="A27" s="29"/>
      <c r="C27" s="43" t="s">
        <v>161</v>
      </c>
      <c r="D27" s="29"/>
      <c r="E27" s="30">
        <v>46050</v>
      </c>
      <c r="F27" s="30">
        <v>46069</v>
      </c>
      <c r="G27" s="17" t="s">
        <v>92</v>
      </c>
      <c r="H27" s="17" t="s">
        <v>92</v>
      </c>
      <c r="I27" s="17">
        <v>210</v>
      </c>
      <c r="J27" s="17">
        <v>78.75</v>
      </c>
      <c r="K27" s="17">
        <v>78.75</v>
      </c>
      <c r="M27" s="17" t="s">
        <v>93</v>
      </c>
      <c r="P27" s="17">
        <v>63</v>
      </c>
      <c r="U27" s="17" t="s">
        <v>94</v>
      </c>
      <c r="V27" s="17" t="s">
        <v>95</v>
      </c>
      <c r="X27" s="29"/>
      <c r="Y27" s="29"/>
      <c r="AA27" s="18"/>
      <c r="AC27" s="31"/>
      <c r="AD27" s="43" t="s">
        <v>162</v>
      </c>
      <c r="AE27" s="43" t="s">
        <v>163</v>
      </c>
      <c r="AG27" s="66">
        <v>45002</v>
      </c>
    </row>
    <row r="28" spans="1:33">
      <c r="A28" s="29"/>
      <c r="C28" s="43" t="s">
        <v>164</v>
      </c>
      <c r="D28" s="29"/>
      <c r="E28" s="30">
        <v>46050</v>
      </c>
      <c r="F28" s="30">
        <v>46087</v>
      </c>
      <c r="G28" s="17" t="s">
        <v>92</v>
      </c>
      <c r="H28" s="17" t="s">
        <v>92</v>
      </c>
      <c r="I28" s="47">
        <v>1757.01</v>
      </c>
      <c r="J28" s="17">
        <v>658.88</v>
      </c>
      <c r="K28" s="17">
        <v>658.88</v>
      </c>
      <c r="M28" s="17" t="s">
        <v>93</v>
      </c>
      <c r="P28" s="17">
        <v>527.1</v>
      </c>
      <c r="U28" s="17" t="s">
        <v>94</v>
      </c>
      <c r="V28" s="17" t="s">
        <v>95</v>
      </c>
      <c r="X28" s="29"/>
      <c r="Y28" s="29"/>
      <c r="AA28" s="18"/>
      <c r="AC28" s="31"/>
      <c r="AD28" s="43" t="s">
        <v>165</v>
      </c>
      <c r="AE28" s="43" t="s">
        <v>166</v>
      </c>
      <c r="AG28" s="66">
        <v>28014</v>
      </c>
    </row>
    <row r="29" spans="1:33">
      <c r="A29" s="29"/>
      <c r="C29" s="43" t="s">
        <v>167</v>
      </c>
      <c r="D29" s="29"/>
      <c r="E29" s="30">
        <v>46051</v>
      </c>
      <c r="F29" s="30">
        <v>46062</v>
      </c>
      <c r="G29" s="17" t="s">
        <v>92</v>
      </c>
      <c r="H29" s="17" t="s">
        <v>92</v>
      </c>
      <c r="I29" s="17">
        <v>350</v>
      </c>
      <c r="J29" s="17">
        <v>131.25</v>
      </c>
      <c r="K29" s="17">
        <v>131.25</v>
      </c>
      <c r="M29" s="17" t="s">
        <v>99</v>
      </c>
      <c r="P29" s="17">
        <v>105</v>
      </c>
      <c r="U29" s="17" t="s">
        <v>94</v>
      </c>
      <c r="V29" s="17" t="s">
        <v>95</v>
      </c>
      <c r="X29" s="29"/>
      <c r="Y29" s="29"/>
      <c r="AA29" s="18"/>
      <c r="AC29" s="31"/>
      <c r="AD29" s="43" t="s">
        <v>168</v>
      </c>
      <c r="AE29" s="43" t="s">
        <v>169</v>
      </c>
      <c r="AG29" s="66">
        <v>28004</v>
      </c>
    </row>
    <row r="30" spans="1:33">
      <c r="A30" s="29"/>
      <c r="C30" s="43" t="s">
        <v>170</v>
      </c>
      <c r="D30" s="29"/>
      <c r="E30" s="30">
        <v>46051</v>
      </c>
      <c r="F30" s="30">
        <v>46054</v>
      </c>
      <c r="G30" s="17" t="s">
        <v>92</v>
      </c>
      <c r="H30" s="17" t="s">
        <v>92</v>
      </c>
      <c r="I30" s="17">
        <v>350</v>
      </c>
      <c r="J30" s="17">
        <v>131.25</v>
      </c>
      <c r="K30" s="17">
        <v>131.25</v>
      </c>
      <c r="M30" s="17" t="s">
        <v>123</v>
      </c>
      <c r="P30" s="17">
        <v>70</v>
      </c>
      <c r="U30" s="17" t="s">
        <v>94</v>
      </c>
      <c r="V30" s="17" t="s">
        <v>95</v>
      </c>
      <c r="X30" s="29"/>
      <c r="Y30" s="29"/>
      <c r="AA30" s="18"/>
      <c r="AC30" s="31"/>
      <c r="AD30" s="43" t="s">
        <v>171</v>
      </c>
      <c r="AE30" s="43" t="s">
        <v>172</v>
      </c>
      <c r="AG30" s="66">
        <v>7001</v>
      </c>
    </row>
    <row r="31" spans="1:33">
      <c r="A31" s="29"/>
      <c r="C31" s="43" t="s">
        <v>173</v>
      </c>
      <c r="D31" s="29"/>
      <c r="E31" s="30">
        <v>46052</v>
      </c>
      <c r="F31" s="30">
        <v>46062</v>
      </c>
      <c r="G31" s="17" t="s">
        <v>92</v>
      </c>
      <c r="H31" s="17" t="s">
        <v>92</v>
      </c>
      <c r="I31" s="47">
        <v>1254.28</v>
      </c>
      <c r="J31" s="17">
        <v>439</v>
      </c>
      <c r="K31" s="17">
        <v>439</v>
      </c>
      <c r="M31" s="17" t="s">
        <v>146</v>
      </c>
      <c r="P31" s="17">
        <v>313.57</v>
      </c>
      <c r="U31" s="17" t="s">
        <v>94</v>
      </c>
      <c r="V31" s="17" t="s">
        <v>95</v>
      </c>
      <c r="X31" s="29"/>
      <c r="Y31" s="29"/>
      <c r="AA31" s="18"/>
      <c r="AC31" s="31"/>
      <c r="AD31" s="43" t="s">
        <v>174</v>
      </c>
      <c r="AE31" s="43" t="s">
        <v>175</v>
      </c>
      <c r="AG31" s="66">
        <v>28014</v>
      </c>
    </row>
    <row r="32" spans="1:33">
      <c r="A32" s="29"/>
      <c r="C32" s="43" t="s">
        <v>176</v>
      </c>
      <c r="D32" s="29"/>
      <c r="E32" s="30">
        <v>46052</v>
      </c>
      <c r="F32" s="30">
        <v>46062</v>
      </c>
      <c r="G32" s="17" t="s">
        <v>92</v>
      </c>
      <c r="H32" s="17" t="s">
        <v>92</v>
      </c>
      <c r="I32" s="17">
        <v>90</v>
      </c>
      <c r="J32" s="17">
        <v>31.5</v>
      </c>
      <c r="K32" s="17">
        <v>31.5</v>
      </c>
      <c r="M32" s="17" t="s">
        <v>146</v>
      </c>
      <c r="P32" s="17">
        <v>22.5</v>
      </c>
      <c r="U32" s="17" t="s">
        <v>94</v>
      </c>
      <c r="V32" s="17" t="s">
        <v>95</v>
      </c>
      <c r="X32" s="29"/>
      <c r="Y32" s="29"/>
      <c r="AA32" s="18"/>
      <c r="AC32" s="31"/>
      <c r="AD32" s="43" t="s">
        <v>174</v>
      </c>
      <c r="AE32" s="43" t="s">
        <v>175</v>
      </c>
      <c r="AG32" s="66">
        <v>28014</v>
      </c>
    </row>
    <row r="33" spans="1:33">
      <c r="A33" s="29"/>
      <c r="C33" s="43" t="s">
        <v>177</v>
      </c>
      <c r="D33" s="29"/>
      <c r="E33" s="30">
        <v>46052</v>
      </c>
      <c r="F33" s="30">
        <v>46055</v>
      </c>
      <c r="G33" s="17" t="s">
        <v>92</v>
      </c>
      <c r="H33" s="17" t="s">
        <v>92</v>
      </c>
      <c r="I33" s="17">
        <v>300</v>
      </c>
      <c r="J33" s="17">
        <v>112.5</v>
      </c>
      <c r="K33" s="17">
        <v>112.5</v>
      </c>
      <c r="M33" s="17" t="s">
        <v>178</v>
      </c>
      <c r="P33" s="17">
        <v>60</v>
      </c>
      <c r="U33" s="17" t="s">
        <v>94</v>
      </c>
      <c r="V33" s="17" t="s">
        <v>95</v>
      </c>
      <c r="X33" s="29"/>
      <c r="Y33" s="29"/>
      <c r="AA33" s="18"/>
      <c r="AC33" s="31"/>
      <c r="AD33" s="43" t="s">
        <v>179</v>
      </c>
      <c r="AE33" s="43" t="s">
        <v>180</v>
      </c>
      <c r="AG33" s="66">
        <v>30008</v>
      </c>
    </row>
    <row r="34" spans="1:33">
      <c r="A34" s="29"/>
      <c r="C34" s="43" t="s">
        <v>181</v>
      </c>
      <c r="D34" s="29"/>
      <c r="E34" s="30">
        <v>46052</v>
      </c>
      <c r="F34" s="30">
        <v>46055</v>
      </c>
      <c r="G34" s="17" t="s">
        <v>92</v>
      </c>
      <c r="H34" s="17" t="s">
        <v>92</v>
      </c>
      <c r="U34" s="17" t="s">
        <v>94</v>
      </c>
      <c r="V34" s="17" t="s">
        <v>95</v>
      </c>
      <c r="X34" s="29"/>
      <c r="Y34" s="29"/>
      <c r="AA34" s="18"/>
      <c r="AC34" s="31"/>
      <c r="AE34" s="43" t="s">
        <v>182</v>
      </c>
      <c r="AG34" s="29"/>
    </row>
    <row r="35" spans="1:33">
      <c r="A35" s="29"/>
      <c r="C35" s="43" t="s">
        <v>183</v>
      </c>
      <c r="D35" s="29"/>
      <c r="E35" s="30">
        <v>46052</v>
      </c>
      <c r="F35" s="30">
        <v>46055</v>
      </c>
      <c r="G35" s="17" t="s">
        <v>92</v>
      </c>
      <c r="H35" s="17" t="s">
        <v>92</v>
      </c>
      <c r="U35" s="17" t="s">
        <v>94</v>
      </c>
      <c r="V35" s="17" t="s">
        <v>95</v>
      </c>
      <c r="X35" s="29"/>
      <c r="Y35" s="29"/>
      <c r="AA35" s="18"/>
      <c r="AC35" s="31"/>
      <c r="AE35" s="43" t="s">
        <v>180</v>
      </c>
      <c r="AG35" s="29"/>
    </row>
    <row r="36" spans="1:33">
      <c r="A36" s="29"/>
      <c r="C36" s="43" t="s">
        <v>184</v>
      </c>
      <c r="D36" s="29"/>
      <c r="E36" s="30">
        <v>46052</v>
      </c>
      <c r="F36" s="30">
        <v>46055</v>
      </c>
      <c r="G36" s="17" t="s">
        <v>92</v>
      </c>
      <c r="H36" s="17" t="s">
        <v>92</v>
      </c>
      <c r="U36" s="17" t="s">
        <v>94</v>
      </c>
      <c r="V36" s="17" t="s">
        <v>95</v>
      </c>
      <c r="X36" s="29"/>
      <c r="Y36" s="29"/>
      <c r="AA36" s="18"/>
      <c r="AC36" s="31"/>
      <c r="AE36" s="43" t="s">
        <v>185</v>
      </c>
      <c r="AG36" s="29"/>
    </row>
    <row r="37" spans="1:33">
      <c r="A37" s="29"/>
      <c r="C37" s="43" t="s">
        <v>186</v>
      </c>
      <c r="D37" s="29"/>
      <c r="E37" s="30">
        <v>46054</v>
      </c>
      <c r="F37" s="30">
        <v>45946</v>
      </c>
      <c r="G37" s="17" t="s">
        <v>92</v>
      </c>
      <c r="H37" s="17" t="s">
        <v>92</v>
      </c>
      <c r="I37" s="17">
        <v>0</v>
      </c>
      <c r="J37" s="17">
        <v>0</v>
      </c>
      <c r="K37" s="17">
        <v>0</v>
      </c>
      <c r="M37" s="17" t="s">
        <v>93</v>
      </c>
      <c r="P37" s="17">
        <v>0</v>
      </c>
      <c r="U37" s="17" t="s">
        <v>94</v>
      </c>
      <c r="V37" s="17" t="s">
        <v>95</v>
      </c>
      <c r="X37" s="29"/>
      <c r="Y37" s="29"/>
      <c r="AA37" s="18"/>
      <c r="AC37" s="31"/>
      <c r="AD37" s="17" t="s">
        <v>187</v>
      </c>
      <c r="AE37" s="18" t="s">
        <v>188</v>
      </c>
      <c r="AG37" s="29">
        <v>11500</v>
      </c>
    </row>
    <row r="38" spans="1:33">
      <c r="A38" s="29"/>
      <c r="C38" s="43" t="s">
        <v>189</v>
      </c>
      <c r="D38" s="29"/>
      <c r="E38" s="30">
        <v>46054</v>
      </c>
      <c r="F38" s="30">
        <v>45992</v>
      </c>
      <c r="G38" s="17" t="s">
        <v>92</v>
      </c>
      <c r="H38" s="17" t="s">
        <v>92</v>
      </c>
      <c r="I38" s="17">
        <v>0</v>
      </c>
      <c r="J38" s="17">
        <v>0</v>
      </c>
      <c r="K38" s="17">
        <v>0</v>
      </c>
      <c r="M38" s="17" t="s">
        <v>114</v>
      </c>
      <c r="P38" s="17">
        <v>0</v>
      </c>
      <c r="U38" s="17" t="s">
        <v>94</v>
      </c>
      <c r="V38" s="17" t="s">
        <v>95</v>
      </c>
      <c r="X38" s="29"/>
      <c r="Y38" s="29"/>
      <c r="AA38" s="18"/>
      <c r="AC38" s="31"/>
      <c r="AD38" s="17" t="s">
        <v>190</v>
      </c>
      <c r="AE38" s="18" t="s">
        <v>191</v>
      </c>
      <c r="AG38" s="29">
        <v>28006</v>
      </c>
    </row>
    <row r="39" spans="1:33">
      <c r="A39" s="29"/>
      <c r="C39" s="43" t="s">
        <v>192</v>
      </c>
      <c r="D39" s="29"/>
      <c r="E39" s="30">
        <v>46054</v>
      </c>
      <c r="F39" s="30">
        <v>45978</v>
      </c>
      <c r="G39" s="17" t="s">
        <v>92</v>
      </c>
      <c r="H39" s="17" t="s">
        <v>92</v>
      </c>
      <c r="I39" s="17">
        <v>-27816.69</v>
      </c>
      <c r="J39" s="17">
        <v>-10431.258749999999</v>
      </c>
      <c r="K39" s="17">
        <v>-10431.258749999999</v>
      </c>
      <c r="M39" s="17" t="s">
        <v>193</v>
      </c>
      <c r="P39" s="17">
        <v>-6954.1724999999997</v>
      </c>
      <c r="U39" s="17" t="s">
        <v>94</v>
      </c>
      <c r="V39" s="17" t="s">
        <v>95</v>
      </c>
      <c r="X39" s="29"/>
      <c r="Y39" s="29"/>
      <c r="AA39" s="18"/>
      <c r="AC39" s="31"/>
      <c r="AD39" s="17" t="s">
        <v>194</v>
      </c>
      <c r="AE39" s="18" t="s">
        <v>195</v>
      </c>
      <c r="AG39" s="29">
        <v>28001</v>
      </c>
    </row>
    <row r="40" spans="1:33">
      <c r="A40" s="29"/>
      <c r="C40" s="43" t="s">
        <v>196</v>
      </c>
      <c r="D40" s="29"/>
      <c r="E40" s="30">
        <v>46054</v>
      </c>
      <c r="F40" s="30">
        <v>45978</v>
      </c>
      <c r="G40" s="17" t="s">
        <v>92</v>
      </c>
      <c r="H40" s="17" t="s">
        <v>92</v>
      </c>
      <c r="I40" s="17">
        <v>27816.69</v>
      </c>
      <c r="J40" s="17">
        <v>10431.258749999999</v>
      </c>
      <c r="K40" s="17">
        <v>10431.258749999999</v>
      </c>
      <c r="M40" s="17" t="s">
        <v>193</v>
      </c>
      <c r="P40" s="17">
        <v>6954.1724999999997</v>
      </c>
      <c r="U40" s="17" t="s">
        <v>94</v>
      </c>
      <c r="V40" s="17" t="s">
        <v>95</v>
      </c>
      <c r="X40" s="29"/>
      <c r="Y40" s="29"/>
      <c r="AA40" s="18"/>
      <c r="AC40" s="30"/>
      <c r="AD40" s="17" t="s">
        <v>194</v>
      </c>
      <c r="AE40" s="18" t="s">
        <v>195</v>
      </c>
      <c r="AG40" s="29">
        <v>28001</v>
      </c>
    </row>
    <row r="41" spans="1:33">
      <c r="A41" s="29"/>
      <c r="C41" s="43" t="s">
        <v>197</v>
      </c>
      <c r="D41" s="29"/>
      <c r="E41" s="30">
        <v>46054</v>
      </c>
      <c r="F41" s="30">
        <v>45772</v>
      </c>
      <c r="G41" s="17" t="s">
        <v>92</v>
      </c>
      <c r="H41" s="17" t="s">
        <v>92</v>
      </c>
      <c r="I41" s="17">
        <v>-1153.81</v>
      </c>
      <c r="J41" s="17">
        <v>-432.67874999999998</v>
      </c>
      <c r="K41" s="17">
        <v>-432.67874999999998</v>
      </c>
      <c r="M41" s="17" t="s">
        <v>93</v>
      </c>
      <c r="P41" s="17">
        <v>-346.14299999999997</v>
      </c>
      <c r="U41" s="17" t="s">
        <v>94</v>
      </c>
      <c r="V41" s="17" t="s">
        <v>95</v>
      </c>
      <c r="X41" s="29"/>
      <c r="Y41" s="29"/>
      <c r="AA41" s="18"/>
      <c r="AC41" s="31"/>
      <c r="AD41" s="17" t="s">
        <v>198</v>
      </c>
      <c r="AE41" s="18" t="s">
        <v>199</v>
      </c>
      <c r="AG41" s="29">
        <v>28020</v>
      </c>
    </row>
    <row r="42" spans="1:33">
      <c r="A42" s="29"/>
      <c r="C42" s="43" t="s">
        <v>200</v>
      </c>
      <c r="D42" s="29"/>
      <c r="E42" s="30">
        <v>46057</v>
      </c>
      <c r="F42" s="30">
        <v>46057</v>
      </c>
      <c r="G42" s="17" t="s">
        <v>92</v>
      </c>
      <c r="H42" s="17" t="s">
        <v>92</v>
      </c>
      <c r="I42" s="17">
        <v>0</v>
      </c>
      <c r="J42" s="17">
        <v>0</v>
      </c>
      <c r="K42" s="17">
        <v>0</v>
      </c>
      <c r="M42" s="17" t="s">
        <v>99</v>
      </c>
      <c r="P42" s="17">
        <v>0</v>
      </c>
      <c r="X42" s="29"/>
      <c r="Y42" s="29"/>
      <c r="AA42" s="18"/>
      <c r="AC42" s="30"/>
      <c r="AD42" s="17" t="s">
        <v>118</v>
      </c>
      <c r="AE42" s="18" t="s">
        <v>119</v>
      </c>
      <c r="AG42" s="29">
        <v>28004</v>
      </c>
    </row>
    <row r="43" spans="1:33">
      <c r="A43" s="29"/>
      <c r="C43" s="43" t="s">
        <v>201</v>
      </c>
      <c r="D43" s="29"/>
      <c r="E43" s="30">
        <v>46057</v>
      </c>
      <c r="F43" s="30">
        <v>46057</v>
      </c>
      <c r="G43" s="17" t="s">
        <v>92</v>
      </c>
      <c r="H43" s="17" t="s">
        <v>92</v>
      </c>
      <c r="I43" s="17">
        <v>0</v>
      </c>
      <c r="J43" s="17">
        <v>0</v>
      </c>
      <c r="K43" s="17">
        <v>0</v>
      </c>
      <c r="M43" s="17" t="s">
        <v>99</v>
      </c>
      <c r="P43" s="17">
        <v>0</v>
      </c>
      <c r="X43" s="29"/>
      <c r="Y43" s="29"/>
      <c r="AA43" s="18"/>
      <c r="AC43" s="31"/>
      <c r="AD43" s="17" t="s">
        <v>118</v>
      </c>
      <c r="AE43" s="18" t="s">
        <v>119</v>
      </c>
      <c r="AG43" s="29">
        <v>28004</v>
      </c>
    </row>
    <row r="44" spans="1:33">
      <c r="A44" s="29"/>
      <c r="C44" s="43" t="s">
        <v>202</v>
      </c>
      <c r="D44" s="29"/>
      <c r="E44" s="30">
        <v>46064</v>
      </c>
      <c r="F44" s="30">
        <v>46064</v>
      </c>
      <c r="G44" s="17" t="s">
        <v>92</v>
      </c>
      <c r="H44" s="17" t="s">
        <v>92</v>
      </c>
      <c r="I44" s="17">
        <v>0</v>
      </c>
      <c r="J44" s="17">
        <v>0</v>
      </c>
      <c r="K44" s="17">
        <v>0</v>
      </c>
      <c r="M44" s="17" t="s">
        <v>93</v>
      </c>
      <c r="P44" s="17">
        <v>0</v>
      </c>
      <c r="X44" s="29"/>
      <c r="Y44" s="29"/>
      <c r="AA44" s="18"/>
      <c r="AC44" s="31"/>
      <c r="AD44" s="17" t="s">
        <v>143</v>
      </c>
      <c r="AE44" s="18" t="s">
        <v>144</v>
      </c>
      <c r="AG44" s="29">
        <v>28010</v>
      </c>
    </row>
    <row r="45" spans="1:33">
      <c r="A45" s="29"/>
      <c r="C45" s="43" t="s">
        <v>203</v>
      </c>
      <c r="D45" s="29"/>
      <c r="E45" s="30">
        <v>46076</v>
      </c>
      <c r="F45" s="30">
        <v>46076</v>
      </c>
      <c r="G45" s="17" t="s">
        <v>92</v>
      </c>
      <c r="H45" s="17" t="s">
        <v>92</v>
      </c>
      <c r="I45" s="17">
        <v>32.76</v>
      </c>
      <c r="J45" s="17">
        <v>12.285</v>
      </c>
      <c r="K45" s="17">
        <v>12.285</v>
      </c>
      <c r="M45" s="17" t="s">
        <v>114</v>
      </c>
      <c r="P45" s="17">
        <v>8.8452000000000002</v>
      </c>
      <c r="X45" s="29"/>
      <c r="Y45" s="29"/>
      <c r="AA45" s="18"/>
      <c r="AC45" s="30"/>
      <c r="AD45" s="17" t="s">
        <v>150</v>
      </c>
      <c r="AE45" s="18" t="s">
        <v>151</v>
      </c>
      <c r="AG45" s="29">
        <v>28002</v>
      </c>
    </row>
    <row r="46" spans="1:33">
      <c r="A46" s="29"/>
      <c r="C46" s="43" t="s">
        <v>204</v>
      </c>
      <c r="D46" s="29"/>
      <c r="E46" s="30">
        <v>46058</v>
      </c>
      <c r="F46" s="30">
        <v>46058</v>
      </c>
      <c r="G46" s="17" t="s">
        <v>92</v>
      </c>
      <c r="H46" s="17" t="s">
        <v>92</v>
      </c>
      <c r="I46" s="17">
        <v>100</v>
      </c>
      <c r="J46" s="17">
        <v>37.5</v>
      </c>
      <c r="K46" s="17">
        <v>37.5</v>
      </c>
      <c r="M46" s="17" t="s">
        <v>93</v>
      </c>
      <c r="P46" s="17">
        <v>30</v>
      </c>
      <c r="X46" s="29"/>
      <c r="Y46" s="29"/>
      <c r="AA46" s="18"/>
      <c r="AC46" s="31"/>
      <c r="AD46" s="17" t="s">
        <v>156</v>
      </c>
      <c r="AE46" s="18" t="s">
        <v>157</v>
      </c>
      <c r="AG46" s="29">
        <v>28004</v>
      </c>
    </row>
    <row r="47" spans="1:33">
      <c r="A47" s="29"/>
      <c r="C47" s="43" t="s">
        <v>205</v>
      </c>
      <c r="D47" s="29"/>
      <c r="E47" s="30">
        <v>46073</v>
      </c>
      <c r="F47" s="30">
        <v>46073</v>
      </c>
      <c r="G47" s="17" t="s">
        <v>92</v>
      </c>
      <c r="H47" s="17" t="s">
        <v>92</v>
      </c>
      <c r="I47" s="17">
        <v>0</v>
      </c>
      <c r="J47" s="17">
        <v>0</v>
      </c>
      <c r="K47" s="17">
        <v>0</v>
      </c>
      <c r="M47" s="17" t="s">
        <v>93</v>
      </c>
      <c r="P47" s="17">
        <v>0</v>
      </c>
      <c r="X47" s="29"/>
      <c r="Y47" s="29"/>
      <c r="AA47" s="18"/>
      <c r="AC47" s="31"/>
      <c r="AD47" s="17" t="s">
        <v>165</v>
      </c>
      <c r="AE47" s="18" t="s">
        <v>166</v>
      </c>
      <c r="AG47" s="29">
        <v>28014</v>
      </c>
    </row>
    <row r="48" spans="1:33">
      <c r="A48" s="29"/>
      <c r="C48" s="43" t="s">
        <v>206</v>
      </c>
      <c r="D48" s="29"/>
      <c r="E48" s="30">
        <v>46055</v>
      </c>
      <c r="F48" s="30">
        <v>46055</v>
      </c>
      <c r="G48" s="17" t="s">
        <v>92</v>
      </c>
      <c r="H48" s="17" t="s">
        <v>92</v>
      </c>
      <c r="I48" s="17">
        <v>0</v>
      </c>
      <c r="J48" s="17">
        <v>0</v>
      </c>
      <c r="K48" s="17">
        <v>0</v>
      </c>
      <c r="M48" s="17" t="s">
        <v>123</v>
      </c>
      <c r="P48" s="17">
        <v>0</v>
      </c>
      <c r="X48" s="29"/>
      <c r="Y48" s="29"/>
      <c r="AA48" s="18"/>
      <c r="AC48" s="31"/>
      <c r="AD48" s="17" t="s">
        <v>171</v>
      </c>
      <c r="AE48" s="18" t="s">
        <v>172</v>
      </c>
      <c r="AG48" s="29">
        <v>7001</v>
      </c>
    </row>
    <row r="49" spans="1:33">
      <c r="A49" s="29"/>
      <c r="C49" s="43" t="s">
        <v>207</v>
      </c>
      <c r="D49" s="29"/>
      <c r="E49" s="30">
        <v>46064</v>
      </c>
      <c r="F49" s="30">
        <v>46064</v>
      </c>
      <c r="G49" s="17" t="s">
        <v>92</v>
      </c>
      <c r="H49" s="17" t="s">
        <v>92</v>
      </c>
      <c r="I49" s="17">
        <v>0</v>
      </c>
      <c r="J49" s="17">
        <v>0</v>
      </c>
      <c r="K49" s="17">
        <v>0</v>
      </c>
      <c r="M49" s="17" t="s">
        <v>123</v>
      </c>
      <c r="P49" s="17">
        <v>0</v>
      </c>
      <c r="X49" s="29"/>
      <c r="Y49" s="29"/>
      <c r="AA49" s="18"/>
      <c r="AC49" s="31"/>
      <c r="AD49" s="17" t="s">
        <v>171</v>
      </c>
      <c r="AE49" s="18" t="s">
        <v>172</v>
      </c>
      <c r="AG49" s="29">
        <v>7001</v>
      </c>
    </row>
    <row r="50" spans="1:33">
      <c r="A50" s="29"/>
      <c r="C50" s="43" t="s">
        <v>208</v>
      </c>
      <c r="D50" s="29"/>
      <c r="E50" s="30">
        <v>46057</v>
      </c>
      <c r="F50" s="30">
        <v>46057</v>
      </c>
      <c r="G50" s="17" t="s">
        <v>92</v>
      </c>
      <c r="H50" s="17" t="s">
        <v>92</v>
      </c>
      <c r="I50" s="17">
        <v>400</v>
      </c>
      <c r="J50" s="17">
        <v>150</v>
      </c>
      <c r="K50" s="17">
        <v>150</v>
      </c>
      <c r="M50" s="17" t="s">
        <v>99</v>
      </c>
      <c r="P50" s="17">
        <v>120</v>
      </c>
      <c r="X50" s="29"/>
      <c r="Y50" s="29"/>
      <c r="AA50" s="18"/>
      <c r="AC50" s="30"/>
      <c r="AD50" s="17" t="s">
        <v>209</v>
      </c>
      <c r="AE50" s="18" t="s">
        <v>210</v>
      </c>
      <c r="AG50" s="29">
        <v>8191</v>
      </c>
    </row>
    <row r="51" spans="1:33">
      <c r="A51" s="29"/>
      <c r="C51" s="43" t="s">
        <v>211</v>
      </c>
      <c r="D51" s="29"/>
      <c r="E51" s="30">
        <v>46057</v>
      </c>
      <c r="F51" s="30">
        <v>46057</v>
      </c>
      <c r="G51" s="17" t="s">
        <v>92</v>
      </c>
      <c r="H51" s="17" t="s">
        <v>92</v>
      </c>
      <c r="I51" s="17">
        <v>9070.57</v>
      </c>
      <c r="J51" s="17">
        <v>3174.6994999999997</v>
      </c>
      <c r="K51" s="17">
        <v>3174.6994999999997</v>
      </c>
      <c r="M51" s="17" t="s">
        <v>212</v>
      </c>
      <c r="P51" s="17">
        <v>2267.6424999999999</v>
      </c>
      <c r="X51" s="29"/>
      <c r="Y51" s="29"/>
      <c r="AA51" s="18"/>
      <c r="AC51" s="31"/>
      <c r="AD51" s="17" t="s">
        <v>213</v>
      </c>
      <c r="AE51" s="18" t="s">
        <v>214</v>
      </c>
      <c r="AG51" s="29">
        <v>28002</v>
      </c>
    </row>
    <row r="52" spans="1:33">
      <c r="A52" s="29"/>
      <c r="C52" s="43" t="s">
        <v>215</v>
      </c>
      <c r="D52" s="29"/>
      <c r="E52" s="30">
        <v>46057</v>
      </c>
      <c r="F52" s="30">
        <v>46057</v>
      </c>
      <c r="G52" s="17" t="s">
        <v>92</v>
      </c>
      <c r="H52" s="17" t="s">
        <v>92</v>
      </c>
      <c r="I52" s="17">
        <v>200</v>
      </c>
      <c r="J52" s="17">
        <v>70</v>
      </c>
      <c r="K52" s="17">
        <v>70</v>
      </c>
      <c r="M52" s="17" t="s">
        <v>212</v>
      </c>
      <c r="P52" s="17">
        <v>50</v>
      </c>
      <c r="X52" s="29"/>
      <c r="Y52" s="29"/>
      <c r="AA52" s="18"/>
      <c r="AC52" s="31"/>
      <c r="AD52" s="17" t="s">
        <v>213</v>
      </c>
      <c r="AE52" s="18" t="s">
        <v>214</v>
      </c>
      <c r="AG52" s="29">
        <v>28002</v>
      </c>
    </row>
    <row r="53" spans="1:33">
      <c r="A53" s="29"/>
      <c r="C53" s="43" t="s">
        <v>216</v>
      </c>
      <c r="D53" s="29"/>
      <c r="E53" s="30">
        <v>46057</v>
      </c>
      <c r="F53" s="30">
        <v>46057</v>
      </c>
      <c r="G53" s="17" t="s">
        <v>92</v>
      </c>
      <c r="H53" s="17" t="s">
        <v>92</v>
      </c>
      <c r="I53" s="17">
        <v>11960.27</v>
      </c>
      <c r="J53" s="17">
        <v>4186.0945000000002</v>
      </c>
      <c r="K53" s="17">
        <v>4186.0945000000002</v>
      </c>
      <c r="M53" s="17" t="s">
        <v>217</v>
      </c>
      <c r="P53" s="17">
        <v>2990.0675000000001</v>
      </c>
      <c r="X53" s="29"/>
      <c r="Y53" s="29"/>
      <c r="AA53" s="18"/>
      <c r="AC53" s="30"/>
      <c r="AD53" s="17" t="s">
        <v>218</v>
      </c>
      <c r="AE53" s="18" t="s">
        <v>219</v>
      </c>
      <c r="AG53" s="29">
        <v>10200</v>
      </c>
    </row>
    <row r="54" spans="1:33">
      <c r="A54" s="29"/>
      <c r="C54" s="43" t="s">
        <v>220</v>
      </c>
      <c r="D54" s="29"/>
      <c r="E54" s="30">
        <v>46057</v>
      </c>
      <c r="F54" s="30">
        <v>46057</v>
      </c>
      <c r="G54" s="17" t="s">
        <v>92</v>
      </c>
      <c r="H54" s="17" t="s">
        <v>92</v>
      </c>
      <c r="I54" s="17">
        <v>200</v>
      </c>
      <c r="J54" s="17">
        <v>70</v>
      </c>
      <c r="K54" s="17">
        <v>70</v>
      </c>
      <c r="M54" s="17" t="s">
        <v>146</v>
      </c>
      <c r="P54" s="17">
        <v>50</v>
      </c>
      <c r="X54" s="29"/>
      <c r="Y54" s="29"/>
      <c r="AA54" s="18"/>
      <c r="AC54" s="31"/>
      <c r="AD54" s="17" t="s">
        <v>218</v>
      </c>
      <c r="AE54" s="18" t="s">
        <v>219</v>
      </c>
      <c r="AG54" s="29">
        <v>10200</v>
      </c>
    </row>
    <row r="55" spans="1:33">
      <c r="A55" s="29"/>
      <c r="C55" s="43" t="s">
        <v>221</v>
      </c>
      <c r="D55" s="29"/>
      <c r="E55" s="30">
        <v>46057</v>
      </c>
      <c r="F55" s="30">
        <v>46057</v>
      </c>
      <c r="G55" s="17" t="s">
        <v>92</v>
      </c>
      <c r="H55" s="17" t="s">
        <v>92</v>
      </c>
      <c r="I55" s="17">
        <v>4550</v>
      </c>
      <c r="J55" s="17">
        <v>1592.5</v>
      </c>
      <c r="K55" s="17">
        <v>1592.5</v>
      </c>
      <c r="M55" s="17" t="s">
        <v>222</v>
      </c>
      <c r="P55" s="17">
        <v>1137.5</v>
      </c>
      <c r="X55" s="29"/>
      <c r="Y55" s="29"/>
      <c r="AA55" s="18"/>
      <c r="AC55" s="31"/>
      <c r="AD55" s="17" t="s">
        <v>223</v>
      </c>
      <c r="AE55" s="18" t="s">
        <v>224</v>
      </c>
      <c r="AG55" s="29">
        <v>39450</v>
      </c>
    </row>
    <row r="56" spans="1:33">
      <c r="A56" s="29"/>
      <c r="C56" s="43" t="s">
        <v>225</v>
      </c>
      <c r="D56" s="29"/>
      <c r="E56" s="30">
        <v>46057</v>
      </c>
      <c r="F56" s="30">
        <v>46057</v>
      </c>
      <c r="G56" s="17" t="s">
        <v>92</v>
      </c>
      <c r="H56" s="17" t="s">
        <v>92</v>
      </c>
      <c r="I56" s="17">
        <v>200</v>
      </c>
      <c r="J56" s="17">
        <v>70</v>
      </c>
      <c r="K56" s="17">
        <v>70</v>
      </c>
      <c r="M56" s="17" t="s">
        <v>222</v>
      </c>
      <c r="P56" s="17">
        <v>50</v>
      </c>
      <c r="X56" s="29"/>
      <c r="Y56" s="29"/>
      <c r="AA56" s="18"/>
      <c r="AC56" s="31"/>
      <c r="AD56" s="17" t="s">
        <v>223</v>
      </c>
      <c r="AE56" s="18" t="s">
        <v>224</v>
      </c>
      <c r="AG56" s="29">
        <v>39450</v>
      </c>
    </row>
    <row r="57" spans="1:33">
      <c r="A57" s="29"/>
      <c r="C57" s="43" t="s">
        <v>226</v>
      </c>
      <c r="D57" s="29"/>
      <c r="E57" s="30">
        <v>46062</v>
      </c>
      <c r="F57" s="30">
        <v>46062</v>
      </c>
      <c r="G57" s="17" t="s">
        <v>92</v>
      </c>
      <c r="H57" s="17" t="s">
        <v>92</v>
      </c>
      <c r="I57" s="17">
        <v>350</v>
      </c>
      <c r="J57" s="17">
        <v>131.25</v>
      </c>
      <c r="K57" s="17">
        <v>131.25</v>
      </c>
      <c r="M57" s="17" t="s">
        <v>99</v>
      </c>
      <c r="P57" s="17">
        <v>105</v>
      </c>
      <c r="X57" s="29"/>
      <c r="Y57" s="29"/>
      <c r="AA57" s="18"/>
      <c r="AC57" s="31"/>
      <c r="AD57" s="17" t="s">
        <v>227</v>
      </c>
      <c r="AE57" s="18" t="s">
        <v>228</v>
      </c>
      <c r="AG57" s="29">
        <v>28008</v>
      </c>
    </row>
    <row r="58" spans="1:33">
      <c r="A58" s="29"/>
      <c r="C58" s="43" t="s">
        <v>229</v>
      </c>
      <c r="D58" s="29"/>
      <c r="E58" s="30">
        <v>46062</v>
      </c>
      <c r="F58" s="30">
        <v>46062</v>
      </c>
      <c r="G58" s="17" t="s">
        <v>92</v>
      </c>
      <c r="H58" s="17" t="s">
        <v>92</v>
      </c>
      <c r="I58" s="17">
        <v>350</v>
      </c>
      <c r="J58" s="17">
        <v>131.25</v>
      </c>
      <c r="K58" s="17">
        <v>131.25</v>
      </c>
      <c r="M58" s="17" t="s">
        <v>99</v>
      </c>
      <c r="P58" s="17">
        <v>105</v>
      </c>
      <c r="X58" s="29"/>
      <c r="Y58" s="29"/>
      <c r="AA58" s="18"/>
      <c r="AC58" s="31"/>
      <c r="AD58" s="17" t="s">
        <v>230</v>
      </c>
      <c r="AE58" s="18" t="s">
        <v>231</v>
      </c>
      <c r="AG58" s="29">
        <v>28043</v>
      </c>
    </row>
    <row r="59" spans="1:33">
      <c r="A59" s="29"/>
      <c r="C59" s="43" t="s">
        <v>232</v>
      </c>
      <c r="D59" s="29"/>
      <c r="E59" s="30">
        <v>46077</v>
      </c>
      <c r="F59" s="30">
        <v>46077</v>
      </c>
      <c r="G59" s="17" t="s">
        <v>92</v>
      </c>
      <c r="H59" s="17" t="s">
        <v>92</v>
      </c>
      <c r="I59" s="17">
        <v>0</v>
      </c>
      <c r="J59" s="17">
        <v>0</v>
      </c>
      <c r="K59" s="17">
        <v>0</v>
      </c>
      <c r="M59" s="17" t="s">
        <v>99</v>
      </c>
      <c r="P59" s="17">
        <v>0</v>
      </c>
      <c r="X59" s="29"/>
      <c r="Y59" s="29"/>
      <c r="AA59" s="18"/>
      <c r="AC59" s="31"/>
      <c r="AD59" s="17" t="s">
        <v>230</v>
      </c>
      <c r="AE59" s="18" t="s">
        <v>231</v>
      </c>
      <c r="AG59" s="29">
        <v>28043</v>
      </c>
    </row>
    <row r="60" spans="1:33">
      <c r="A60" s="29"/>
      <c r="C60" s="43" t="s">
        <v>233</v>
      </c>
      <c r="D60" s="29"/>
      <c r="E60" s="30">
        <v>46066</v>
      </c>
      <c r="F60" s="30">
        <v>46066</v>
      </c>
      <c r="G60" s="17" t="s">
        <v>92</v>
      </c>
      <c r="H60" s="17" t="s">
        <v>92</v>
      </c>
      <c r="I60" s="17">
        <v>350</v>
      </c>
      <c r="J60" s="17">
        <v>131.25</v>
      </c>
      <c r="K60" s="17">
        <v>131.25</v>
      </c>
      <c r="M60" s="17" t="s">
        <v>234</v>
      </c>
      <c r="P60" s="17">
        <v>70</v>
      </c>
      <c r="X60" s="29"/>
      <c r="Y60" s="29"/>
      <c r="AA60" s="18"/>
      <c r="AC60" s="31"/>
      <c r="AD60" s="17" t="s">
        <v>235</v>
      </c>
      <c r="AE60" s="18" t="s">
        <v>236</v>
      </c>
      <c r="AG60" s="29">
        <v>30002</v>
      </c>
    </row>
    <row r="61" spans="1:33">
      <c r="A61" s="29"/>
      <c r="C61" s="43" t="s">
        <v>237</v>
      </c>
      <c r="D61" s="29"/>
      <c r="E61" s="30">
        <v>46069</v>
      </c>
      <c r="F61" s="30">
        <v>46069</v>
      </c>
      <c r="G61" s="17" t="s">
        <v>92</v>
      </c>
      <c r="H61" s="17" t="s">
        <v>92</v>
      </c>
      <c r="I61" s="17">
        <v>350</v>
      </c>
      <c r="J61" s="17">
        <v>131.25</v>
      </c>
      <c r="K61" s="17">
        <v>131.25</v>
      </c>
      <c r="M61" s="17" t="s">
        <v>178</v>
      </c>
      <c r="P61" s="17">
        <v>70</v>
      </c>
      <c r="X61" s="29"/>
      <c r="Y61" s="29"/>
      <c r="AA61" s="18"/>
      <c r="AC61" s="31"/>
      <c r="AD61" s="17" t="s">
        <v>238</v>
      </c>
      <c r="AE61" s="18" t="s">
        <v>239</v>
      </c>
      <c r="AG61" s="29">
        <v>10003</v>
      </c>
    </row>
    <row r="62" spans="1:33">
      <c r="A62" s="29"/>
      <c r="C62" s="43" t="s">
        <v>240</v>
      </c>
      <c r="D62" s="29"/>
      <c r="E62" s="30">
        <v>46072</v>
      </c>
      <c r="F62" s="30">
        <v>46072</v>
      </c>
      <c r="G62" s="17" t="s">
        <v>92</v>
      </c>
      <c r="H62" s="17" t="s">
        <v>92</v>
      </c>
      <c r="I62" s="17">
        <v>350</v>
      </c>
      <c r="J62" s="17">
        <v>131.25</v>
      </c>
      <c r="K62" s="17">
        <v>131.25</v>
      </c>
      <c r="M62" s="17" t="s">
        <v>241</v>
      </c>
      <c r="P62" s="17">
        <v>70</v>
      </c>
      <c r="X62" s="29"/>
      <c r="Y62" s="29"/>
      <c r="AA62" s="18"/>
      <c r="AC62" s="31"/>
      <c r="AD62" s="17" t="s">
        <v>242</v>
      </c>
      <c r="AE62" s="18" t="s">
        <v>243</v>
      </c>
      <c r="AG62" s="29">
        <v>20304</v>
      </c>
    </row>
    <row r="63" spans="1:33">
      <c r="A63" s="29"/>
      <c r="C63" s="43" t="s">
        <v>244</v>
      </c>
      <c r="D63" s="29"/>
      <c r="E63" s="30">
        <v>46072</v>
      </c>
      <c r="F63" s="30">
        <v>46072</v>
      </c>
      <c r="G63" s="17" t="s">
        <v>92</v>
      </c>
      <c r="H63" s="17" t="s">
        <v>92</v>
      </c>
      <c r="I63" s="17">
        <v>4300</v>
      </c>
      <c r="J63" s="17">
        <v>1505</v>
      </c>
      <c r="K63" s="17">
        <v>1505</v>
      </c>
      <c r="M63" s="17" t="s">
        <v>93</v>
      </c>
      <c r="P63" s="17">
        <v>1290</v>
      </c>
      <c r="X63" s="29"/>
      <c r="Y63" s="29"/>
      <c r="AA63" s="18"/>
      <c r="AC63" s="31"/>
      <c r="AD63" s="17" t="s">
        <v>245</v>
      </c>
      <c r="AE63" s="18" t="s">
        <v>246</v>
      </c>
      <c r="AG63" s="29">
        <v>28004</v>
      </c>
    </row>
    <row r="64" spans="1:33">
      <c r="A64" s="29"/>
      <c r="C64" s="43" t="s">
        <v>247</v>
      </c>
      <c r="D64" s="29"/>
      <c r="E64" s="30">
        <v>46072</v>
      </c>
      <c r="F64" s="30">
        <v>46072</v>
      </c>
      <c r="G64" s="17" t="s">
        <v>92</v>
      </c>
      <c r="H64" s="17" t="s">
        <v>92</v>
      </c>
      <c r="I64" s="17">
        <v>200</v>
      </c>
      <c r="J64" s="17">
        <v>70</v>
      </c>
      <c r="K64" s="17">
        <v>70</v>
      </c>
      <c r="M64" s="17" t="s">
        <v>93</v>
      </c>
      <c r="P64" s="17">
        <v>60</v>
      </c>
      <c r="X64" s="29"/>
      <c r="Y64" s="29"/>
      <c r="AA64" s="18"/>
      <c r="AC64" s="30"/>
      <c r="AD64" s="17" t="s">
        <v>245</v>
      </c>
      <c r="AE64" s="18" t="s">
        <v>246</v>
      </c>
      <c r="AG64" s="29">
        <v>28004</v>
      </c>
    </row>
    <row r="65" spans="1:33">
      <c r="A65" s="29"/>
      <c r="C65" s="43" t="s">
        <v>248</v>
      </c>
      <c r="D65" s="29"/>
      <c r="E65" s="30">
        <v>46072</v>
      </c>
      <c r="F65" s="30">
        <v>46072</v>
      </c>
      <c r="G65" s="17" t="s">
        <v>92</v>
      </c>
      <c r="H65" s="17" t="s">
        <v>92</v>
      </c>
      <c r="I65" s="17">
        <v>12800</v>
      </c>
      <c r="J65" s="17">
        <v>4480</v>
      </c>
      <c r="K65" s="17">
        <v>4480</v>
      </c>
      <c r="M65" s="17" t="s">
        <v>93</v>
      </c>
      <c r="P65" s="17">
        <v>3840</v>
      </c>
      <c r="X65" s="29"/>
      <c r="Y65" s="29"/>
      <c r="AA65" s="18"/>
      <c r="AC65" s="31"/>
      <c r="AD65" s="17" t="s">
        <v>249</v>
      </c>
      <c r="AE65" s="18" t="s">
        <v>250</v>
      </c>
      <c r="AG65" s="29">
        <v>28223</v>
      </c>
    </row>
    <row r="66" spans="1:33">
      <c r="A66" s="29"/>
      <c r="C66" s="43" t="s">
        <v>251</v>
      </c>
      <c r="D66" s="29"/>
      <c r="E66" s="30">
        <v>46072</v>
      </c>
      <c r="F66" s="30">
        <v>46072</v>
      </c>
      <c r="G66" s="17" t="s">
        <v>92</v>
      </c>
      <c r="H66" s="17" t="s">
        <v>92</v>
      </c>
      <c r="I66" s="17">
        <v>200</v>
      </c>
      <c r="J66" s="17">
        <v>70</v>
      </c>
      <c r="K66" s="17">
        <v>70</v>
      </c>
      <c r="M66" s="17" t="s">
        <v>93</v>
      </c>
      <c r="P66" s="17">
        <v>60</v>
      </c>
      <c r="X66" s="29"/>
      <c r="Y66" s="29"/>
      <c r="AA66" s="18"/>
      <c r="AC66" s="31"/>
      <c r="AD66" s="17" t="s">
        <v>249</v>
      </c>
      <c r="AE66" s="18" t="s">
        <v>250</v>
      </c>
      <c r="AG66" s="29">
        <v>28223</v>
      </c>
    </row>
    <row r="67" spans="1:33">
      <c r="A67" s="29"/>
      <c r="C67" s="43" t="s">
        <v>252</v>
      </c>
      <c r="D67" s="29"/>
      <c r="E67" s="30">
        <v>46072</v>
      </c>
      <c r="F67" s="30">
        <v>46072</v>
      </c>
      <c r="G67" s="17" t="s">
        <v>92</v>
      </c>
      <c r="H67" s="17" t="s">
        <v>92</v>
      </c>
      <c r="I67" s="17">
        <v>300</v>
      </c>
      <c r="J67" s="17">
        <v>112.5</v>
      </c>
      <c r="K67" s="17">
        <v>112.5</v>
      </c>
      <c r="M67" s="17" t="s">
        <v>99</v>
      </c>
      <c r="P67" s="17">
        <v>90</v>
      </c>
      <c r="X67" s="29"/>
      <c r="Y67" s="29"/>
      <c r="AA67" s="18"/>
      <c r="AC67" s="31"/>
      <c r="AD67" s="17" t="s">
        <v>253</v>
      </c>
      <c r="AE67" s="18" t="s">
        <v>254</v>
      </c>
      <c r="AG67" s="29">
        <v>28002</v>
      </c>
    </row>
    <row r="68" spans="1:33">
      <c r="A68" s="29"/>
      <c r="C68" s="43" t="s">
        <v>255</v>
      </c>
      <c r="D68" s="29"/>
      <c r="E68" s="30">
        <v>46073</v>
      </c>
      <c r="F68" s="30">
        <v>46073</v>
      </c>
      <c r="G68" s="17" t="s">
        <v>92</v>
      </c>
      <c r="H68" s="17" t="s">
        <v>92</v>
      </c>
      <c r="I68" s="17">
        <v>350</v>
      </c>
      <c r="J68" s="17">
        <v>131.25</v>
      </c>
      <c r="K68" s="17">
        <v>131.25</v>
      </c>
      <c r="M68" s="17" t="s">
        <v>99</v>
      </c>
      <c r="P68" s="17">
        <v>105</v>
      </c>
      <c r="X68" s="29"/>
      <c r="Y68" s="29"/>
      <c r="AA68" s="18"/>
      <c r="AC68" s="30"/>
      <c r="AD68" s="17" t="s">
        <v>256</v>
      </c>
      <c r="AE68" s="18" t="s">
        <v>257</v>
      </c>
      <c r="AG68" s="29">
        <v>28001</v>
      </c>
    </row>
    <row r="69" spans="1:33">
      <c r="A69" s="29"/>
      <c r="C69" s="43" t="s">
        <v>258</v>
      </c>
      <c r="D69" s="29"/>
      <c r="E69" s="30">
        <v>46073</v>
      </c>
      <c r="F69" s="30">
        <v>46073</v>
      </c>
      <c r="G69" s="17" t="s">
        <v>92</v>
      </c>
      <c r="H69" s="17" t="s">
        <v>92</v>
      </c>
      <c r="I69" s="17">
        <v>350</v>
      </c>
      <c r="J69" s="17">
        <v>131.25</v>
      </c>
      <c r="K69" s="17">
        <v>131.25</v>
      </c>
      <c r="M69" s="17" t="s">
        <v>99</v>
      </c>
      <c r="P69" s="17">
        <v>105</v>
      </c>
      <c r="X69" s="29"/>
      <c r="Y69" s="29"/>
      <c r="AA69" s="18"/>
      <c r="AC69" s="31"/>
      <c r="AD69" s="17" t="s">
        <v>256</v>
      </c>
      <c r="AE69" s="18" t="s">
        <v>257</v>
      </c>
      <c r="AG69" s="29">
        <v>13270</v>
      </c>
    </row>
    <row r="70" spans="1:33">
      <c r="A70" s="29"/>
      <c r="C70" s="43" t="s">
        <v>259</v>
      </c>
      <c r="D70" s="29"/>
      <c r="E70" s="30">
        <v>46076</v>
      </c>
      <c r="F70" s="30">
        <v>46076</v>
      </c>
      <c r="G70" s="17" t="s">
        <v>92</v>
      </c>
      <c r="H70" s="17" t="s">
        <v>92</v>
      </c>
      <c r="I70" s="17">
        <v>350</v>
      </c>
      <c r="J70" s="17">
        <v>131.25</v>
      </c>
      <c r="K70" s="17">
        <v>131.25</v>
      </c>
      <c r="M70" s="17" t="s">
        <v>99</v>
      </c>
      <c r="P70" s="17">
        <v>105</v>
      </c>
      <c r="X70" s="29"/>
      <c r="Y70" s="29"/>
      <c r="AA70" s="18"/>
      <c r="AC70" s="31"/>
      <c r="AD70" s="17" t="s">
        <v>118</v>
      </c>
      <c r="AE70" s="18" t="s">
        <v>119</v>
      </c>
      <c r="AG70" s="29">
        <v>28042</v>
      </c>
    </row>
    <row r="71" spans="1:33">
      <c r="A71" s="29"/>
      <c r="C71" s="43" t="s">
        <v>260</v>
      </c>
      <c r="D71" s="29"/>
      <c r="E71" s="30">
        <v>46077</v>
      </c>
      <c r="F71" s="30">
        <v>46077</v>
      </c>
      <c r="G71" s="17" t="s">
        <v>92</v>
      </c>
      <c r="H71" s="17" t="s">
        <v>92</v>
      </c>
      <c r="I71" s="17">
        <v>0</v>
      </c>
      <c r="J71" s="17">
        <v>0</v>
      </c>
      <c r="K71" s="17">
        <v>0</v>
      </c>
      <c r="M71" s="17" t="s">
        <v>99</v>
      </c>
      <c r="P71" s="17">
        <v>0</v>
      </c>
      <c r="X71" s="29"/>
      <c r="Y71" s="29"/>
      <c r="AA71" s="18"/>
      <c r="AC71" s="31"/>
      <c r="AD71" s="17" t="s">
        <v>118</v>
      </c>
      <c r="AE71" s="18" t="s">
        <v>119</v>
      </c>
      <c r="AG71" s="29">
        <v>28042</v>
      </c>
    </row>
    <row r="72" spans="1:33">
      <c r="A72" s="29"/>
      <c r="C72" s="43" t="s">
        <v>261</v>
      </c>
      <c r="D72" s="29"/>
      <c r="E72" s="30">
        <v>46077</v>
      </c>
      <c r="F72" s="30">
        <v>46077</v>
      </c>
      <c r="G72" s="17" t="s">
        <v>92</v>
      </c>
      <c r="H72" s="17" t="s">
        <v>92</v>
      </c>
      <c r="I72" s="17">
        <v>750</v>
      </c>
      <c r="J72" s="17">
        <v>281.25</v>
      </c>
      <c r="K72" s="17">
        <v>281.25</v>
      </c>
      <c r="M72" s="17" t="s">
        <v>93</v>
      </c>
      <c r="P72" s="17">
        <v>225</v>
      </c>
      <c r="X72" s="29"/>
      <c r="Y72" s="29"/>
      <c r="AA72" s="18"/>
      <c r="AC72" s="31"/>
      <c r="AD72" s="17" t="s">
        <v>262</v>
      </c>
      <c r="AE72" s="18" t="s">
        <v>263</v>
      </c>
      <c r="AG72" s="29">
        <v>28001</v>
      </c>
    </row>
    <row r="73" spans="1:33">
      <c r="A73" s="29"/>
      <c r="C73" s="43" t="s">
        <v>261</v>
      </c>
      <c r="D73" s="29"/>
      <c r="E73" s="30">
        <v>46077</v>
      </c>
      <c r="F73" s="30">
        <v>46077</v>
      </c>
      <c r="G73" s="17" t="s">
        <v>92</v>
      </c>
      <c r="H73" s="17" t="s">
        <v>92</v>
      </c>
      <c r="I73" s="17">
        <v>750</v>
      </c>
      <c r="J73" s="17">
        <v>281.25</v>
      </c>
      <c r="K73" s="17">
        <v>281.25</v>
      </c>
      <c r="M73" s="17" t="s">
        <v>93</v>
      </c>
      <c r="P73" s="17">
        <v>225</v>
      </c>
      <c r="X73" s="29"/>
      <c r="Y73" s="29"/>
      <c r="AA73" s="18"/>
      <c r="AC73" s="31"/>
      <c r="AD73" s="17" t="s">
        <v>262</v>
      </c>
      <c r="AE73" s="18" t="s">
        <v>263</v>
      </c>
      <c r="AG73" s="29">
        <v>28001</v>
      </c>
    </row>
    <row r="74" spans="1:33">
      <c r="A74" s="29"/>
      <c r="C74" s="43" t="s">
        <v>261</v>
      </c>
      <c r="D74" s="29"/>
      <c r="E74" s="30">
        <v>46077</v>
      </c>
      <c r="F74" s="30">
        <v>46077</v>
      </c>
      <c r="G74" s="17" t="s">
        <v>92</v>
      </c>
      <c r="H74" s="17" t="s">
        <v>92</v>
      </c>
      <c r="I74" s="17">
        <v>750</v>
      </c>
      <c r="J74" s="17">
        <v>281.25</v>
      </c>
      <c r="K74" s="17">
        <v>281.25</v>
      </c>
      <c r="M74" s="17" t="s">
        <v>93</v>
      </c>
      <c r="P74" s="17">
        <v>225</v>
      </c>
      <c r="X74" s="29"/>
      <c r="Y74" s="29"/>
      <c r="AA74" s="18"/>
      <c r="AC74" s="31"/>
      <c r="AD74" s="17" t="s">
        <v>262</v>
      </c>
      <c r="AE74" s="18" t="s">
        <v>263</v>
      </c>
      <c r="AG74" s="29">
        <v>28001</v>
      </c>
    </row>
    <row r="75" spans="1:33">
      <c r="A75" s="29"/>
      <c r="C75" s="43" t="s">
        <v>261</v>
      </c>
      <c r="D75" s="29"/>
      <c r="E75" s="30">
        <v>46077</v>
      </c>
      <c r="F75" s="30">
        <v>46077</v>
      </c>
      <c r="G75" s="17" t="s">
        <v>92</v>
      </c>
      <c r="H75" s="17" t="s">
        <v>92</v>
      </c>
      <c r="I75" s="17">
        <v>750</v>
      </c>
      <c r="J75" s="17">
        <v>281.25</v>
      </c>
      <c r="K75" s="17">
        <v>281.25</v>
      </c>
      <c r="M75" s="17" t="s">
        <v>93</v>
      </c>
      <c r="P75" s="17">
        <v>225</v>
      </c>
      <c r="X75" s="29"/>
      <c r="Y75" s="29"/>
      <c r="AA75" s="18"/>
      <c r="AC75" s="31"/>
      <c r="AD75" s="17" t="s">
        <v>262</v>
      </c>
      <c r="AE75" s="18" t="s">
        <v>263</v>
      </c>
      <c r="AG75" s="29">
        <v>28001</v>
      </c>
    </row>
    <row r="76" spans="1:33">
      <c r="A76" s="29"/>
      <c r="C76" s="43" t="s">
        <v>264</v>
      </c>
      <c r="D76" s="29"/>
      <c r="E76" s="30">
        <v>46077</v>
      </c>
      <c r="F76" s="30">
        <v>46077</v>
      </c>
      <c r="G76" s="17" t="s">
        <v>92</v>
      </c>
      <c r="H76" s="17" t="s">
        <v>92</v>
      </c>
      <c r="I76" s="17">
        <v>474.03</v>
      </c>
      <c r="J76" s="17">
        <v>177.76124999999999</v>
      </c>
      <c r="K76" s="17">
        <v>177.76124999999999</v>
      </c>
      <c r="M76" s="17" t="s">
        <v>123</v>
      </c>
      <c r="P76" s="17">
        <v>94.805999999999997</v>
      </c>
      <c r="X76" s="29"/>
      <c r="Y76" s="29"/>
      <c r="AA76" s="18"/>
      <c r="AC76" s="31"/>
      <c r="AD76" s="17" t="s">
        <v>265</v>
      </c>
      <c r="AE76" s="18" t="s">
        <v>266</v>
      </c>
      <c r="AG76" s="29">
        <v>8911</v>
      </c>
    </row>
    <row r="77" spans="1:33">
      <c r="A77" s="29"/>
      <c r="C77" s="43" t="s">
        <v>267</v>
      </c>
      <c r="D77" s="29"/>
      <c r="E77" s="30">
        <v>46078</v>
      </c>
      <c r="F77" s="30">
        <v>46078</v>
      </c>
      <c r="G77" s="17" t="s">
        <v>92</v>
      </c>
      <c r="H77" s="17" t="s">
        <v>92</v>
      </c>
      <c r="I77" s="17">
        <v>2148.4899999999998</v>
      </c>
      <c r="J77" s="17">
        <v>805.68374999999992</v>
      </c>
      <c r="K77" s="17">
        <v>805.68374999999992</v>
      </c>
      <c r="M77" s="17" t="s">
        <v>268</v>
      </c>
      <c r="P77" s="17">
        <v>429.69799999999998</v>
      </c>
      <c r="X77" s="29"/>
      <c r="Y77" s="29"/>
      <c r="AA77" s="18"/>
      <c r="AC77" s="31"/>
      <c r="AD77" s="17" t="s">
        <v>269</v>
      </c>
      <c r="AE77" s="18" t="s">
        <v>270</v>
      </c>
      <c r="AG77" s="29">
        <v>28109</v>
      </c>
    </row>
    <row r="78" spans="1:33">
      <c r="A78" s="29"/>
      <c r="C78" s="43" t="s">
        <v>271</v>
      </c>
      <c r="D78" s="29"/>
      <c r="E78" s="30">
        <v>46080</v>
      </c>
      <c r="F78" s="30">
        <v>46080</v>
      </c>
      <c r="G78" s="17" t="s">
        <v>92</v>
      </c>
      <c r="H78" s="17" t="s">
        <v>92</v>
      </c>
      <c r="I78" s="17">
        <v>835</v>
      </c>
      <c r="J78" s="17">
        <v>313.125</v>
      </c>
      <c r="K78" s="17">
        <v>313.125</v>
      </c>
      <c r="M78" s="17" t="s">
        <v>272</v>
      </c>
      <c r="P78" s="17">
        <v>167</v>
      </c>
      <c r="X78" s="29"/>
      <c r="Y78" s="29"/>
      <c r="AA78" s="18"/>
      <c r="AC78" s="31"/>
      <c r="AD78" s="17" t="s">
        <v>273</v>
      </c>
      <c r="AE78" s="18" t="s">
        <v>274</v>
      </c>
      <c r="AG78" s="29">
        <v>8021</v>
      </c>
    </row>
    <row r="79" spans="1:33">
      <c r="A79" s="29"/>
      <c r="C79" s="43"/>
      <c r="D79" s="29"/>
      <c r="E79" s="30"/>
      <c r="F79" s="30"/>
      <c r="X79" s="29"/>
      <c r="Y79" s="29"/>
      <c r="AA79" s="18"/>
      <c r="AC79" s="30"/>
      <c r="AE79" s="18"/>
      <c r="AG79" s="29"/>
    </row>
    <row r="80" spans="1:33">
      <c r="A80" s="29"/>
      <c r="C80" s="43"/>
      <c r="D80" s="29"/>
      <c r="E80" s="30"/>
      <c r="F80" s="30"/>
      <c r="X80" s="29"/>
      <c r="Y80" s="29"/>
      <c r="AA80" s="18"/>
      <c r="AC80" s="31"/>
      <c r="AE80" s="18"/>
      <c r="AG80" s="29"/>
    </row>
    <row r="81" spans="1:33">
      <c r="A81" s="29"/>
      <c r="C81" s="43"/>
      <c r="D81" s="29"/>
      <c r="E81" s="30"/>
      <c r="F81" s="30"/>
      <c r="X81" s="29"/>
      <c r="Y81" s="29"/>
      <c r="AA81" s="18"/>
      <c r="AC81" s="30"/>
      <c r="AE81" s="18"/>
      <c r="AG81" s="29"/>
    </row>
    <row r="82" spans="1:33">
      <c r="A82" s="29"/>
      <c r="C82" s="43"/>
      <c r="D82" s="29"/>
      <c r="E82" s="30"/>
      <c r="F82" s="30"/>
      <c r="X82" s="29"/>
      <c r="Y82" s="29"/>
      <c r="AA82" s="18"/>
      <c r="AC82" s="31"/>
      <c r="AE82" s="18"/>
      <c r="AG82" s="29"/>
    </row>
    <row r="83" spans="1:33">
      <c r="A83" s="29"/>
      <c r="C83" s="43"/>
      <c r="D83" s="29"/>
      <c r="E83" s="30"/>
      <c r="F83" s="30"/>
      <c r="X83" s="29"/>
      <c r="Y83" s="29"/>
      <c r="AA83" s="18"/>
      <c r="AC83" s="31"/>
      <c r="AE83" s="18"/>
      <c r="AG83" s="29"/>
    </row>
    <row r="84" spans="1:33">
      <c r="A84" s="29"/>
      <c r="C84" s="43"/>
      <c r="D84" s="29"/>
      <c r="E84" s="30"/>
      <c r="F84" s="30"/>
      <c r="X84" s="29"/>
      <c r="Y84" s="29"/>
      <c r="AA84" s="18"/>
      <c r="AC84" s="31"/>
      <c r="AE84" s="18"/>
      <c r="AG84" s="29"/>
    </row>
    <row r="85" spans="1:33">
      <c r="A85" s="29"/>
      <c r="C85" s="43"/>
      <c r="D85" s="29"/>
      <c r="E85" s="30"/>
      <c r="F85" s="30"/>
      <c r="X85" s="29"/>
      <c r="Y85" s="29"/>
      <c r="AA85" s="18"/>
      <c r="AC85" s="30"/>
      <c r="AE85" s="18"/>
      <c r="AG85" s="29"/>
    </row>
    <row r="86" spans="1:33">
      <c r="A86" s="29"/>
      <c r="C86" s="43"/>
      <c r="D86" s="29"/>
      <c r="E86" s="30"/>
      <c r="F86" s="30"/>
      <c r="X86" s="29"/>
      <c r="Y86" s="29"/>
      <c r="AA86" s="18"/>
      <c r="AC86" s="31"/>
      <c r="AE86" s="18"/>
      <c r="AG86" s="29"/>
    </row>
    <row r="87" spans="1:33">
      <c r="A87" s="29"/>
      <c r="C87" s="43"/>
      <c r="D87" s="29"/>
      <c r="E87" s="30"/>
      <c r="F87" s="30"/>
      <c r="X87" s="29"/>
      <c r="Y87" s="29"/>
      <c r="AA87" s="18"/>
      <c r="AC87" s="31"/>
      <c r="AE87" s="18"/>
      <c r="AG87" s="29"/>
    </row>
    <row r="88" spans="1:33">
      <c r="A88" s="29"/>
      <c r="C88" s="43"/>
      <c r="D88" s="29"/>
      <c r="E88" s="30"/>
      <c r="F88" s="30"/>
      <c r="X88" s="29"/>
      <c r="Y88" s="29"/>
      <c r="AA88" s="18"/>
      <c r="AC88" s="31"/>
      <c r="AE88" s="18"/>
      <c r="AG88" s="29"/>
    </row>
    <row r="89" spans="1:33">
      <c r="A89" s="29"/>
      <c r="C89" s="43"/>
      <c r="D89" s="29"/>
      <c r="E89" s="30"/>
      <c r="F89" s="30"/>
      <c r="X89" s="29"/>
      <c r="Y89" s="29"/>
      <c r="AA89" s="18"/>
      <c r="AC89" s="31"/>
      <c r="AE89" s="18"/>
      <c r="AG89" s="29"/>
    </row>
    <row r="90" spans="1:33">
      <c r="A90" s="29"/>
      <c r="C90" s="43"/>
      <c r="D90" s="29"/>
      <c r="E90" s="30"/>
      <c r="F90" s="30"/>
      <c r="X90" s="29"/>
      <c r="Y90" s="29"/>
      <c r="AA90" s="18"/>
      <c r="AC90" s="31"/>
      <c r="AE90" s="18"/>
      <c r="AG90" s="29"/>
    </row>
    <row r="91" spans="1:33">
      <c r="A91" s="29"/>
      <c r="C91" s="43"/>
      <c r="D91" s="29"/>
      <c r="E91" s="30"/>
      <c r="F91" s="30"/>
      <c r="X91" s="29"/>
      <c r="Y91" s="29"/>
      <c r="AA91" s="18"/>
      <c r="AC91" s="31"/>
      <c r="AE91" s="18"/>
      <c r="AG91" s="29"/>
    </row>
    <row r="92" spans="1:33">
      <c r="A92" s="29"/>
      <c r="C92" s="43"/>
      <c r="D92" s="29"/>
      <c r="E92" s="30"/>
      <c r="F92" s="30"/>
      <c r="X92" s="29"/>
      <c r="Y92" s="29"/>
      <c r="AA92" s="18"/>
      <c r="AC92" s="31"/>
      <c r="AE92" s="18"/>
      <c r="AG92" s="29"/>
    </row>
    <row r="93" spans="1:33">
      <c r="A93" s="29"/>
      <c r="C93" s="43"/>
      <c r="D93" s="29"/>
      <c r="E93" s="30"/>
      <c r="F93" s="30"/>
      <c r="X93" s="29"/>
      <c r="Y93" s="29"/>
      <c r="AA93" s="18"/>
      <c r="AC93" s="31"/>
      <c r="AE93" s="18"/>
      <c r="AG93" s="29"/>
    </row>
    <row r="94" spans="1:33">
      <c r="A94" s="29"/>
      <c r="C94" s="43"/>
      <c r="D94" s="29"/>
      <c r="E94" s="30"/>
      <c r="F94" s="30"/>
      <c r="X94" s="29"/>
      <c r="Y94" s="29"/>
      <c r="AA94" s="18"/>
      <c r="AC94" s="31"/>
      <c r="AE94" s="18"/>
      <c r="AG94" s="29"/>
    </row>
    <row r="95" spans="1:33">
      <c r="A95" s="29"/>
      <c r="C95" s="43"/>
      <c r="D95" s="29"/>
      <c r="E95" s="30"/>
      <c r="F95" s="30"/>
      <c r="X95" s="29"/>
      <c r="Y95" s="29"/>
      <c r="AA95" s="18"/>
      <c r="AC95" s="31"/>
      <c r="AE95" s="18"/>
      <c r="AG95" s="29"/>
    </row>
    <row r="96" spans="1:33">
      <c r="A96" s="29"/>
      <c r="C96" s="43"/>
      <c r="D96" s="29"/>
      <c r="E96" s="30"/>
      <c r="F96" s="30"/>
      <c r="X96" s="29"/>
      <c r="Y96" s="29"/>
      <c r="AA96" s="18"/>
      <c r="AC96" s="31"/>
      <c r="AE96" s="18"/>
      <c r="AG96" s="29"/>
    </row>
    <row r="97" spans="1:33">
      <c r="A97" s="29"/>
      <c r="C97" s="43"/>
      <c r="D97" s="29"/>
      <c r="E97" s="30"/>
      <c r="F97" s="30"/>
      <c r="X97" s="29"/>
      <c r="Y97" s="29"/>
      <c r="AA97" s="18"/>
      <c r="AC97" s="31"/>
      <c r="AE97" s="18"/>
      <c r="AG97" s="29"/>
    </row>
    <row r="98" spans="1:33">
      <c r="A98" s="29"/>
      <c r="C98" s="43"/>
      <c r="D98" s="29"/>
      <c r="E98" s="30"/>
      <c r="F98" s="30"/>
      <c r="X98" s="29"/>
      <c r="Y98" s="29"/>
      <c r="AA98" s="18"/>
      <c r="AC98" s="31"/>
      <c r="AE98" s="18"/>
      <c r="AG98" s="29"/>
    </row>
    <row r="99" spans="1:33">
      <c r="A99" s="29"/>
      <c r="C99" s="43"/>
      <c r="D99" s="29"/>
      <c r="E99" s="30"/>
      <c r="F99" s="30"/>
      <c r="X99" s="29"/>
      <c r="Y99" s="29"/>
      <c r="AA99" s="18"/>
      <c r="AC99" s="31"/>
      <c r="AE99" s="18"/>
      <c r="AG99" s="29"/>
    </row>
    <row r="100" spans="1:33">
      <c r="A100" s="29"/>
      <c r="C100" s="43"/>
      <c r="D100" s="29"/>
      <c r="E100" s="30"/>
      <c r="F100" s="30"/>
      <c r="X100" s="29"/>
      <c r="Y100" s="29"/>
      <c r="AA100" s="18"/>
      <c r="AC100" s="30"/>
      <c r="AE100" s="18"/>
      <c r="AG100" s="29"/>
    </row>
    <row r="101" spans="1:33">
      <c r="A101" s="29"/>
      <c r="C101" s="43"/>
      <c r="D101" s="29"/>
      <c r="E101" s="30"/>
      <c r="F101" s="30"/>
      <c r="X101" s="29"/>
      <c r="Y101" s="29"/>
      <c r="AA101" s="18"/>
      <c r="AC101" s="31"/>
      <c r="AE101" s="18"/>
      <c r="AG101" s="29"/>
    </row>
    <row r="102" spans="1:33">
      <c r="A102" s="29"/>
      <c r="C102" s="43"/>
      <c r="D102" s="29"/>
      <c r="E102" s="30"/>
      <c r="F102" s="30"/>
      <c r="X102" s="29"/>
      <c r="Y102" s="29"/>
      <c r="AA102" s="18"/>
      <c r="AC102" s="31"/>
      <c r="AE102" s="18"/>
      <c r="AG102" s="29"/>
    </row>
    <row r="103" spans="1:33">
      <c r="A103" s="29"/>
      <c r="C103" s="43"/>
      <c r="D103" s="29"/>
      <c r="E103" s="30"/>
      <c r="F103" s="30"/>
      <c r="X103" s="29"/>
      <c r="Y103" s="29"/>
      <c r="AA103" s="18"/>
      <c r="AC103" s="30"/>
      <c r="AE103" s="18"/>
      <c r="AG103" s="29"/>
    </row>
    <row r="104" spans="1:33">
      <c r="A104" s="29"/>
      <c r="C104" s="43"/>
      <c r="D104" s="29"/>
      <c r="E104" s="30"/>
      <c r="F104" s="30"/>
      <c r="X104" s="29"/>
      <c r="Y104" s="29"/>
      <c r="AA104" s="18"/>
      <c r="AC104" s="31"/>
      <c r="AE104" s="18"/>
      <c r="AG104" s="29"/>
    </row>
    <row r="105" spans="1:33">
      <c r="A105" s="29"/>
      <c r="C105" s="43"/>
      <c r="D105" s="29"/>
      <c r="E105" s="30"/>
      <c r="F105" s="30"/>
      <c r="X105" s="29"/>
      <c r="Y105" s="29"/>
      <c r="AA105" s="18"/>
      <c r="AC105" s="31"/>
      <c r="AE105" s="18"/>
      <c r="AG105" s="29"/>
    </row>
    <row r="106" spans="1:33">
      <c r="A106" s="29"/>
      <c r="C106" s="43"/>
      <c r="D106" s="29"/>
      <c r="E106" s="30"/>
      <c r="F106" s="30"/>
      <c r="X106" s="29"/>
      <c r="Y106" s="29"/>
      <c r="AA106" s="18"/>
      <c r="AC106" s="31"/>
      <c r="AE106" s="18"/>
      <c r="AG106" s="29"/>
    </row>
    <row r="107" spans="1:33">
      <c r="A107" s="29"/>
      <c r="C107" s="43"/>
      <c r="D107" s="29"/>
      <c r="E107" s="30"/>
      <c r="F107" s="30"/>
      <c r="X107" s="29"/>
      <c r="Y107" s="29"/>
      <c r="AA107" s="18"/>
      <c r="AC107" s="31"/>
      <c r="AE107" s="18"/>
      <c r="AG107" s="29"/>
    </row>
    <row r="108" spans="1:33">
      <c r="A108" s="29"/>
      <c r="C108" s="43"/>
      <c r="D108" s="29"/>
      <c r="E108" s="30"/>
      <c r="F108" s="30"/>
      <c r="X108" s="29"/>
      <c r="Y108" s="29"/>
      <c r="AA108" s="18"/>
      <c r="AC108" s="31"/>
      <c r="AE108" s="18"/>
      <c r="AG108" s="29"/>
    </row>
    <row r="109" spans="1:33">
      <c r="A109" s="29"/>
      <c r="C109" s="43"/>
      <c r="D109" s="29"/>
      <c r="E109" s="30"/>
      <c r="F109" s="30"/>
      <c r="X109" s="29"/>
      <c r="Y109" s="29"/>
      <c r="AA109" s="18"/>
      <c r="AC109" s="31"/>
      <c r="AE109" s="18"/>
      <c r="AG109" s="29"/>
    </row>
    <row r="110" spans="1:33">
      <c r="A110" s="29"/>
      <c r="C110" s="43"/>
      <c r="D110" s="29"/>
      <c r="E110" s="30"/>
      <c r="F110" s="30"/>
      <c r="X110" s="29"/>
      <c r="Y110" s="29"/>
      <c r="AA110" s="18"/>
      <c r="AC110" s="31"/>
      <c r="AE110" s="18"/>
      <c r="AG110" s="29"/>
    </row>
    <row r="111" spans="1:33">
      <c r="A111" s="29"/>
      <c r="C111" s="43"/>
      <c r="D111" s="29"/>
      <c r="E111" s="30"/>
      <c r="F111" s="30"/>
      <c r="X111" s="29"/>
      <c r="Y111" s="29"/>
      <c r="AA111" s="18"/>
      <c r="AC111" s="31"/>
      <c r="AE111" s="18"/>
      <c r="AG111" s="29"/>
    </row>
    <row r="112" spans="1:33">
      <c r="A112" s="29"/>
      <c r="C112" s="43"/>
      <c r="D112" s="29"/>
      <c r="E112" s="30"/>
      <c r="F112" s="30"/>
      <c r="X112" s="29"/>
      <c r="Y112" s="29"/>
      <c r="AA112" s="18"/>
      <c r="AC112" s="31"/>
      <c r="AE112" s="18"/>
      <c r="AG112" s="29"/>
    </row>
    <row r="113" spans="1:33">
      <c r="A113" s="29"/>
      <c r="C113" s="43"/>
      <c r="D113" s="29"/>
      <c r="E113" s="30"/>
      <c r="F113" s="30"/>
      <c r="X113" s="29"/>
      <c r="Y113" s="29"/>
      <c r="AA113" s="18"/>
      <c r="AC113" s="31"/>
      <c r="AE113" s="18"/>
      <c r="AG113" s="29"/>
    </row>
    <row r="114" spans="1:33">
      <c r="A114" s="29"/>
      <c r="C114" s="43"/>
      <c r="D114" s="29"/>
      <c r="E114" s="30"/>
      <c r="F114" s="30"/>
      <c r="X114" s="29"/>
      <c r="Y114" s="29"/>
      <c r="AA114" s="18"/>
      <c r="AC114" s="31"/>
      <c r="AE114" s="18"/>
      <c r="AG114" s="29"/>
    </row>
    <row r="115" spans="1:33">
      <c r="A115" s="29"/>
      <c r="C115" s="43"/>
      <c r="D115" s="29"/>
      <c r="E115" s="30"/>
      <c r="F115" s="30"/>
      <c r="X115" s="29"/>
      <c r="Y115" s="29"/>
      <c r="AA115" s="18"/>
      <c r="AC115" s="30"/>
      <c r="AE115" s="18"/>
      <c r="AG115" s="29"/>
    </row>
    <row r="116" spans="1:33">
      <c r="A116" s="29"/>
      <c r="C116" s="43"/>
      <c r="D116" s="29"/>
      <c r="E116" s="30"/>
      <c r="F116" s="30"/>
      <c r="X116" s="29"/>
      <c r="Y116" s="29"/>
      <c r="AA116" s="18"/>
      <c r="AC116" s="31"/>
      <c r="AE116" s="18"/>
      <c r="AG116" s="29"/>
    </row>
    <row r="117" spans="1:33">
      <c r="A117" s="29"/>
      <c r="C117" s="43"/>
      <c r="D117" s="29"/>
      <c r="E117" s="30"/>
      <c r="F117" s="30"/>
      <c r="X117" s="29"/>
      <c r="Y117" s="29"/>
      <c r="AA117" s="18"/>
      <c r="AC117" s="30"/>
      <c r="AE117" s="18"/>
      <c r="AG117" s="29"/>
    </row>
    <row r="118" spans="1:33">
      <c r="A118" s="29"/>
      <c r="C118" s="43"/>
      <c r="D118" s="29"/>
      <c r="E118" s="30"/>
      <c r="F118" s="30"/>
      <c r="X118" s="29"/>
      <c r="Y118" s="29"/>
      <c r="AA118" s="18"/>
      <c r="AC118" s="30"/>
      <c r="AE118" s="18"/>
      <c r="AG118" s="29"/>
    </row>
    <row r="119" spans="1:33">
      <c r="A119" s="29"/>
      <c r="C119" s="43"/>
      <c r="D119" s="29"/>
      <c r="E119" s="30"/>
      <c r="F119" s="30"/>
      <c r="X119" s="29"/>
      <c r="Y119" s="29"/>
      <c r="AA119" s="18"/>
      <c r="AC119" s="31"/>
      <c r="AE119" s="18"/>
      <c r="AG119" s="29"/>
    </row>
    <row r="120" spans="1:33">
      <c r="A120" s="29"/>
      <c r="C120" s="43"/>
      <c r="D120" s="29"/>
      <c r="E120" s="30"/>
      <c r="F120" s="30"/>
      <c r="X120" s="29"/>
      <c r="Y120" s="29"/>
      <c r="AA120" s="18"/>
      <c r="AC120" s="30"/>
      <c r="AE120" s="18"/>
      <c r="AG120" s="29"/>
    </row>
    <row r="121" spans="1:33">
      <c r="A121" s="29"/>
      <c r="C121" s="43"/>
      <c r="D121" s="29"/>
      <c r="E121" s="30"/>
      <c r="F121" s="30"/>
      <c r="X121" s="29"/>
      <c r="Y121" s="29"/>
      <c r="AA121" s="18"/>
      <c r="AC121" s="31"/>
      <c r="AE121" s="18"/>
      <c r="AG121" s="29"/>
    </row>
    <row r="122" spans="1:33">
      <c r="A122" s="29"/>
      <c r="C122" s="43"/>
      <c r="D122" s="29"/>
      <c r="E122" s="30"/>
      <c r="F122" s="30"/>
      <c r="X122" s="29"/>
      <c r="Y122" s="29"/>
      <c r="AA122" s="18"/>
      <c r="AC122" s="31"/>
      <c r="AE122" s="18"/>
      <c r="AG122" s="29"/>
    </row>
    <row r="123" spans="1:33">
      <c r="A123" s="29"/>
      <c r="C123" s="43"/>
      <c r="D123" s="29"/>
      <c r="E123" s="30"/>
      <c r="F123" s="30"/>
      <c r="X123" s="29"/>
      <c r="Y123" s="29"/>
      <c r="AA123" s="18"/>
      <c r="AC123" s="31"/>
      <c r="AE123" s="18"/>
      <c r="AG123" s="29"/>
    </row>
    <row r="124" spans="1:33">
      <c r="A124" s="29"/>
      <c r="C124" s="43"/>
      <c r="D124" s="29"/>
      <c r="E124" s="30"/>
      <c r="F124" s="30"/>
      <c r="X124" s="29"/>
      <c r="Y124" s="29"/>
      <c r="AA124" s="18"/>
      <c r="AC124" s="31"/>
      <c r="AE124" s="18"/>
      <c r="AG124" s="29"/>
    </row>
    <row r="125" spans="1:33">
      <c r="A125" s="29"/>
      <c r="C125" s="43"/>
      <c r="D125" s="29"/>
      <c r="E125" s="30"/>
      <c r="F125" s="30"/>
      <c r="X125" s="29"/>
      <c r="Y125" s="29"/>
      <c r="AA125" s="18"/>
      <c r="AC125" s="31"/>
      <c r="AE125" s="18"/>
      <c r="AG125" s="29"/>
    </row>
    <row r="126" spans="1:33">
      <c r="A126" s="29"/>
      <c r="C126" s="43"/>
      <c r="D126" s="29"/>
      <c r="E126" s="30"/>
      <c r="F126" s="30"/>
      <c r="X126" s="29"/>
      <c r="Y126" s="29"/>
      <c r="AA126" s="18"/>
      <c r="AC126" s="31"/>
      <c r="AE126" s="18"/>
      <c r="AG126" s="29"/>
    </row>
    <row r="127" spans="1:33">
      <c r="A127" s="29"/>
      <c r="C127" s="43"/>
      <c r="D127" s="29"/>
      <c r="E127" s="30"/>
      <c r="F127" s="30"/>
      <c r="X127" s="29"/>
      <c r="Y127" s="29"/>
      <c r="AA127" s="18"/>
      <c r="AC127" s="31"/>
      <c r="AE127" s="18"/>
      <c r="AG127" s="29"/>
    </row>
    <row r="128" spans="1:33">
      <c r="A128" s="29"/>
      <c r="C128" s="43"/>
      <c r="D128" s="29"/>
      <c r="E128" s="30"/>
      <c r="F128" s="30"/>
      <c r="X128" s="29"/>
      <c r="Y128" s="29"/>
      <c r="AA128" s="18"/>
      <c r="AC128" s="31"/>
      <c r="AE128" s="18"/>
      <c r="AG128" s="29"/>
    </row>
    <row r="129" spans="1:33">
      <c r="A129" s="29"/>
      <c r="C129" s="43"/>
      <c r="D129" s="29"/>
      <c r="E129" s="30"/>
      <c r="F129" s="30"/>
      <c r="X129" s="29"/>
      <c r="Y129" s="29"/>
      <c r="AA129" s="18"/>
      <c r="AC129" s="31"/>
      <c r="AE129" s="18"/>
      <c r="AG129" s="29"/>
    </row>
    <row r="130" spans="1:33">
      <c r="A130" s="29"/>
      <c r="C130" s="43"/>
      <c r="D130" s="29"/>
      <c r="E130" s="30"/>
      <c r="F130" s="30"/>
      <c r="X130" s="29"/>
      <c r="Y130" s="29"/>
      <c r="AA130" s="18"/>
      <c r="AC130" s="31"/>
      <c r="AE130" s="18"/>
      <c r="AG130" s="29"/>
    </row>
    <row r="131" spans="1:33">
      <c r="A131" s="29"/>
      <c r="C131" s="43"/>
      <c r="D131" s="29"/>
      <c r="E131" s="30"/>
      <c r="F131" s="30"/>
      <c r="X131" s="29"/>
      <c r="Y131" s="29"/>
      <c r="AA131" s="18"/>
      <c r="AC131" s="30"/>
      <c r="AE131" s="18"/>
      <c r="AG131" s="29"/>
    </row>
    <row r="132" spans="1:33">
      <c r="A132" s="29"/>
      <c r="C132" s="43"/>
      <c r="D132" s="29"/>
      <c r="E132" s="30"/>
      <c r="F132" s="30"/>
      <c r="X132" s="29"/>
      <c r="Y132" s="29"/>
      <c r="AA132" s="18"/>
      <c r="AC132" s="31"/>
      <c r="AE132" s="18"/>
      <c r="AG132" s="29"/>
    </row>
    <row r="133" spans="1:33">
      <c r="A133" s="29"/>
      <c r="C133" s="43"/>
      <c r="D133" s="29"/>
      <c r="E133" s="30"/>
      <c r="F133" s="30"/>
      <c r="X133" s="29"/>
      <c r="Y133" s="29"/>
      <c r="AA133" s="18"/>
      <c r="AC133" s="31"/>
      <c r="AG133" s="29"/>
    </row>
    <row r="134" spans="1:33">
      <c r="A134" s="29"/>
      <c r="C134" s="43"/>
      <c r="D134" s="29"/>
      <c r="E134" s="30"/>
      <c r="F134" s="30"/>
      <c r="X134" s="29"/>
      <c r="Y134" s="29"/>
      <c r="AA134" s="18"/>
      <c r="AC134" s="31"/>
      <c r="AG134" s="29"/>
    </row>
    <row r="135" spans="1:33">
      <c r="A135" s="29"/>
      <c r="C135" s="43"/>
      <c r="D135" s="29"/>
      <c r="E135" s="30"/>
      <c r="F135" s="30"/>
      <c r="X135" s="29"/>
      <c r="Y135" s="29"/>
      <c r="AA135" s="18"/>
      <c r="AC135" s="31"/>
      <c r="AG135" s="29"/>
    </row>
    <row r="136" spans="1:33">
      <c r="A136" s="29"/>
      <c r="C136" s="43"/>
      <c r="D136" s="29"/>
      <c r="E136" s="30"/>
      <c r="F136" s="30"/>
      <c r="X136" s="29"/>
      <c r="Y136" s="29"/>
      <c r="AA136" s="18"/>
      <c r="AC136" s="31"/>
      <c r="AG136" s="29"/>
    </row>
    <row r="137" spans="1:33">
      <c r="A137" s="29"/>
      <c r="C137" s="43"/>
      <c r="D137" s="29"/>
      <c r="E137" s="30"/>
      <c r="F137" s="30"/>
      <c r="X137" s="29"/>
      <c r="Y137" s="29"/>
      <c r="AA137" s="18"/>
      <c r="AC137" s="31"/>
      <c r="AG137" s="29"/>
    </row>
    <row r="138" spans="1:33">
      <c r="A138" s="29"/>
      <c r="C138" s="43"/>
      <c r="D138" s="29"/>
      <c r="E138" s="30"/>
      <c r="F138" s="30"/>
      <c r="X138" s="29"/>
      <c r="Y138" s="29"/>
      <c r="AA138" s="18"/>
      <c r="AC138" s="31"/>
      <c r="AG138" s="29"/>
    </row>
    <row r="139" spans="1:33">
      <c r="A139" s="29"/>
      <c r="C139" s="43"/>
      <c r="D139" s="29"/>
      <c r="E139" s="30"/>
      <c r="F139" s="30"/>
      <c r="X139" s="29"/>
      <c r="Y139" s="29"/>
      <c r="AA139" s="18"/>
      <c r="AC139" s="31"/>
      <c r="AG139" s="29"/>
    </row>
    <row r="140" spans="1:33">
      <c r="A140" s="29"/>
      <c r="C140" s="43"/>
      <c r="D140" s="29"/>
      <c r="E140" s="30"/>
      <c r="F140" s="30"/>
      <c r="X140" s="29"/>
      <c r="Y140" s="29"/>
      <c r="AA140" s="18"/>
      <c r="AC140" s="31"/>
      <c r="AG140" s="29"/>
    </row>
    <row r="141" spans="1:33">
      <c r="A141" s="29"/>
      <c r="C141" s="43"/>
      <c r="D141" s="29"/>
      <c r="E141" s="30"/>
      <c r="F141" s="30"/>
      <c r="X141" s="29"/>
      <c r="Y141" s="29"/>
      <c r="AA141" s="18"/>
      <c r="AC141" s="31"/>
      <c r="AG141" s="29"/>
    </row>
    <row r="142" spans="1:33">
      <c r="A142" s="29"/>
      <c r="C142" s="43"/>
      <c r="D142" s="29"/>
      <c r="E142" s="30"/>
      <c r="F142" s="30"/>
      <c r="M142" s="43"/>
      <c r="P142" s="45"/>
      <c r="X142" s="29"/>
      <c r="Y142" s="29"/>
      <c r="AA142" s="18"/>
      <c r="AC142" s="30"/>
      <c r="AE142" s="18"/>
      <c r="AG142" s="29"/>
    </row>
    <row r="143" spans="1:33">
      <c r="A143" s="29"/>
      <c r="C143" s="43"/>
      <c r="D143" s="29"/>
      <c r="E143" s="30"/>
      <c r="F143" s="30"/>
      <c r="M143" s="43"/>
      <c r="P143" s="45"/>
      <c r="X143" s="29"/>
      <c r="Y143" s="29"/>
      <c r="AA143" s="18"/>
      <c r="AC143" s="31"/>
      <c r="AE143" s="18"/>
      <c r="AG143" s="29"/>
    </row>
    <row r="144" spans="1:33">
      <c r="A144" s="29"/>
      <c r="C144" s="43"/>
      <c r="D144" s="29"/>
      <c r="E144" s="30"/>
      <c r="F144" s="30"/>
      <c r="M144" s="43"/>
      <c r="P144" s="45"/>
      <c r="X144" s="29"/>
      <c r="Y144" s="29"/>
      <c r="AA144" s="18"/>
      <c r="AC144" s="31"/>
      <c r="AE144" s="18"/>
      <c r="AG144" s="29"/>
    </row>
    <row r="145" spans="1:33">
      <c r="A145" s="29"/>
      <c r="C145" s="43"/>
      <c r="D145" s="29"/>
      <c r="E145" s="30"/>
      <c r="F145" s="30"/>
      <c r="M145" s="43"/>
      <c r="P145" s="45"/>
      <c r="X145" s="29"/>
      <c r="Y145" s="29"/>
      <c r="AA145" s="18"/>
      <c r="AC145" s="31"/>
      <c r="AE145" s="18"/>
      <c r="AG145" s="29"/>
    </row>
    <row r="146" spans="1:33">
      <c r="A146" s="29"/>
      <c r="C146" s="43"/>
      <c r="D146" s="29"/>
      <c r="E146" s="30"/>
      <c r="F146" s="30"/>
      <c r="M146" s="43"/>
      <c r="P146" s="45"/>
      <c r="X146" s="29"/>
      <c r="Y146" s="29"/>
      <c r="AA146" s="18"/>
      <c r="AC146" s="31"/>
      <c r="AE146" s="18"/>
      <c r="AG146" s="29"/>
    </row>
    <row r="147" spans="1:33">
      <c r="A147" s="29"/>
      <c r="C147" s="43"/>
      <c r="D147" s="29"/>
      <c r="E147" s="30"/>
      <c r="F147" s="30"/>
      <c r="M147" s="43"/>
      <c r="P147" s="45"/>
      <c r="X147" s="29"/>
      <c r="Y147" s="29"/>
      <c r="AA147" s="18"/>
      <c r="AC147" s="31"/>
      <c r="AE147" s="18"/>
      <c r="AG147" s="29"/>
    </row>
    <row r="148" spans="1:33">
      <c r="A148" s="29"/>
      <c r="C148" s="43"/>
      <c r="D148" s="29"/>
      <c r="E148" s="30"/>
      <c r="F148" s="30"/>
      <c r="M148" s="43"/>
      <c r="P148" s="45"/>
      <c r="X148" s="29"/>
      <c r="Y148" s="29"/>
      <c r="AA148" s="18"/>
      <c r="AC148" s="31"/>
      <c r="AE148" s="18"/>
      <c r="AG148" s="29"/>
    </row>
    <row r="149" spans="1:33">
      <c r="A149" s="29"/>
      <c r="C149" s="43"/>
      <c r="D149" s="29"/>
      <c r="E149" s="30"/>
      <c r="F149" s="30"/>
      <c r="M149" s="43"/>
      <c r="P149" s="45"/>
      <c r="X149" s="29"/>
      <c r="Y149" s="29"/>
      <c r="AA149" s="18"/>
      <c r="AC149" s="31"/>
      <c r="AE149" s="18"/>
      <c r="AG149" s="29"/>
    </row>
    <row r="150" spans="1:33">
      <c r="A150" s="29"/>
      <c r="C150" s="43"/>
      <c r="D150" s="29"/>
      <c r="E150" s="30"/>
      <c r="F150" s="30"/>
      <c r="M150" s="44"/>
      <c r="P150" s="45"/>
      <c r="X150" s="29"/>
      <c r="Y150" s="29"/>
      <c r="AA150" s="18"/>
      <c r="AC150" s="31"/>
      <c r="AE150" s="18"/>
      <c r="AG150" s="29"/>
    </row>
    <row r="151" spans="1:33">
      <c r="A151" s="29"/>
      <c r="C151" s="43"/>
      <c r="D151" s="29"/>
      <c r="E151" s="30"/>
      <c r="F151" s="30"/>
      <c r="M151" s="43"/>
      <c r="P151" s="45"/>
      <c r="X151" s="29"/>
      <c r="Y151" s="29"/>
      <c r="AA151" s="18"/>
      <c r="AC151" s="31"/>
      <c r="AE151" s="18"/>
      <c r="AG151" s="29"/>
    </row>
    <row r="152" spans="1:33">
      <c r="A152" s="29"/>
      <c r="C152" s="43"/>
      <c r="D152" s="29"/>
      <c r="E152" s="30"/>
      <c r="F152" s="30"/>
      <c r="M152" s="43"/>
      <c r="P152" s="45"/>
      <c r="X152" s="29"/>
      <c r="Y152" s="29"/>
      <c r="AA152" s="18"/>
      <c r="AC152" s="31"/>
      <c r="AE152" s="18"/>
      <c r="AG152" s="29"/>
    </row>
    <row r="153" spans="1:33">
      <c r="A153" s="29"/>
      <c r="C153" s="43"/>
      <c r="D153" s="29"/>
      <c r="E153" s="30"/>
      <c r="F153" s="30"/>
      <c r="M153" s="43"/>
      <c r="P153" s="45"/>
      <c r="X153" s="29"/>
      <c r="Y153" s="29"/>
      <c r="AA153" s="18"/>
      <c r="AC153" s="31"/>
      <c r="AE153" s="18"/>
      <c r="AG153" s="29"/>
    </row>
    <row r="154" spans="1:33">
      <c r="A154" s="29"/>
      <c r="C154" s="43"/>
      <c r="D154" s="29"/>
      <c r="E154" s="30"/>
      <c r="F154" s="30"/>
      <c r="M154" s="44"/>
      <c r="P154" s="45"/>
      <c r="X154" s="29"/>
      <c r="Y154" s="29"/>
      <c r="AA154" s="18"/>
      <c r="AC154" s="31"/>
      <c r="AE154" s="18"/>
      <c r="AG154" s="29"/>
    </row>
    <row r="155" spans="1:33">
      <c r="A155" s="29"/>
      <c r="C155" s="43"/>
      <c r="D155" s="29"/>
      <c r="E155" s="30"/>
      <c r="F155" s="30"/>
      <c r="M155" s="43"/>
      <c r="P155" s="45"/>
      <c r="X155" s="29"/>
      <c r="Y155" s="29"/>
      <c r="AA155" s="18"/>
      <c r="AC155" s="31"/>
      <c r="AE155" s="18"/>
      <c r="AG155" s="29"/>
    </row>
    <row r="156" spans="1:33">
      <c r="A156" s="29"/>
      <c r="C156" s="43"/>
      <c r="D156" s="29"/>
      <c r="E156" s="30"/>
      <c r="F156" s="30"/>
      <c r="M156" s="43"/>
      <c r="P156" s="45"/>
      <c r="X156" s="29"/>
      <c r="Y156" s="29"/>
      <c r="AA156" s="18"/>
      <c r="AC156" s="31"/>
      <c r="AE156" s="18"/>
      <c r="AG156" s="29"/>
    </row>
    <row r="157" spans="1:33">
      <c r="A157" s="29"/>
      <c r="C157" s="43"/>
      <c r="D157" s="29"/>
      <c r="E157" s="30"/>
      <c r="F157" s="30"/>
      <c r="M157" s="43"/>
      <c r="P157" s="45"/>
      <c r="X157" s="29"/>
      <c r="Y157" s="29"/>
      <c r="AA157" s="18"/>
      <c r="AC157" s="31"/>
      <c r="AE157" s="18"/>
      <c r="AG157" s="29"/>
    </row>
    <row r="158" spans="1:33">
      <c r="A158" s="29"/>
      <c r="C158" s="43"/>
      <c r="D158" s="29"/>
      <c r="E158" s="30"/>
      <c r="F158" s="30"/>
      <c r="M158" s="43"/>
      <c r="P158" s="45"/>
      <c r="X158" s="29"/>
      <c r="Y158" s="29"/>
      <c r="AA158" s="18"/>
      <c r="AC158" s="31"/>
      <c r="AE158" s="18"/>
      <c r="AG158" s="29"/>
    </row>
    <row r="159" spans="1:33">
      <c r="A159" s="29"/>
      <c r="C159" s="43"/>
      <c r="D159" s="29"/>
      <c r="E159" s="30"/>
      <c r="F159" s="30"/>
      <c r="M159" s="43"/>
      <c r="P159" s="45"/>
      <c r="X159" s="29"/>
      <c r="Y159" s="29"/>
      <c r="AA159" s="18"/>
      <c r="AC159" s="31"/>
      <c r="AE159" s="18"/>
      <c r="AG159" s="29"/>
    </row>
    <row r="160" spans="1:33">
      <c r="A160" s="29"/>
      <c r="C160" s="43"/>
      <c r="D160" s="29"/>
      <c r="E160" s="30"/>
      <c r="F160" s="30"/>
      <c r="M160" s="43"/>
      <c r="P160" s="45"/>
      <c r="X160" s="29"/>
      <c r="Y160" s="29"/>
      <c r="AA160" s="18"/>
      <c r="AC160" s="31"/>
      <c r="AE160" s="18"/>
      <c r="AG160" s="29"/>
    </row>
    <row r="161" spans="1:33">
      <c r="A161" s="29"/>
      <c r="C161" s="43"/>
      <c r="D161" s="29"/>
      <c r="E161" s="30"/>
      <c r="F161" s="30"/>
      <c r="M161" s="43"/>
      <c r="P161" s="45"/>
      <c r="X161" s="29"/>
      <c r="Y161" s="29"/>
      <c r="AA161" s="18"/>
      <c r="AC161" s="31"/>
      <c r="AE161" s="18"/>
      <c r="AG161" s="29"/>
    </row>
    <row r="162" spans="1:33">
      <c r="A162" s="29"/>
      <c r="C162" s="43"/>
      <c r="D162" s="29"/>
      <c r="E162" s="30"/>
      <c r="F162" s="30"/>
      <c r="M162" s="43"/>
      <c r="P162" s="45"/>
      <c r="X162" s="29"/>
      <c r="Y162" s="29"/>
      <c r="AA162" s="18"/>
      <c r="AC162" s="31"/>
      <c r="AE162" s="18"/>
      <c r="AG162" s="29"/>
    </row>
    <row r="163" spans="1:33">
      <c r="A163" s="29"/>
      <c r="C163" s="43"/>
      <c r="D163" s="29"/>
      <c r="E163" s="30"/>
      <c r="F163" s="30"/>
      <c r="M163" s="43"/>
      <c r="P163" s="45"/>
      <c r="X163" s="29"/>
      <c r="Y163" s="29"/>
      <c r="AA163" s="18"/>
      <c r="AC163" s="31"/>
      <c r="AE163" s="18"/>
      <c r="AG163" s="29"/>
    </row>
    <row r="164" spans="1:33">
      <c r="A164" s="29"/>
      <c r="C164" s="43"/>
      <c r="D164" s="29"/>
      <c r="E164" s="30"/>
      <c r="F164" s="30"/>
      <c r="M164" s="43"/>
      <c r="P164" s="45"/>
      <c r="X164" s="29"/>
      <c r="Y164" s="29"/>
      <c r="AA164" s="18"/>
      <c r="AC164" s="30"/>
      <c r="AE164" s="18"/>
      <c r="AG164" s="29"/>
    </row>
    <row r="165" spans="1:33">
      <c r="A165" s="29"/>
      <c r="C165" s="43"/>
      <c r="D165" s="29"/>
      <c r="E165" s="30"/>
      <c r="F165" s="30"/>
      <c r="M165" s="43"/>
      <c r="P165" s="45"/>
      <c r="X165" s="29"/>
      <c r="Y165" s="29"/>
      <c r="AA165" s="18"/>
      <c r="AC165" s="31"/>
      <c r="AE165" s="18"/>
      <c r="AG165" s="29"/>
    </row>
    <row r="166" spans="1:33">
      <c r="A166" s="29"/>
      <c r="C166" s="43"/>
      <c r="D166" s="29"/>
      <c r="E166" s="30"/>
      <c r="F166" s="30"/>
      <c r="M166" s="43"/>
      <c r="P166" s="45"/>
      <c r="X166" s="29"/>
      <c r="Y166" s="29"/>
      <c r="AA166" s="18"/>
      <c r="AC166" s="30"/>
      <c r="AE166" s="18"/>
      <c r="AG166" s="29"/>
    </row>
    <row r="167" spans="1:33">
      <c r="A167" s="29"/>
      <c r="C167" s="43"/>
      <c r="D167" s="29"/>
      <c r="E167" s="30"/>
      <c r="F167" s="30"/>
      <c r="M167" s="43"/>
      <c r="P167" s="45"/>
      <c r="X167" s="29"/>
      <c r="Y167" s="29"/>
      <c r="AA167" s="18"/>
      <c r="AC167" s="30"/>
      <c r="AE167" s="18"/>
      <c r="AG167" s="29"/>
    </row>
    <row r="168" spans="1:33">
      <c r="A168" s="29"/>
      <c r="C168" s="43"/>
      <c r="D168" s="29"/>
      <c r="E168" s="30"/>
      <c r="F168" s="30"/>
      <c r="M168" s="43"/>
      <c r="P168" s="45"/>
      <c r="X168" s="29"/>
      <c r="Y168" s="29"/>
      <c r="AA168" s="18"/>
      <c r="AC168" s="31"/>
      <c r="AE168" s="18"/>
      <c r="AG168" s="29"/>
    </row>
    <row r="169" spans="1:33">
      <c r="A169" s="29"/>
      <c r="C169" s="43"/>
      <c r="D169" s="29"/>
      <c r="E169" s="30"/>
      <c r="F169" s="30"/>
      <c r="M169" s="48"/>
      <c r="P169" s="45"/>
      <c r="X169" s="29"/>
      <c r="Y169" s="29"/>
      <c r="AA169" s="18"/>
      <c r="AC169" s="31"/>
      <c r="AE169" s="18"/>
      <c r="AG169" s="29"/>
    </row>
    <row r="170" spans="1:33">
      <c r="A170" s="29"/>
      <c r="C170" s="43"/>
      <c r="D170" s="29"/>
      <c r="E170" s="30"/>
      <c r="F170" s="30"/>
      <c r="M170" s="48"/>
      <c r="P170" s="45"/>
      <c r="X170" s="29"/>
      <c r="Y170" s="29"/>
      <c r="AA170" s="18"/>
      <c r="AC170" s="31"/>
      <c r="AE170" s="18"/>
      <c r="AG170" s="29"/>
    </row>
    <row r="171" spans="1:33">
      <c r="A171" s="29"/>
      <c r="C171" s="43"/>
      <c r="D171" s="29"/>
      <c r="E171" s="30"/>
      <c r="F171" s="30"/>
      <c r="I171" s="47"/>
      <c r="M171" s="48"/>
      <c r="P171" s="45"/>
      <c r="X171" s="29"/>
      <c r="Y171" s="29"/>
      <c r="AA171" s="18"/>
      <c r="AC171" s="31"/>
      <c r="AE171" s="18"/>
      <c r="AG171" s="29"/>
    </row>
    <row r="172" spans="1:33">
      <c r="A172" s="29"/>
      <c r="C172" s="43"/>
      <c r="D172" s="29"/>
      <c r="E172" s="30"/>
      <c r="F172" s="30"/>
      <c r="M172" s="48"/>
      <c r="P172" s="45"/>
      <c r="X172" s="29"/>
      <c r="Y172" s="29"/>
      <c r="AA172" s="18"/>
      <c r="AC172" s="31"/>
      <c r="AE172" s="18"/>
      <c r="AG172" s="29"/>
    </row>
    <row r="173" spans="1:33">
      <c r="A173" s="29"/>
      <c r="C173" s="43"/>
      <c r="D173" s="29"/>
      <c r="E173" s="30"/>
      <c r="F173" s="30"/>
      <c r="I173" s="47"/>
      <c r="M173" s="48"/>
      <c r="P173" s="45"/>
      <c r="X173" s="29"/>
      <c r="Y173" s="29"/>
      <c r="AA173" s="18"/>
      <c r="AC173" s="31"/>
      <c r="AE173" s="18"/>
      <c r="AG173" s="29"/>
    </row>
    <row r="174" spans="1:33">
      <c r="A174" s="29"/>
      <c r="C174" s="43"/>
      <c r="D174" s="29"/>
      <c r="E174" s="30"/>
      <c r="F174" s="30"/>
      <c r="I174" s="47"/>
      <c r="M174" s="48"/>
      <c r="P174" s="45"/>
      <c r="X174" s="29"/>
      <c r="Y174" s="29"/>
      <c r="AA174" s="18"/>
      <c r="AC174" s="31"/>
      <c r="AE174" s="18"/>
      <c r="AG174" s="29"/>
    </row>
    <row r="175" spans="1:33">
      <c r="A175" s="29"/>
      <c r="C175" s="43"/>
      <c r="D175" s="29"/>
      <c r="E175" s="30"/>
      <c r="F175" s="30"/>
      <c r="M175" s="48"/>
      <c r="P175" s="45"/>
      <c r="X175" s="29"/>
      <c r="Y175" s="29"/>
      <c r="AA175" s="18"/>
      <c r="AC175" s="31"/>
      <c r="AE175" s="18"/>
      <c r="AG175" s="29"/>
    </row>
    <row r="176" spans="1:33">
      <c r="A176" s="29"/>
      <c r="C176" s="43"/>
      <c r="D176" s="29"/>
      <c r="E176" s="30"/>
      <c r="F176" s="30"/>
      <c r="M176" s="48"/>
      <c r="P176" s="45"/>
      <c r="X176" s="29"/>
      <c r="Y176" s="29"/>
      <c r="AA176" s="18"/>
      <c r="AC176" s="31"/>
      <c r="AE176" s="18"/>
      <c r="AG176" s="29"/>
    </row>
    <row r="177" spans="1:33">
      <c r="A177" s="29"/>
      <c r="C177" s="43"/>
      <c r="D177" s="29"/>
      <c r="E177" s="30"/>
      <c r="F177" s="30"/>
      <c r="I177" s="47"/>
      <c r="J177" s="47"/>
      <c r="K177" s="47"/>
      <c r="M177" s="48"/>
      <c r="P177" s="45"/>
      <c r="X177" s="29"/>
      <c r="Y177" s="29"/>
      <c r="AA177" s="18"/>
      <c r="AC177" s="31"/>
      <c r="AE177" s="18"/>
      <c r="AG177" s="29"/>
    </row>
    <row r="178" spans="1:33">
      <c r="A178" s="29"/>
      <c r="C178" s="43"/>
      <c r="D178" s="29"/>
      <c r="E178" s="30"/>
      <c r="F178" s="30"/>
      <c r="M178" s="48"/>
      <c r="P178" s="45"/>
      <c r="X178" s="29"/>
      <c r="Y178" s="29"/>
      <c r="AA178" s="18"/>
      <c r="AC178" s="31"/>
      <c r="AE178" s="18"/>
      <c r="AG178" s="29"/>
    </row>
    <row r="179" spans="1:33">
      <c r="A179" s="29"/>
      <c r="B179" s="29"/>
      <c r="C179" s="43"/>
      <c r="D179" s="29"/>
      <c r="E179" s="30"/>
      <c r="F179" s="30"/>
      <c r="M179" s="48"/>
      <c r="P179" s="45"/>
      <c r="X179" s="29"/>
      <c r="Y179" s="29"/>
      <c r="AA179" s="18"/>
      <c r="AC179" s="31"/>
      <c r="AE179" s="18"/>
      <c r="AG179" s="29"/>
    </row>
    <row r="180" spans="1:33">
      <c r="A180" s="29"/>
      <c r="B180" s="29"/>
      <c r="C180" s="43"/>
      <c r="D180" s="29"/>
      <c r="E180" s="30"/>
      <c r="F180" s="30"/>
      <c r="M180" s="48"/>
      <c r="P180" s="45"/>
      <c r="X180" s="29"/>
      <c r="Y180" s="29"/>
      <c r="AA180" s="18"/>
      <c r="AC180" s="31"/>
      <c r="AE180" s="18"/>
      <c r="AG180" s="29"/>
    </row>
    <row r="181" spans="1:33">
      <c r="A181" s="29"/>
      <c r="B181" s="29"/>
      <c r="C181" s="43"/>
      <c r="D181" s="29"/>
      <c r="E181" s="30"/>
      <c r="F181" s="30"/>
      <c r="M181" s="48"/>
      <c r="P181" s="45"/>
      <c r="X181" s="29"/>
      <c r="Y181" s="29"/>
      <c r="AA181" s="18"/>
      <c r="AC181" s="31"/>
      <c r="AE181" s="18"/>
      <c r="AG181" s="29"/>
    </row>
    <row r="182" spans="1:33">
      <c r="A182" s="29"/>
      <c r="B182" s="29"/>
      <c r="C182" s="43"/>
      <c r="D182" s="29"/>
      <c r="E182" s="30"/>
      <c r="F182" s="30"/>
      <c r="M182" s="48"/>
      <c r="P182" s="45"/>
      <c r="X182" s="29"/>
      <c r="Y182" s="29"/>
      <c r="AA182" s="18"/>
      <c r="AC182" s="31"/>
      <c r="AE182" s="18"/>
      <c r="AG182" s="29"/>
    </row>
    <row r="183" spans="1:33">
      <c r="A183" s="29"/>
      <c r="B183" s="29"/>
      <c r="C183" s="43"/>
      <c r="D183" s="29"/>
      <c r="E183" s="30"/>
      <c r="F183" s="30"/>
      <c r="M183" s="48"/>
      <c r="P183" s="45"/>
      <c r="X183" s="29"/>
      <c r="Y183" s="29"/>
      <c r="AA183" s="18"/>
      <c r="AC183" s="31"/>
      <c r="AE183" s="18"/>
      <c r="AG183" s="29"/>
    </row>
    <row r="184" spans="1:33">
      <c r="A184" s="29"/>
      <c r="B184" s="29"/>
      <c r="C184" s="43"/>
      <c r="D184" s="29"/>
      <c r="E184" s="30"/>
      <c r="F184" s="30"/>
      <c r="M184" s="48"/>
      <c r="P184" s="45"/>
      <c r="X184" s="29"/>
      <c r="Y184" s="29"/>
      <c r="AA184" s="18"/>
      <c r="AC184" s="31"/>
      <c r="AE184" s="18"/>
      <c r="AG184" s="29"/>
    </row>
    <row r="185" spans="1:33">
      <c r="A185" s="29"/>
      <c r="B185" s="29"/>
      <c r="C185" s="43"/>
      <c r="D185" s="29"/>
      <c r="E185" s="30"/>
      <c r="F185" s="30"/>
      <c r="M185" s="48"/>
      <c r="P185" s="45"/>
      <c r="X185" s="29"/>
      <c r="Y185" s="29"/>
      <c r="AA185" s="18"/>
      <c r="AC185" s="31"/>
      <c r="AE185" s="18"/>
      <c r="AG185" s="29"/>
    </row>
    <row r="186" spans="1:33">
      <c r="A186" s="29"/>
      <c r="B186" s="29"/>
      <c r="C186" s="43"/>
      <c r="D186" s="29"/>
      <c r="E186" s="30"/>
      <c r="F186" s="30"/>
      <c r="M186" s="48"/>
      <c r="P186" s="45"/>
      <c r="X186" s="29"/>
      <c r="Y186" s="29"/>
      <c r="AA186" s="18"/>
      <c r="AC186" s="31"/>
      <c r="AE186" s="18"/>
      <c r="AG186" s="29"/>
    </row>
    <row r="187" spans="1:33">
      <c r="A187" s="29"/>
      <c r="B187" s="29"/>
      <c r="C187" s="43"/>
      <c r="D187" s="29"/>
      <c r="E187" s="30"/>
      <c r="F187" s="30"/>
      <c r="M187" s="48"/>
      <c r="P187" s="45"/>
      <c r="X187" s="29"/>
      <c r="Y187" s="29"/>
      <c r="AA187" s="18"/>
      <c r="AC187" s="31"/>
      <c r="AE187" s="18"/>
      <c r="AG187" s="29"/>
    </row>
    <row r="188" spans="1:33">
      <c r="A188" s="29"/>
      <c r="B188" s="29"/>
      <c r="C188" s="43"/>
      <c r="D188" s="29"/>
      <c r="E188" s="30"/>
      <c r="F188" s="30"/>
      <c r="M188" s="48"/>
      <c r="P188" s="45"/>
      <c r="X188" s="29"/>
      <c r="Y188" s="29"/>
      <c r="AA188" s="18"/>
      <c r="AC188" s="31"/>
      <c r="AE188" s="18"/>
      <c r="AG188" s="29"/>
    </row>
    <row r="189" spans="1:33">
      <c r="A189" s="29"/>
      <c r="B189" s="29"/>
      <c r="C189" s="43"/>
      <c r="D189" s="29"/>
      <c r="E189" s="30"/>
      <c r="F189" s="30"/>
      <c r="M189" s="48"/>
      <c r="P189" s="45"/>
      <c r="X189" s="29"/>
      <c r="Y189" s="29"/>
      <c r="AA189" s="18"/>
      <c r="AC189" s="31"/>
      <c r="AE189" s="18"/>
      <c r="AG189" s="29"/>
    </row>
    <row r="190" spans="1:33">
      <c r="A190" s="29"/>
      <c r="B190" s="29"/>
      <c r="C190" s="43"/>
      <c r="D190" s="29"/>
      <c r="E190" s="30"/>
      <c r="F190" s="30"/>
      <c r="M190" s="48"/>
      <c r="P190" s="45"/>
      <c r="X190" s="29"/>
      <c r="Y190" s="29"/>
      <c r="AA190" s="18"/>
      <c r="AC190" s="31"/>
      <c r="AE190" s="18"/>
      <c r="AG190" s="29"/>
    </row>
    <row r="191" spans="1:33">
      <c r="A191" s="29"/>
      <c r="B191" s="29"/>
      <c r="C191" s="43"/>
      <c r="D191" s="29"/>
      <c r="E191" s="30"/>
      <c r="F191" s="30"/>
      <c r="M191" s="48"/>
      <c r="P191" s="45"/>
      <c r="X191" s="29"/>
      <c r="Y191" s="29"/>
      <c r="AA191" s="18"/>
      <c r="AC191" s="31"/>
      <c r="AE191" s="18"/>
      <c r="AG191" s="29"/>
    </row>
    <row r="192" spans="1:33">
      <c r="A192" s="29"/>
      <c r="B192" s="29"/>
      <c r="C192" s="43"/>
      <c r="D192" s="29"/>
      <c r="E192" s="30"/>
      <c r="F192" s="30"/>
      <c r="M192" s="48"/>
      <c r="P192" s="45"/>
      <c r="X192" s="29"/>
      <c r="Y192" s="29"/>
      <c r="AA192" s="18"/>
      <c r="AC192" s="31"/>
      <c r="AE192" s="18"/>
      <c r="AG192" s="29"/>
    </row>
    <row r="193" spans="1:33">
      <c r="A193" s="29"/>
      <c r="B193" s="29"/>
      <c r="C193" s="43"/>
      <c r="D193" s="29"/>
      <c r="E193" s="30"/>
      <c r="F193" s="30"/>
      <c r="M193" s="48"/>
      <c r="P193" s="45"/>
      <c r="X193" s="29"/>
      <c r="Y193" s="29"/>
      <c r="AA193" s="18"/>
      <c r="AC193" s="31"/>
      <c r="AE193" s="18"/>
      <c r="AG193" s="29"/>
    </row>
    <row r="194" spans="1:33">
      <c r="A194" s="29"/>
      <c r="B194" s="29"/>
      <c r="C194" s="43"/>
      <c r="D194" s="29"/>
      <c r="E194" s="30"/>
      <c r="F194" s="30"/>
      <c r="M194" s="48"/>
      <c r="P194" s="45"/>
      <c r="X194" s="29"/>
      <c r="Y194" s="29"/>
      <c r="AA194" s="18"/>
      <c r="AC194" s="31"/>
      <c r="AE194" s="18"/>
      <c r="AG194" s="29"/>
    </row>
    <row r="195" spans="1:33">
      <c r="A195" s="29"/>
      <c r="B195" s="29"/>
      <c r="C195" s="43"/>
      <c r="D195" s="29"/>
      <c r="E195" s="30"/>
      <c r="F195" s="30"/>
      <c r="M195" s="48"/>
      <c r="P195" s="45"/>
      <c r="X195" s="29"/>
      <c r="Y195" s="29"/>
      <c r="AA195" s="18"/>
      <c r="AC195" s="31"/>
      <c r="AE195" s="18"/>
      <c r="AG195" s="29"/>
    </row>
    <row r="196" spans="1:33">
      <c r="A196" s="29"/>
      <c r="B196" s="29"/>
      <c r="C196" s="43"/>
      <c r="D196" s="29"/>
      <c r="E196" s="30"/>
      <c r="F196" s="30"/>
      <c r="M196" s="48"/>
      <c r="P196" s="45"/>
      <c r="X196" s="29"/>
      <c r="Y196" s="29"/>
      <c r="AA196" s="18"/>
      <c r="AC196" s="31"/>
      <c r="AE196" s="18"/>
      <c r="AG196" s="29"/>
    </row>
    <row r="197" spans="1:33">
      <c r="A197" s="29"/>
      <c r="B197" s="29"/>
      <c r="C197" s="43"/>
      <c r="D197" s="29"/>
      <c r="E197" s="30"/>
      <c r="F197" s="30"/>
      <c r="M197" s="48"/>
      <c r="P197" s="45"/>
      <c r="X197" s="29"/>
      <c r="Y197" s="29"/>
      <c r="AA197" s="18"/>
      <c r="AC197" s="31"/>
      <c r="AE197" s="18"/>
      <c r="AG197" s="29"/>
    </row>
    <row r="198" spans="1:33">
      <c r="A198" s="29"/>
      <c r="B198" s="29"/>
      <c r="C198" s="43"/>
      <c r="D198" s="29"/>
      <c r="E198" s="30"/>
      <c r="F198" s="30"/>
      <c r="M198" s="48"/>
      <c r="P198" s="45"/>
      <c r="X198" s="29"/>
      <c r="Y198" s="29"/>
      <c r="AA198" s="18"/>
      <c r="AC198" s="31"/>
      <c r="AE198" s="18"/>
      <c r="AG198" s="29"/>
    </row>
    <row r="199" spans="1:33">
      <c r="A199" s="29"/>
      <c r="B199" s="29"/>
      <c r="C199" s="43"/>
      <c r="D199" s="29"/>
      <c r="E199" s="30"/>
      <c r="F199" s="30"/>
      <c r="M199" s="48"/>
      <c r="P199" s="45"/>
      <c r="X199" s="29"/>
      <c r="Y199" s="29"/>
      <c r="AA199" s="18"/>
      <c r="AC199" s="31"/>
      <c r="AE199" s="18"/>
      <c r="AG199" s="29"/>
    </row>
    <row r="200" spans="1:33">
      <c r="A200" s="29"/>
      <c r="B200" s="29"/>
      <c r="C200" s="43"/>
      <c r="D200" s="29"/>
      <c r="E200" s="30"/>
      <c r="F200" s="30"/>
      <c r="M200" s="48"/>
      <c r="P200" s="45"/>
      <c r="X200" s="29"/>
      <c r="Y200" s="29"/>
      <c r="AA200" s="18"/>
      <c r="AC200" s="31"/>
      <c r="AE200" s="18"/>
      <c r="AG200" s="29"/>
    </row>
    <row r="201" spans="1:33">
      <c r="A201" s="29"/>
      <c r="B201" s="29"/>
      <c r="C201" s="43"/>
      <c r="D201" s="55"/>
      <c r="E201" s="54"/>
      <c r="F201" s="54"/>
      <c r="M201" s="48"/>
      <c r="X201" s="29"/>
      <c r="Y201" s="29"/>
      <c r="AA201" s="18"/>
      <c r="AC201" s="31"/>
      <c r="AE201" s="18"/>
      <c r="AG201" s="29"/>
    </row>
    <row r="202" spans="1:33">
      <c r="A202" s="29"/>
      <c r="B202" s="29"/>
      <c r="C202" s="43"/>
      <c r="D202" s="56"/>
      <c r="E202" s="54"/>
      <c r="F202" s="54"/>
      <c r="M202" s="48"/>
      <c r="X202" s="29"/>
      <c r="Y202" s="29"/>
      <c r="AA202" s="18"/>
      <c r="AC202" s="31"/>
      <c r="AE202" s="18"/>
      <c r="AG202" s="29"/>
    </row>
    <row r="203" spans="1:33">
      <c r="A203" s="29"/>
      <c r="B203" s="29"/>
      <c r="C203" s="43"/>
      <c r="D203" s="56"/>
      <c r="E203" s="54"/>
      <c r="F203" s="54"/>
      <c r="M203" s="48"/>
      <c r="X203" s="29"/>
      <c r="Y203" s="29"/>
      <c r="AA203" s="18"/>
      <c r="AC203" s="31"/>
      <c r="AE203" s="18"/>
      <c r="AG203" s="29"/>
    </row>
    <row r="204" spans="1:33">
      <c r="A204" s="29"/>
      <c r="B204" s="29"/>
      <c r="C204" s="43"/>
      <c r="D204" s="56"/>
      <c r="E204" s="54"/>
      <c r="F204" s="54"/>
      <c r="M204" s="48"/>
      <c r="X204" s="29"/>
      <c r="Y204" s="29"/>
      <c r="AA204" s="18"/>
      <c r="AC204" s="31"/>
      <c r="AE204" s="18"/>
      <c r="AG204" s="29"/>
    </row>
    <row r="205" spans="1:33">
      <c r="A205" s="29"/>
      <c r="B205" s="29"/>
      <c r="C205" s="43"/>
      <c r="D205" s="56"/>
      <c r="E205" s="54"/>
      <c r="F205" s="54"/>
      <c r="M205" s="48"/>
      <c r="X205" s="29"/>
      <c r="Y205" s="29"/>
      <c r="AA205" s="18"/>
      <c r="AC205" s="31"/>
      <c r="AE205" s="18"/>
      <c r="AG205" s="29"/>
    </row>
    <row r="206" spans="1:33">
      <c r="A206" s="29"/>
      <c r="B206" s="29"/>
      <c r="C206" s="43"/>
      <c r="D206" s="56"/>
      <c r="E206" s="54"/>
      <c r="F206" s="54"/>
      <c r="M206" s="48"/>
      <c r="X206" s="29"/>
      <c r="Y206" s="29"/>
      <c r="AA206" s="18"/>
      <c r="AC206" s="31"/>
      <c r="AE206" s="18"/>
      <c r="AG206" s="29"/>
    </row>
    <row r="207" spans="1:33">
      <c r="A207" s="29"/>
      <c r="B207" s="29"/>
      <c r="C207" s="43"/>
      <c r="D207" s="56"/>
      <c r="E207" s="54"/>
      <c r="F207" s="54"/>
      <c r="M207" s="48"/>
      <c r="X207" s="29"/>
      <c r="Y207" s="29"/>
      <c r="AA207" s="18"/>
      <c r="AC207" s="31"/>
      <c r="AE207" s="18"/>
      <c r="AG207" s="29"/>
    </row>
    <row r="208" spans="1:33">
      <c r="A208" s="29"/>
      <c r="B208" s="29"/>
      <c r="C208" s="43"/>
      <c r="D208" s="56"/>
      <c r="E208" s="54"/>
      <c r="F208" s="54"/>
      <c r="M208" s="48"/>
      <c r="X208" s="29"/>
      <c r="Y208" s="29"/>
      <c r="AA208" s="18"/>
      <c r="AC208" s="31"/>
      <c r="AE208" s="18"/>
      <c r="AG208" s="29"/>
    </row>
    <row r="209" spans="1:33">
      <c r="A209" s="29"/>
      <c r="B209" s="29"/>
      <c r="C209" s="43"/>
      <c r="D209" s="56"/>
      <c r="E209" s="54"/>
      <c r="F209" s="54"/>
      <c r="M209" s="48"/>
      <c r="X209" s="29"/>
      <c r="Y209" s="29"/>
      <c r="AA209" s="18"/>
      <c r="AC209" s="31"/>
      <c r="AE209" s="18"/>
      <c r="AG209" s="29"/>
    </row>
    <row r="210" spans="1:33">
      <c r="A210" s="29"/>
      <c r="B210" s="29"/>
      <c r="C210" s="43"/>
      <c r="D210" s="56"/>
      <c r="E210" s="54"/>
      <c r="F210" s="54"/>
      <c r="M210" s="48"/>
      <c r="X210" s="29"/>
      <c r="Y210" s="29"/>
      <c r="AA210" s="18"/>
      <c r="AC210" s="30"/>
      <c r="AE210" s="18"/>
      <c r="AG210" s="29"/>
    </row>
    <row r="211" spans="1:33">
      <c r="A211" s="29"/>
      <c r="B211" s="29"/>
      <c r="C211" s="43"/>
      <c r="D211" s="56"/>
      <c r="E211" s="54"/>
      <c r="F211" s="54"/>
      <c r="M211" s="48"/>
      <c r="X211" s="29"/>
      <c r="Y211" s="29"/>
      <c r="AA211" s="18"/>
      <c r="AC211" s="31"/>
      <c r="AE211" s="18"/>
      <c r="AG211" s="29"/>
    </row>
    <row r="212" spans="1:33">
      <c r="A212" s="29"/>
      <c r="B212" s="29"/>
      <c r="C212" s="43"/>
      <c r="D212" s="56"/>
      <c r="E212" s="54"/>
      <c r="F212" s="54"/>
      <c r="M212" s="48"/>
      <c r="X212" s="29"/>
      <c r="Y212" s="29"/>
      <c r="AA212" s="18"/>
      <c r="AC212" s="31"/>
      <c r="AE212" s="18"/>
      <c r="AG212" s="29"/>
    </row>
    <row r="213" spans="1:33">
      <c r="A213" s="29"/>
      <c r="B213" s="29"/>
      <c r="C213" s="43"/>
      <c r="D213" s="56"/>
      <c r="E213" s="54"/>
      <c r="F213" s="54"/>
      <c r="M213" s="48"/>
      <c r="X213" s="29"/>
      <c r="Y213" s="29"/>
      <c r="AA213" s="18"/>
      <c r="AC213" s="31"/>
      <c r="AE213" s="18"/>
      <c r="AG213" s="29"/>
    </row>
    <row r="214" spans="1:33">
      <c r="A214" s="29"/>
      <c r="B214" s="29"/>
      <c r="C214" s="43"/>
      <c r="D214" s="56"/>
      <c r="E214" s="54"/>
      <c r="F214" s="54"/>
      <c r="M214" s="48"/>
      <c r="X214" s="29"/>
      <c r="Y214" s="29"/>
      <c r="AA214" s="18"/>
      <c r="AC214" s="31"/>
      <c r="AE214" s="18"/>
      <c r="AG214" s="29"/>
    </row>
    <row r="215" spans="1:33">
      <c r="A215" s="29"/>
      <c r="B215" s="29"/>
      <c r="C215" s="43"/>
      <c r="D215" s="56"/>
      <c r="E215" s="54"/>
      <c r="F215" s="54"/>
      <c r="M215" s="48"/>
      <c r="X215" s="29"/>
      <c r="Y215" s="29"/>
      <c r="AA215" s="18"/>
      <c r="AC215" s="31"/>
      <c r="AE215" s="18"/>
      <c r="AG215" s="29"/>
    </row>
    <row r="216" spans="1:33">
      <c r="A216" s="29"/>
      <c r="B216" s="29"/>
      <c r="C216" s="43"/>
      <c r="D216" s="56"/>
      <c r="E216" s="54"/>
      <c r="F216" s="54"/>
      <c r="M216" s="48"/>
      <c r="X216" s="29"/>
      <c r="Y216" s="29"/>
      <c r="AA216" s="18"/>
      <c r="AC216" s="31"/>
      <c r="AE216" s="18"/>
      <c r="AG216" s="29"/>
    </row>
    <row r="217" spans="1:33">
      <c r="A217" s="29"/>
      <c r="B217" s="29"/>
      <c r="C217" s="43"/>
      <c r="D217" s="56"/>
      <c r="E217" s="54"/>
      <c r="F217" s="54"/>
      <c r="M217" s="48"/>
      <c r="X217" s="29"/>
      <c r="Y217" s="29"/>
      <c r="AA217" s="18"/>
      <c r="AC217" s="30"/>
      <c r="AE217" s="18"/>
      <c r="AG217" s="29"/>
    </row>
    <row r="218" spans="1:33">
      <c r="A218" s="29"/>
      <c r="B218" s="29"/>
      <c r="C218" s="43"/>
      <c r="D218" s="56"/>
      <c r="E218" s="54"/>
      <c r="F218" s="54"/>
      <c r="M218" s="48"/>
      <c r="X218" s="29"/>
      <c r="Y218" s="29"/>
      <c r="AA218" s="18"/>
      <c r="AC218" s="31"/>
      <c r="AE218" s="18"/>
      <c r="AG218" s="29"/>
    </row>
    <row r="219" spans="1:33">
      <c r="A219" s="29"/>
      <c r="B219" s="29"/>
      <c r="C219" s="43"/>
      <c r="D219" s="56"/>
      <c r="E219" s="54"/>
      <c r="F219" s="54"/>
      <c r="M219" s="48"/>
      <c r="X219" s="29"/>
      <c r="Y219" s="29"/>
      <c r="AA219" s="18"/>
      <c r="AC219" s="31"/>
      <c r="AE219" s="18"/>
      <c r="AG219" s="29"/>
    </row>
    <row r="220" spans="1:33">
      <c r="A220" s="29"/>
      <c r="B220" s="29"/>
      <c r="C220" s="43"/>
      <c r="D220" s="56"/>
      <c r="E220" s="54"/>
      <c r="F220" s="54"/>
      <c r="M220" s="48"/>
      <c r="X220" s="29"/>
      <c r="Y220" s="29"/>
      <c r="AA220" s="18"/>
      <c r="AC220" s="31"/>
      <c r="AE220" s="18"/>
      <c r="AG220" s="29"/>
    </row>
    <row r="221" spans="1:33">
      <c r="A221" s="29"/>
      <c r="B221" s="29"/>
      <c r="C221" s="43"/>
      <c r="D221" s="56"/>
      <c r="E221" s="54"/>
      <c r="F221" s="54"/>
      <c r="M221" s="48"/>
      <c r="X221" s="29"/>
      <c r="Y221" s="29"/>
      <c r="AA221" s="18"/>
      <c r="AC221" s="31"/>
      <c r="AE221" s="18"/>
      <c r="AG221" s="29"/>
    </row>
    <row r="222" spans="1:33">
      <c r="A222" s="29"/>
      <c r="B222" s="29"/>
      <c r="C222" s="43"/>
      <c r="D222" s="56"/>
      <c r="E222" s="54"/>
      <c r="F222" s="54"/>
      <c r="M222" s="48"/>
      <c r="X222" s="29"/>
      <c r="Y222" s="29"/>
      <c r="AA222" s="18"/>
      <c r="AC222" s="31"/>
      <c r="AE222" s="18"/>
      <c r="AG222" s="29"/>
    </row>
    <row r="223" spans="1:33">
      <c r="A223" s="29"/>
      <c r="B223" s="29"/>
      <c r="C223" s="43"/>
      <c r="D223" s="56"/>
      <c r="E223" s="54"/>
      <c r="F223" s="54"/>
      <c r="M223" s="48"/>
      <c r="X223" s="29"/>
      <c r="Y223" s="29"/>
      <c r="AA223" s="18"/>
      <c r="AC223" s="31"/>
      <c r="AE223" s="18"/>
      <c r="AG223" s="29"/>
    </row>
    <row r="224" spans="1:33">
      <c r="A224" s="29"/>
      <c r="B224" s="29"/>
      <c r="C224" s="43"/>
      <c r="D224" s="56"/>
      <c r="E224" s="54"/>
      <c r="F224" s="54"/>
      <c r="M224" s="48"/>
      <c r="X224" s="29"/>
      <c r="Y224" s="29"/>
      <c r="AA224" s="18"/>
      <c r="AC224" s="31"/>
      <c r="AE224" s="18"/>
      <c r="AG224" s="29"/>
    </row>
    <row r="225" spans="1:33">
      <c r="A225" s="29"/>
      <c r="B225" s="29"/>
      <c r="C225" s="43"/>
      <c r="D225" s="56"/>
      <c r="E225" s="54"/>
      <c r="F225" s="54"/>
      <c r="M225" s="48"/>
      <c r="X225" s="29"/>
      <c r="Y225" s="29"/>
      <c r="AA225" s="18"/>
      <c r="AC225" s="31"/>
      <c r="AE225" s="18"/>
      <c r="AG225" s="29"/>
    </row>
    <row r="226" spans="1:33">
      <c r="A226" s="29"/>
      <c r="B226" s="29"/>
      <c r="C226" s="43"/>
      <c r="D226" s="56"/>
      <c r="E226" s="54"/>
      <c r="F226" s="54"/>
      <c r="M226" s="48"/>
      <c r="X226" s="29"/>
      <c r="Y226" s="29"/>
      <c r="AA226" s="18"/>
      <c r="AC226" s="30"/>
      <c r="AE226" s="18"/>
      <c r="AG226" s="29"/>
    </row>
    <row r="227" spans="1:33">
      <c r="A227" s="29"/>
      <c r="B227" s="29"/>
      <c r="C227" s="43"/>
      <c r="D227" s="56"/>
      <c r="E227" s="54"/>
      <c r="F227" s="54"/>
      <c r="M227" s="48"/>
      <c r="X227" s="29"/>
      <c r="Y227" s="29"/>
      <c r="AA227" s="18"/>
      <c r="AC227" s="30"/>
      <c r="AE227" s="18"/>
      <c r="AG227" s="29"/>
    </row>
    <row r="228" spans="1:33">
      <c r="A228" s="29"/>
      <c r="B228" s="29"/>
      <c r="C228" s="43"/>
      <c r="D228" s="56"/>
      <c r="E228" s="54"/>
      <c r="F228" s="54"/>
      <c r="M228" s="48"/>
      <c r="X228" s="29"/>
      <c r="Y228" s="29"/>
      <c r="AA228" s="18"/>
      <c r="AC228" s="31"/>
      <c r="AE228" s="18"/>
    </row>
    <row r="229" spans="1:33">
      <c r="A229" s="29"/>
      <c r="B229" s="55"/>
      <c r="C229" s="43"/>
      <c r="E229" s="57"/>
      <c r="F229" s="30"/>
      <c r="I229" s="47"/>
      <c r="J229" s="47"/>
      <c r="K229" s="47"/>
      <c r="M229" s="55"/>
      <c r="P229" s="47"/>
      <c r="X229" s="29"/>
      <c r="Y229" s="29"/>
      <c r="AA229" s="18"/>
      <c r="AC229" s="31"/>
      <c r="AE229" s="18"/>
      <c r="AG229" s="29"/>
    </row>
    <row r="230" spans="1:33">
      <c r="A230" s="29"/>
      <c r="B230" s="56"/>
      <c r="C230" s="43"/>
      <c r="E230" s="58"/>
      <c r="F230" s="30"/>
      <c r="M230" s="56"/>
      <c r="X230" s="29"/>
      <c r="Y230" s="29"/>
      <c r="AA230" s="18"/>
      <c r="AC230" s="31"/>
      <c r="AE230" s="18"/>
      <c r="AG230" s="29"/>
    </row>
    <row r="231" spans="1:33">
      <c r="A231" s="29"/>
      <c r="B231" s="56"/>
      <c r="C231" s="43"/>
      <c r="E231" s="58"/>
      <c r="F231" s="30"/>
      <c r="M231" s="56"/>
      <c r="X231" s="29"/>
      <c r="Y231" s="29"/>
      <c r="AA231" s="18"/>
      <c r="AC231" s="31"/>
      <c r="AE231" s="18"/>
      <c r="AG231" s="29"/>
    </row>
    <row r="232" spans="1:33">
      <c r="A232" s="29"/>
      <c r="B232" s="56"/>
      <c r="C232" s="43"/>
      <c r="E232" s="58"/>
      <c r="F232" s="30"/>
      <c r="M232" s="56"/>
      <c r="X232" s="29"/>
      <c r="Y232" s="29"/>
      <c r="AA232" s="18"/>
      <c r="AC232" s="30"/>
      <c r="AE232" s="18"/>
      <c r="AG232" s="29"/>
    </row>
    <row r="233" spans="1:33">
      <c r="A233" s="29"/>
      <c r="B233" s="56"/>
      <c r="C233" s="43"/>
      <c r="E233" s="58"/>
      <c r="F233" s="30"/>
      <c r="M233" s="56"/>
      <c r="X233" s="29"/>
      <c r="Y233" s="29"/>
      <c r="AA233" s="18"/>
      <c r="AC233" s="31"/>
      <c r="AE233" s="18"/>
      <c r="AG233" s="29"/>
    </row>
    <row r="234" spans="1:33">
      <c r="A234" s="29"/>
      <c r="B234" s="56"/>
      <c r="C234" s="43"/>
      <c r="E234" s="58"/>
      <c r="F234" s="30"/>
      <c r="M234" s="56"/>
      <c r="X234" s="29"/>
      <c r="Y234" s="29"/>
      <c r="AA234" s="18"/>
      <c r="AC234" s="31"/>
      <c r="AE234" s="18"/>
      <c r="AG234" s="29"/>
    </row>
    <row r="235" spans="1:33">
      <c r="A235" s="29"/>
      <c r="B235" s="56"/>
      <c r="C235" s="43"/>
      <c r="E235" s="58"/>
      <c r="F235" s="30"/>
      <c r="M235" s="56"/>
      <c r="X235" s="29"/>
      <c r="Y235" s="29"/>
      <c r="AA235" s="18"/>
      <c r="AC235" s="31"/>
      <c r="AE235" s="18"/>
      <c r="AG235" s="29"/>
    </row>
    <row r="236" spans="1:33">
      <c r="A236" s="29"/>
      <c r="B236" s="56"/>
      <c r="C236" s="43"/>
      <c r="E236" s="58"/>
      <c r="F236" s="30"/>
      <c r="M236" s="56"/>
      <c r="X236" s="29"/>
      <c r="Y236" s="29"/>
      <c r="AA236" s="18"/>
      <c r="AC236" s="30"/>
      <c r="AE236" s="18"/>
      <c r="AG236" s="29"/>
    </row>
    <row r="237" spans="1:33">
      <c r="A237" s="29"/>
      <c r="B237" s="56"/>
      <c r="C237" s="43"/>
      <c r="E237" s="58"/>
      <c r="F237" s="30"/>
      <c r="M237" s="56"/>
      <c r="X237" s="29"/>
      <c r="Y237" s="29"/>
      <c r="AA237" s="18"/>
      <c r="AC237" s="31"/>
      <c r="AE237" s="18"/>
      <c r="AG237" s="29"/>
    </row>
    <row r="238" spans="1:33">
      <c r="A238" s="29"/>
      <c r="B238" s="56"/>
      <c r="C238" s="43"/>
      <c r="E238" s="58"/>
      <c r="F238" s="30"/>
      <c r="M238" s="56"/>
      <c r="X238" s="29"/>
      <c r="Y238" s="29"/>
      <c r="AA238" s="18"/>
      <c r="AC238" s="31"/>
      <c r="AE238" s="18"/>
      <c r="AG238" s="29"/>
    </row>
    <row r="239" spans="1:33">
      <c r="A239" s="29"/>
      <c r="B239" s="56"/>
      <c r="C239" s="43"/>
      <c r="E239" s="58"/>
      <c r="F239" s="30"/>
      <c r="M239" s="56"/>
      <c r="X239" s="29"/>
      <c r="Y239" s="29"/>
      <c r="AA239" s="18"/>
      <c r="AC239" s="31"/>
      <c r="AE239" s="18"/>
      <c r="AG239" s="29"/>
    </row>
    <row r="240" spans="1:33">
      <c r="A240" s="29"/>
      <c r="B240" s="56"/>
      <c r="C240" s="43"/>
      <c r="E240" s="58"/>
      <c r="F240" s="30"/>
      <c r="M240" s="56"/>
      <c r="X240" s="29"/>
      <c r="Y240" s="29"/>
      <c r="AA240" s="18"/>
      <c r="AC240" s="31"/>
      <c r="AE240" s="18"/>
      <c r="AG240" s="29"/>
    </row>
    <row r="241" spans="1:33">
      <c r="A241" s="29"/>
      <c r="B241" s="56"/>
      <c r="C241" s="43"/>
      <c r="E241" s="58"/>
      <c r="F241" s="30"/>
      <c r="M241" s="56"/>
      <c r="X241" s="29"/>
      <c r="Y241" s="29"/>
      <c r="AA241" s="18"/>
      <c r="AC241" s="31"/>
      <c r="AE241" s="18"/>
      <c r="AG241" s="29"/>
    </row>
    <row r="242" spans="1:33">
      <c r="A242" s="29"/>
      <c r="B242" s="56"/>
      <c r="C242" s="43"/>
      <c r="E242" s="58"/>
      <c r="F242" s="30"/>
      <c r="M242" s="56"/>
      <c r="X242" s="29"/>
      <c r="Y242" s="29"/>
      <c r="AA242" s="18"/>
      <c r="AC242" s="30"/>
      <c r="AE242" s="18"/>
      <c r="AG242" s="29"/>
    </row>
    <row r="243" spans="1:33">
      <c r="A243" s="29"/>
      <c r="B243" s="56"/>
      <c r="C243" s="43"/>
      <c r="E243" s="58"/>
      <c r="F243" s="30"/>
      <c r="I243" s="47"/>
      <c r="J243" s="47"/>
      <c r="K243" s="47"/>
      <c r="M243" s="56"/>
      <c r="P243" s="47"/>
      <c r="X243" s="29"/>
      <c r="Y243" s="29"/>
      <c r="AA243" s="18"/>
      <c r="AC243" s="31"/>
      <c r="AE243" s="18"/>
      <c r="AG243" s="29"/>
    </row>
    <row r="244" spans="1:33">
      <c r="A244" s="29"/>
      <c r="B244" s="56"/>
      <c r="C244" s="43"/>
      <c r="E244" s="58"/>
      <c r="F244" s="30"/>
      <c r="M244" s="56"/>
      <c r="X244" s="29"/>
      <c r="Y244" s="29"/>
      <c r="AA244" s="18"/>
      <c r="AC244" s="31"/>
      <c r="AE244" s="18"/>
      <c r="AG244" s="29"/>
    </row>
    <row r="245" spans="1:33">
      <c r="A245" s="29"/>
      <c r="B245" s="56"/>
      <c r="C245" s="43"/>
      <c r="E245" s="58"/>
      <c r="F245" s="30"/>
      <c r="M245" s="56"/>
      <c r="X245" s="29"/>
      <c r="Y245" s="29"/>
      <c r="AA245" s="18"/>
      <c r="AC245" s="31"/>
      <c r="AE245" s="18"/>
      <c r="AG245" s="29"/>
    </row>
    <row r="246" spans="1:33">
      <c r="A246" s="29"/>
      <c r="B246" s="56"/>
      <c r="C246" s="43"/>
      <c r="E246" s="58"/>
      <c r="F246" s="30"/>
      <c r="M246" s="56"/>
      <c r="X246" s="29"/>
      <c r="Y246" s="29"/>
      <c r="AA246" s="18"/>
      <c r="AC246" s="31"/>
      <c r="AE246" s="18"/>
      <c r="AG246" s="29"/>
    </row>
    <row r="247" spans="1:33">
      <c r="A247" s="29"/>
      <c r="B247" s="56"/>
      <c r="C247" s="43"/>
      <c r="E247" s="58"/>
      <c r="F247" s="30"/>
      <c r="M247" s="56"/>
      <c r="X247" s="29"/>
      <c r="Y247" s="29"/>
      <c r="AA247" s="18"/>
      <c r="AC247" s="31"/>
      <c r="AE247" s="18"/>
      <c r="AG247" s="29"/>
    </row>
    <row r="248" spans="1:33">
      <c r="A248" s="29"/>
      <c r="B248" s="56"/>
      <c r="C248" s="43"/>
      <c r="E248" s="58"/>
      <c r="F248" s="30"/>
      <c r="M248" s="56"/>
      <c r="X248" s="29"/>
      <c r="Y248" s="29"/>
      <c r="AA248" s="18"/>
      <c r="AC248" s="31"/>
      <c r="AE248" s="18"/>
      <c r="AG248" s="29"/>
    </row>
    <row r="249" spans="1:33">
      <c r="A249" s="29"/>
      <c r="B249" s="43"/>
      <c r="C249" s="43"/>
      <c r="D249" s="29"/>
      <c r="E249" s="54"/>
      <c r="F249" s="54"/>
      <c r="I249" s="45"/>
      <c r="J249" s="45"/>
      <c r="M249" s="43"/>
      <c r="P249" s="45"/>
      <c r="X249" s="29"/>
      <c r="Y249" s="29"/>
      <c r="AA249" s="18"/>
      <c r="AC249" s="31"/>
      <c r="AD249" s="43"/>
      <c r="AE249" s="43"/>
      <c r="AG249" s="59"/>
    </row>
    <row r="250" spans="1:33">
      <c r="A250" s="29"/>
      <c r="B250" s="43"/>
      <c r="C250" s="43"/>
      <c r="D250" s="29"/>
      <c r="E250" s="54"/>
      <c r="F250" s="54"/>
      <c r="I250" s="45"/>
      <c r="J250" s="45"/>
      <c r="M250" s="43"/>
      <c r="P250" s="45"/>
      <c r="X250" s="29"/>
      <c r="Y250" s="29"/>
      <c r="AA250" s="18"/>
      <c r="AC250" s="31"/>
      <c r="AD250" s="43"/>
      <c r="AE250" s="43"/>
      <c r="AG250" s="59"/>
    </row>
    <row r="251" spans="1:33">
      <c r="A251" s="29"/>
      <c r="B251" s="43"/>
      <c r="C251" s="43"/>
      <c r="D251" s="29"/>
      <c r="E251" s="54"/>
      <c r="F251" s="54"/>
      <c r="I251" s="45"/>
      <c r="J251" s="45"/>
      <c r="M251" s="43"/>
      <c r="P251" s="45"/>
      <c r="X251" s="29"/>
      <c r="Y251" s="29"/>
      <c r="AA251" s="18"/>
      <c r="AC251" s="31"/>
      <c r="AD251" s="43"/>
      <c r="AE251" s="43"/>
      <c r="AG251" s="59"/>
    </row>
    <row r="252" spans="1:33">
      <c r="A252" s="29"/>
      <c r="B252" s="43"/>
      <c r="C252" s="43"/>
      <c r="D252" s="29"/>
      <c r="E252" s="54"/>
      <c r="F252" s="54"/>
      <c r="I252" s="45"/>
      <c r="J252" s="45"/>
      <c r="M252" s="43"/>
      <c r="P252" s="45"/>
      <c r="X252" s="29"/>
      <c r="Y252" s="29"/>
      <c r="AA252" s="18"/>
      <c r="AC252" s="31"/>
      <c r="AD252" s="43"/>
      <c r="AE252" s="43"/>
      <c r="AG252" s="59"/>
    </row>
    <row r="253" spans="1:33">
      <c r="A253" s="29"/>
      <c r="B253" s="43"/>
      <c r="C253" s="43"/>
      <c r="D253" s="29"/>
      <c r="E253" s="54"/>
      <c r="F253" s="54"/>
      <c r="I253" s="45"/>
      <c r="J253" s="45"/>
      <c r="M253" s="43"/>
      <c r="P253" s="45"/>
      <c r="X253" s="29"/>
      <c r="Y253" s="29"/>
      <c r="AA253" s="18"/>
      <c r="AC253" s="31"/>
      <c r="AD253" s="43"/>
      <c r="AE253" s="43"/>
      <c r="AG253" s="59"/>
    </row>
    <row r="254" spans="1:33">
      <c r="A254" s="29"/>
      <c r="B254" s="43"/>
      <c r="C254" s="43"/>
      <c r="D254" s="29"/>
      <c r="E254" s="54"/>
      <c r="F254" s="54"/>
      <c r="I254" s="45"/>
      <c r="J254" s="45"/>
      <c r="M254" s="43"/>
      <c r="P254" s="45"/>
      <c r="X254" s="29"/>
      <c r="Y254" s="29"/>
      <c r="AA254" s="18"/>
      <c r="AC254" s="31"/>
      <c r="AD254" s="43"/>
      <c r="AE254" s="43"/>
      <c r="AG254" s="59"/>
    </row>
    <row r="255" spans="1:33">
      <c r="A255" s="29"/>
      <c r="B255" s="43"/>
      <c r="C255" s="43"/>
      <c r="D255" s="29"/>
      <c r="E255" s="54"/>
      <c r="F255" s="54"/>
      <c r="I255" s="45"/>
      <c r="J255" s="45"/>
      <c r="M255" s="43"/>
      <c r="P255" s="45"/>
      <c r="X255" s="29"/>
      <c r="Y255" s="29"/>
      <c r="AA255" s="18"/>
      <c r="AC255" s="31"/>
      <c r="AD255" s="43"/>
      <c r="AE255" s="43"/>
      <c r="AG255" s="59"/>
    </row>
    <row r="256" spans="1:33">
      <c r="A256" s="29"/>
      <c r="B256" s="43"/>
      <c r="C256" s="43"/>
      <c r="D256" s="29"/>
      <c r="E256" s="54"/>
      <c r="F256" s="54"/>
      <c r="I256" s="45"/>
      <c r="J256" s="45"/>
      <c r="M256" s="43"/>
      <c r="P256" s="45"/>
      <c r="X256" s="29"/>
      <c r="Y256" s="29"/>
      <c r="AA256" s="18"/>
      <c r="AC256" s="31"/>
      <c r="AD256" s="43"/>
      <c r="AE256" s="43"/>
      <c r="AG256" s="59"/>
    </row>
    <row r="257" spans="1:33">
      <c r="A257" s="29"/>
      <c r="B257" s="43"/>
      <c r="C257" s="43"/>
      <c r="D257" s="29"/>
      <c r="E257" s="54"/>
      <c r="F257" s="54"/>
      <c r="I257" s="45"/>
      <c r="J257" s="45"/>
      <c r="M257" s="43"/>
      <c r="P257" s="45"/>
      <c r="X257" s="29"/>
      <c r="Y257" s="29"/>
      <c r="AA257" s="18"/>
      <c r="AC257" s="31"/>
      <c r="AD257" s="43"/>
      <c r="AE257" s="43"/>
      <c r="AG257" s="59"/>
    </row>
    <row r="258" spans="1:33">
      <c r="A258" s="29"/>
      <c r="B258" s="43"/>
      <c r="C258" s="43"/>
      <c r="D258" s="29"/>
      <c r="E258" s="54"/>
      <c r="F258" s="54"/>
      <c r="I258" s="45"/>
      <c r="J258" s="45"/>
      <c r="M258" s="43"/>
      <c r="P258" s="45"/>
      <c r="X258" s="29"/>
      <c r="Y258" s="29"/>
      <c r="AA258" s="18"/>
      <c r="AC258" s="31"/>
      <c r="AD258" s="43"/>
      <c r="AE258" s="43"/>
      <c r="AG258" s="59"/>
    </row>
    <row r="259" spans="1:33">
      <c r="A259" s="29"/>
      <c r="B259" s="43"/>
      <c r="C259" s="43"/>
      <c r="D259" s="29"/>
      <c r="E259" s="54"/>
      <c r="F259" s="54"/>
      <c r="I259" s="45"/>
      <c r="J259" s="45"/>
      <c r="M259" s="43"/>
      <c r="P259" s="45"/>
      <c r="X259" s="29"/>
      <c r="Y259" s="29"/>
      <c r="AA259" s="18"/>
      <c r="AC259" s="31"/>
      <c r="AD259" s="43"/>
      <c r="AE259" s="43"/>
      <c r="AG259" s="59"/>
    </row>
    <row r="260" spans="1:33">
      <c r="A260" s="29"/>
      <c r="B260" s="43"/>
      <c r="C260" s="43"/>
      <c r="D260" s="29"/>
      <c r="E260" s="54"/>
      <c r="F260" s="54"/>
      <c r="I260" s="45"/>
      <c r="J260" s="45"/>
      <c r="M260" s="43"/>
      <c r="P260" s="45"/>
      <c r="X260" s="29"/>
      <c r="Y260" s="29"/>
      <c r="AA260" s="18"/>
      <c r="AC260" s="31"/>
      <c r="AD260" s="43"/>
      <c r="AE260" s="43"/>
      <c r="AG260" s="59"/>
    </row>
    <row r="261" spans="1:33">
      <c r="A261" s="29"/>
      <c r="B261" s="43"/>
      <c r="C261" s="43"/>
      <c r="D261" s="29"/>
      <c r="E261" s="54"/>
      <c r="F261" s="54"/>
      <c r="I261" s="45"/>
      <c r="J261" s="45"/>
      <c r="M261" s="43"/>
      <c r="P261" s="45"/>
      <c r="X261" s="29"/>
      <c r="Y261" s="29"/>
      <c r="AA261" s="18"/>
      <c r="AC261" s="31"/>
      <c r="AD261" s="43"/>
      <c r="AE261" s="43"/>
      <c r="AG261" s="59"/>
    </row>
    <row r="262" spans="1:33">
      <c r="A262" s="29"/>
      <c r="B262" s="43"/>
      <c r="C262" s="43"/>
      <c r="D262" s="29"/>
      <c r="E262" s="54"/>
      <c r="F262" s="54"/>
      <c r="I262" s="45"/>
      <c r="J262" s="45"/>
      <c r="M262" s="43"/>
      <c r="P262" s="45"/>
      <c r="X262" s="29"/>
      <c r="Y262" s="29"/>
      <c r="AA262" s="18"/>
      <c r="AC262" s="31"/>
      <c r="AD262" s="43"/>
      <c r="AE262" s="43"/>
      <c r="AG262" s="59"/>
    </row>
    <row r="263" spans="1:33">
      <c r="A263" s="29"/>
      <c r="B263" s="43"/>
      <c r="C263" s="43"/>
      <c r="D263" s="29"/>
      <c r="E263" s="54"/>
      <c r="F263" s="54"/>
      <c r="I263" s="45"/>
      <c r="J263" s="45"/>
      <c r="M263" s="43"/>
      <c r="P263" s="45"/>
      <c r="X263" s="29"/>
      <c r="Y263" s="29"/>
      <c r="AA263" s="18"/>
      <c r="AC263" s="31"/>
      <c r="AD263" s="43"/>
      <c r="AE263" s="43"/>
      <c r="AG263" s="59"/>
    </row>
    <row r="264" spans="1:33">
      <c r="A264" s="29"/>
      <c r="B264" s="43"/>
      <c r="C264" s="43"/>
      <c r="D264" s="29"/>
      <c r="E264" s="54"/>
      <c r="F264" s="54"/>
      <c r="I264" s="45"/>
      <c r="J264" s="45"/>
      <c r="M264" s="43"/>
      <c r="P264" s="45"/>
      <c r="X264" s="29"/>
      <c r="Y264" s="29"/>
      <c r="AA264" s="18"/>
      <c r="AC264" s="31"/>
      <c r="AD264" s="43"/>
      <c r="AE264" s="43"/>
      <c r="AG264" s="59"/>
    </row>
    <row r="265" spans="1:33">
      <c r="A265" s="29"/>
      <c r="B265" s="43"/>
      <c r="C265" s="43"/>
      <c r="D265" s="29"/>
      <c r="E265" s="54"/>
      <c r="F265" s="54"/>
      <c r="I265" s="45"/>
      <c r="J265" s="45"/>
      <c r="M265" s="43"/>
      <c r="P265" s="45"/>
      <c r="X265" s="29"/>
      <c r="Y265" s="29"/>
      <c r="AA265" s="18"/>
      <c r="AC265" s="31"/>
      <c r="AD265" s="43"/>
      <c r="AE265" s="43"/>
      <c r="AG265" s="59"/>
    </row>
    <row r="266" spans="1:33">
      <c r="A266" s="29"/>
      <c r="B266" s="43"/>
      <c r="C266" s="43"/>
      <c r="D266" s="29"/>
      <c r="E266" s="54"/>
      <c r="F266" s="54"/>
      <c r="I266" s="45"/>
      <c r="J266" s="45"/>
      <c r="M266" s="43"/>
      <c r="P266" s="45"/>
      <c r="X266" s="29"/>
      <c r="Y266" s="29"/>
      <c r="AA266" s="18"/>
      <c r="AC266" s="31"/>
      <c r="AD266" s="43"/>
      <c r="AE266" s="43"/>
      <c r="AG266" s="59"/>
    </row>
    <row r="267" spans="1:33">
      <c r="A267" s="29"/>
      <c r="B267" s="43"/>
      <c r="C267" s="43"/>
      <c r="D267" s="29"/>
      <c r="E267" s="54"/>
      <c r="F267" s="54"/>
      <c r="I267" s="45"/>
      <c r="J267" s="45"/>
      <c r="M267" s="43"/>
      <c r="P267" s="45"/>
      <c r="X267" s="29"/>
      <c r="Y267" s="29"/>
      <c r="AA267" s="18"/>
      <c r="AC267" s="31"/>
      <c r="AD267" s="43"/>
      <c r="AE267" s="43"/>
      <c r="AG267" s="59"/>
    </row>
    <row r="268" spans="1:33">
      <c r="A268" s="29"/>
      <c r="B268" s="43"/>
      <c r="C268" s="43"/>
      <c r="D268" s="29"/>
      <c r="E268" s="54"/>
      <c r="F268" s="54"/>
      <c r="I268" s="45"/>
      <c r="J268" s="45"/>
      <c r="M268" s="43"/>
      <c r="P268" s="45"/>
      <c r="X268" s="29"/>
      <c r="Y268" s="29"/>
      <c r="AA268" s="18"/>
      <c r="AC268" s="31"/>
      <c r="AD268" s="43"/>
      <c r="AE268" s="43"/>
      <c r="AG268" s="59"/>
    </row>
    <row r="269" spans="1:33">
      <c r="A269" s="29"/>
      <c r="B269" s="43"/>
      <c r="C269" s="43"/>
      <c r="D269" s="29"/>
      <c r="E269" s="54"/>
      <c r="F269" s="54"/>
      <c r="I269" s="45"/>
      <c r="J269" s="45"/>
      <c r="M269" s="43"/>
      <c r="P269" s="45"/>
      <c r="X269" s="29"/>
      <c r="Y269" s="29"/>
      <c r="AA269" s="18"/>
      <c r="AC269" s="31"/>
      <c r="AD269" s="43"/>
      <c r="AE269" s="43"/>
      <c r="AG269" s="59"/>
    </row>
    <row r="270" spans="1:33">
      <c r="A270" s="29"/>
      <c r="B270" s="43"/>
      <c r="C270" s="43"/>
      <c r="D270" s="29"/>
      <c r="E270" s="54"/>
      <c r="F270" s="54"/>
      <c r="I270" s="45"/>
      <c r="J270" s="45"/>
      <c r="K270" s="45"/>
      <c r="M270" s="43"/>
      <c r="P270" s="45"/>
      <c r="X270" s="29"/>
      <c r="Y270" s="29"/>
      <c r="AA270" s="18"/>
      <c r="AC270" s="31"/>
      <c r="AD270" s="43"/>
      <c r="AE270" s="43"/>
      <c r="AG270" s="59"/>
    </row>
    <row r="271" spans="1:33">
      <c r="A271" s="29"/>
      <c r="B271" s="43"/>
      <c r="C271" s="43"/>
      <c r="D271" s="29"/>
      <c r="E271" s="54"/>
      <c r="F271" s="54"/>
      <c r="I271" s="45"/>
      <c r="J271" s="45"/>
      <c r="K271" s="45"/>
      <c r="M271" s="43"/>
      <c r="P271" s="45"/>
      <c r="X271" s="29"/>
      <c r="Y271" s="29"/>
      <c r="AA271" s="18"/>
      <c r="AC271" s="31"/>
      <c r="AD271" s="43"/>
      <c r="AE271" s="43"/>
      <c r="AG271" s="59"/>
    </row>
    <row r="272" spans="1:33">
      <c r="A272" s="29"/>
      <c r="B272" s="43"/>
      <c r="C272" s="43"/>
      <c r="D272" s="29"/>
      <c r="E272" s="54"/>
      <c r="F272" s="54"/>
      <c r="I272" s="45"/>
      <c r="J272" s="45"/>
      <c r="K272" s="45"/>
      <c r="M272" s="43"/>
      <c r="P272" s="45"/>
      <c r="X272" s="29"/>
      <c r="Y272" s="29"/>
      <c r="AA272" s="18"/>
      <c r="AC272" s="31"/>
      <c r="AD272" s="43"/>
      <c r="AE272" s="43"/>
      <c r="AG272" s="59"/>
    </row>
    <row r="273" spans="1:33">
      <c r="A273" s="29"/>
      <c r="B273" s="43"/>
      <c r="C273" s="43"/>
      <c r="D273" s="29"/>
      <c r="E273" s="54"/>
      <c r="F273" s="54"/>
      <c r="I273" s="45"/>
      <c r="J273" s="45"/>
      <c r="K273" s="45"/>
      <c r="M273" s="43"/>
      <c r="P273" s="45"/>
      <c r="X273" s="29"/>
      <c r="Y273" s="29"/>
      <c r="AA273" s="18"/>
      <c r="AC273" s="31"/>
      <c r="AD273" s="43"/>
      <c r="AE273" s="43"/>
      <c r="AG273" s="59"/>
    </row>
    <row r="274" spans="1:33">
      <c r="A274" s="29"/>
      <c r="B274" s="43"/>
      <c r="C274" s="43"/>
      <c r="D274" s="29"/>
      <c r="E274" s="54"/>
      <c r="F274" s="54"/>
      <c r="I274" s="45"/>
      <c r="J274" s="45"/>
      <c r="K274" s="45"/>
      <c r="M274" s="43"/>
      <c r="P274" s="45"/>
      <c r="X274" s="29"/>
      <c r="Y274" s="29"/>
      <c r="AA274" s="18"/>
      <c r="AC274" s="31"/>
      <c r="AD274" s="43"/>
      <c r="AE274" s="43"/>
      <c r="AG274" s="59"/>
    </row>
    <row r="275" spans="1:33">
      <c r="A275" s="29"/>
      <c r="B275" s="43"/>
      <c r="C275" s="43"/>
      <c r="D275" s="29"/>
      <c r="E275" s="54"/>
      <c r="F275" s="54"/>
      <c r="I275" s="45"/>
      <c r="J275" s="45"/>
      <c r="K275" s="45"/>
      <c r="M275" s="43"/>
      <c r="P275" s="45"/>
      <c r="X275" s="29"/>
      <c r="Y275" s="29"/>
      <c r="AA275" s="18"/>
      <c r="AC275" s="31"/>
      <c r="AD275" s="43"/>
      <c r="AE275" s="43"/>
      <c r="AG275" s="59"/>
    </row>
    <row r="276" spans="1:33">
      <c r="A276" s="29"/>
      <c r="B276" s="43"/>
      <c r="C276" s="43"/>
      <c r="D276" s="29"/>
      <c r="E276" s="54"/>
      <c r="F276" s="54"/>
      <c r="I276" s="45"/>
      <c r="J276" s="45"/>
      <c r="K276" s="45"/>
      <c r="M276" s="43"/>
      <c r="P276" s="45"/>
      <c r="X276" s="29"/>
      <c r="Y276" s="29"/>
      <c r="AA276" s="18"/>
      <c r="AC276" s="31"/>
      <c r="AD276" s="43"/>
      <c r="AE276" s="43"/>
      <c r="AG276" s="59"/>
    </row>
    <row r="277" spans="1:33">
      <c r="A277" s="29"/>
      <c r="B277" s="43"/>
      <c r="C277" s="43"/>
      <c r="D277" s="29"/>
      <c r="E277" s="54"/>
      <c r="F277" s="54"/>
      <c r="I277" s="45"/>
      <c r="J277" s="45"/>
      <c r="K277" s="45"/>
      <c r="M277" s="43"/>
      <c r="P277" s="45"/>
      <c r="X277" s="29"/>
      <c r="Y277" s="29"/>
      <c r="AA277" s="18"/>
      <c r="AC277" s="31"/>
      <c r="AD277" s="43"/>
      <c r="AE277" s="43"/>
      <c r="AG277" s="59"/>
    </row>
    <row r="278" spans="1:33">
      <c r="A278" s="29"/>
      <c r="B278" s="43"/>
      <c r="C278" s="43"/>
      <c r="D278" s="29"/>
      <c r="E278" s="54"/>
      <c r="F278" s="54"/>
      <c r="I278" s="45"/>
      <c r="J278" s="45"/>
      <c r="K278" s="45"/>
      <c r="M278" s="43"/>
      <c r="P278" s="45"/>
      <c r="X278" s="29"/>
      <c r="Y278" s="29"/>
      <c r="AA278" s="18"/>
      <c r="AC278" s="31"/>
      <c r="AD278" s="43"/>
      <c r="AE278" s="43"/>
      <c r="AG278" s="59"/>
    </row>
    <row r="279" spans="1:33">
      <c r="A279" s="29"/>
      <c r="B279" s="29"/>
      <c r="D279" s="29"/>
      <c r="E279" s="30"/>
      <c r="F279" s="30"/>
      <c r="X279" s="29"/>
      <c r="Y279" s="29"/>
      <c r="AA279" s="18"/>
      <c r="AC279" s="31"/>
      <c r="AE279" s="18"/>
      <c r="AG279" s="29"/>
    </row>
    <row r="280" spans="1:33">
      <c r="A280" s="29"/>
      <c r="B280" s="29"/>
      <c r="D280" s="29"/>
      <c r="E280" s="30"/>
      <c r="F280" s="30"/>
      <c r="X280" s="29"/>
      <c r="Y280" s="29"/>
      <c r="AA280" s="18"/>
      <c r="AC280" s="31"/>
      <c r="AE280" s="18"/>
      <c r="AG280" s="29"/>
    </row>
    <row r="281" spans="1:33">
      <c r="A281" s="29"/>
      <c r="B281" s="29"/>
      <c r="D281" s="29"/>
      <c r="E281" s="30"/>
      <c r="F281" s="30"/>
      <c r="X281" s="29"/>
      <c r="Y281" s="29"/>
      <c r="AA281" s="18"/>
      <c r="AC281" s="31"/>
      <c r="AE281" s="18"/>
      <c r="AG281" s="29"/>
    </row>
    <row r="282" spans="1:33">
      <c r="A282" s="29"/>
      <c r="B282" s="29"/>
      <c r="D282" s="29"/>
      <c r="E282" s="30"/>
      <c r="F282" s="30"/>
      <c r="X282" s="29"/>
      <c r="Y282" s="29"/>
      <c r="AA282" s="18"/>
      <c r="AC282" s="31"/>
      <c r="AE282" s="18"/>
      <c r="AG282" s="29"/>
    </row>
    <row r="283" spans="1:33">
      <c r="A283" s="29"/>
      <c r="B283" s="29"/>
      <c r="D283" s="29"/>
      <c r="E283" s="30"/>
      <c r="F283" s="30"/>
      <c r="X283" s="29"/>
      <c r="Y283" s="29"/>
      <c r="AA283" s="18"/>
      <c r="AC283" s="30"/>
      <c r="AE283" s="18"/>
      <c r="AG283" s="29"/>
    </row>
    <row r="284" spans="1:33">
      <c r="A284" s="29"/>
      <c r="B284" s="29"/>
      <c r="D284" s="29"/>
      <c r="E284" s="30"/>
      <c r="F284" s="30"/>
      <c r="X284" s="29"/>
      <c r="Y284" s="29"/>
      <c r="AA284" s="18"/>
      <c r="AC284" s="31"/>
      <c r="AE284" s="18"/>
      <c r="AG284" s="29"/>
    </row>
    <row r="285" spans="1:33">
      <c r="A285" s="29"/>
      <c r="B285" s="29"/>
      <c r="D285" s="29"/>
      <c r="E285" s="30"/>
      <c r="F285" s="30"/>
      <c r="X285" s="29"/>
      <c r="Y285" s="29"/>
      <c r="AA285" s="18"/>
      <c r="AC285" s="30"/>
      <c r="AE285" s="18"/>
      <c r="AG285" s="29"/>
    </row>
    <row r="286" spans="1:33">
      <c r="A286" s="29"/>
      <c r="B286" s="29"/>
      <c r="D286" s="29"/>
      <c r="E286" s="30"/>
      <c r="F286" s="30"/>
      <c r="X286" s="29"/>
      <c r="Y286" s="29"/>
      <c r="AA286" s="18"/>
      <c r="AC286" s="31"/>
      <c r="AE286" s="18"/>
      <c r="AG286" s="29"/>
    </row>
    <row r="287" spans="1:33">
      <c r="A287" s="29"/>
      <c r="B287" s="29"/>
      <c r="D287" s="29"/>
      <c r="E287" s="30"/>
      <c r="F287" s="30"/>
      <c r="X287" s="29"/>
      <c r="Y287" s="29"/>
      <c r="AA287" s="18"/>
      <c r="AC287" s="31"/>
      <c r="AE287" s="18"/>
      <c r="AG287" s="29"/>
    </row>
    <row r="288" spans="1:33">
      <c r="A288" s="29"/>
      <c r="B288" s="29"/>
      <c r="D288" s="29"/>
      <c r="E288" s="30"/>
      <c r="F288" s="30"/>
      <c r="X288" s="29"/>
      <c r="Y288" s="29"/>
      <c r="AA288" s="18"/>
      <c r="AC288" s="31"/>
      <c r="AE288" s="18"/>
      <c r="AG288" s="29"/>
    </row>
    <row r="289" spans="1:33">
      <c r="A289" s="29"/>
      <c r="B289" s="29"/>
      <c r="D289" s="29"/>
      <c r="E289" s="30"/>
      <c r="F289" s="30"/>
      <c r="X289" s="29"/>
      <c r="Y289" s="29"/>
      <c r="AA289" s="18"/>
      <c r="AC289" s="31"/>
      <c r="AE289" s="18"/>
      <c r="AG289" s="29"/>
    </row>
    <row r="290" spans="1:33">
      <c r="A290" s="29"/>
      <c r="B290" s="29"/>
      <c r="D290" s="29"/>
      <c r="E290" s="30"/>
      <c r="F290" s="30"/>
      <c r="X290" s="29"/>
      <c r="Y290" s="29"/>
      <c r="AA290" s="18"/>
      <c r="AC290" s="31"/>
      <c r="AE290" s="18"/>
      <c r="AG290" s="29"/>
    </row>
    <row r="291" spans="1:33">
      <c r="A291" s="29"/>
      <c r="B291" s="29"/>
      <c r="D291" s="29"/>
      <c r="E291" s="30"/>
      <c r="F291" s="30"/>
      <c r="X291" s="29"/>
      <c r="Y291" s="29"/>
      <c r="AA291" s="18"/>
      <c r="AC291" s="31"/>
      <c r="AE291" s="18"/>
      <c r="AG291" s="29"/>
    </row>
    <row r="292" spans="1:33">
      <c r="A292" s="29"/>
      <c r="B292" s="29"/>
      <c r="D292" s="29"/>
      <c r="E292" s="30"/>
      <c r="F292" s="30"/>
      <c r="X292" s="29"/>
      <c r="Y292" s="29"/>
      <c r="AA292" s="18"/>
      <c r="AC292" s="31"/>
      <c r="AE292" s="18"/>
      <c r="AG292" s="29"/>
    </row>
    <row r="293" spans="1:33">
      <c r="A293" s="29"/>
      <c r="B293" s="29"/>
      <c r="D293" s="29"/>
      <c r="E293" s="30"/>
      <c r="F293" s="30"/>
      <c r="X293" s="29"/>
      <c r="Y293" s="29"/>
      <c r="AA293" s="18"/>
      <c r="AC293" s="31"/>
      <c r="AE293" s="18"/>
      <c r="AG293" s="29"/>
    </row>
    <row r="294" spans="1:33">
      <c r="A294" s="29"/>
      <c r="B294" s="29"/>
      <c r="D294" s="29"/>
      <c r="E294" s="30"/>
      <c r="F294" s="30"/>
      <c r="X294" s="29"/>
      <c r="Y294" s="29"/>
      <c r="AA294" s="18"/>
      <c r="AC294" s="31"/>
      <c r="AE294" s="18"/>
      <c r="AG294" s="29"/>
    </row>
    <row r="295" spans="1:33">
      <c r="A295" s="29"/>
      <c r="B295" s="29"/>
      <c r="D295" s="29"/>
      <c r="E295" s="30"/>
      <c r="F295" s="30"/>
      <c r="X295" s="29"/>
      <c r="Y295" s="29"/>
      <c r="AA295" s="18"/>
      <c r="AC295" s="31"/>
      <c r="AE295" s="18"/>
      <c r="AG295" s="29"/>
    </row>
    <row r="296" spans="1:33">
      <c r="A296" s="29"/>
      <c r="B296" s="29"/>
      <c r="D296" s="29"/>
      <c r="E296" s="30"/>
      <c r="F296" s="30"/>
      <c r="X296" s="29"/>
      <c r="Y296" s="29"/>
      <c r="AA296" s="18"/>
      <c r="AC296" s="31"/>
      <c r="AE296" s="18"/>
      <c r="AG296" s="29"/>
    </row>
    <row r="297" spans="1:33">
      <c r="A297" s="29"/>
      <c r="B297" s="29"/>
      <c r="D297" s="29"/>
      <c r="E297" s="30"/>
      <c r="F297" s="30"/>
      <c r="X297" s="29"/>
      <c r="Y297" s="29"/>
      <c r="AA297" s="18"/>
      <c r="AC297" s="31"/>
      <c r="AE297" s="18"/>
      <c r="AG297" s="29"/>
    </row>
    <row r="298" spans="1:33">
      <c r="A298" s="29"/>
      <c r="B298" s="29"/>
      <c r="D298" s="29"/>
      <c r="E298" s="30"/>
      <c r="F298" s="30"/>
      <c r="X298" s="29"/>
      <c r="Y298" s="29"/>
      <c r="AA298" s="18"/>
      <c r="AC298" s="31"/>
      <c r="AE298" s="18"/>
      <c r="AG298" s="29"/>
    </row>
    <row r="299" spans="1:33">
      <c r="A299" s="29"/>
      <c r="B299" s="29"/>
      <c r="D299" s="29"/>
      <c r="E299" s="30"/>
      <c r="F299" s="30"/>
      <c r="X299" s="29"/>
      <c r="Y299" s="29"/>
      <c r="AA299" s="18"/>
      <c r="AC299" s="31"/>
      <c r="AE299" s="18"/>
      <c r="AG299" s="29"/>
    </row>
    <row r="300" spans="1:33">
      <c r="A300" s="29"/>
      <c r="B300" s="29"/>
      <c r="D300" s="29"/>
      <c r="E300" s="30"/>
      <c r="F300" s="30"/>
      <c r="X300" s="29"/>
      <c r="Y300" s="29"/>
      <c r="AA300" s="18"/>
      <c r="AC300" s="31"/>
      <c r="AE300" s="18"/>
      <c r="AG300" s="29"/>
    </row>
    <row r="301" spans="1:33">
      <c r="A301" s="29"/>
      <c r="B301" s="29"/>
      <c r="D301" s="29"/>
      <c r="E301" s="30"/>
      <c r="F301" s="30"/>
      <c r="X301" s="29"/>
      <c r="Y301" s="29"/>
      <c r="AA301" s="18"/>
      <c r="AC301" s="31"/>
      <c r="AE301" s="18"/>
      <c r="AG301" s="29"/>
    </row>
    <row r="302" spans="1:33">
      <c r="A302" s="29"/>
      <c r="B302" s="29"/>
      <c r="D302" s="29"/>
      <c r="E302" s="30"/>
      <c r="F302" s="30"/>
      <c r="X302" s="29"/>
      <c r="Y302" s="29"/>
      <c r="AA302" s="18"/>
      <c r="AC302" s="30"/>
      <c r="AE302" s="18"/>
      <c r="AG302" s="29"/>
    </row>
    <row r="303" spans="1:33">
      <c r="A303" s="29"/>
      <c r="B303" s="29"/>
      <c r="D303" s="29"/>
      <c r="E303" s="30"/>
      <c r="F303" s="30"/>
      <c r="X303" s="29"/>
      <c r="Y303" s="29"/>
      <c r="AA303" s="18"/>
      <c r="AC303" s="31"/>
      <c r="AE303" s="18"/>
      <c r="AG303" s="29"/>
    </row>
    <row r="304" spans="1:33">
      <c r="A304" s="29"/>
      <c r="B304" s="29"/>
      <c r="D304" s="29"/>
      <c r="E304" s="30"/>
      <c r="F304" s="30"/>
      <c r="X304" s="29"/>
      <c r="Y304" s="29"/>
      <c r="AA304" s="18"/>
      <c r="AC304" s="31"/>
      <c r="AE304" s="18"/>
      <c r="AG304" s="29"/>
    </row>
    <row r="305" spans="1:33">
      <c r="A305" s="29"/>
      <c r="B305" s="29"/>
      <c r="D305" s="29"/>
      <c r="E305" s="30"/>
      <c r="F305" s="30"/>
      <c r="X305" s="29"/>
      <c r="Y305" s="29"/>
      <c r="AA305" s="18"/>
      <c r="AC305" s="31"/>
      <c r="AE305" s="18"/>
      <c r="AG305" s="29"/>
    </row>
    <row r="306" spans="1:33">
      <c r="A306" s="29"/>
      <c r="B306" s="29"/>
      <c r="D306" s="29"/>
      <c r="E306" s="30"/>
      <c r="F306" s="30"/>
      <c r="X306" s="29"/>
      <c r="Y306" s="29"/>
      <c r="AA306" s="18"/>
      <c r="AC306" s="31"/>
      <c r="AE306" s="18"/>
      <c r="AG306" s="29"/>
    </row>
    <row r="307" spans="1:33">
      <c r="A307" s="29"/>
      <c r="B307" s="29"/>
      <c r="D307" s="29"/>
      <c r="E307" s="30"/>
      <c r="F307" s="30"/>
      <c r="X307" s="29"/>
      <c r="Y307" s="29"/>
      <c r="AA307" s="18"/>
      <c r="AC307" s="30"/>
      <c r="AE307" s="18"/>
      <c r="AG307" s="29"/>
    </row>
    <row r="308" spans="1:33">
      <c r="A308" s="29"/>
      <c r="B308" s="29"/>
      <c r="D308" s="29"/>
      <c r="E308" s="30"/>
      <c r="F308" s="30"/>
      <c r="X308" s="29"/>
      <c r="Y308" s="29"/>
      <c r="AA308" s="18"/>
      <c r="AC308" s="31"/>
      <c r="AE308" s="18"/>
      <c r="AG308" s="29"/>
    </row>
    <row r="309" spans="1:33">
      <c r="A309" s="29"/>
      <c r="B309" s="29"/>
      <c r="D309" s="29"/>
      <c r="E309" s="30"/>
      <c r="F309" s="30"/>
      <c r="X309" s="29"/>
      <c r="Y309" s="29"/>
      <c r="AA309" s="18"/>
      <c r="AC309" s="31"/>
      <c r="AE309" s="18"/>
      <c r="AG309" s="29"/>
    </row>
    <row r="310" spans="1:33">
      <c r="A310" s="29"/>
      <c r="B310" s="29"/>
      <c r="D310" s="29"/>
      <c r="E310" s="30"/>
      <c r="F310" s="30"/>
      <c r="X310" s="29"/>
      <c r="Y310" s="29"/>
      <c r="AA310" s="18"/>
      <c r="AC310" s="31"/>
      <c r="AE310" s="18"/>
      <c r="AG310" s="29"/>
    </row>
    <row r="311" spans="1:33">
      <c r="A311" s="29"/>
      <c r="B311" s="29"/>
      <c r="D311" s="29"/>
      <c r="E311" s="30"/>
      <c r="F311" s="30"/>
      <c r="X311" s="29"/>
      <c r="Y311" s="29"/>
      <c r="AA311" s="18"/>
      <c r="AC311" s="31"/>
      <c r="AE311" s="18"/>
      <c r="AG311" s="29"/>
    </row>
    <row r="312" spans="1:33">
      <c r="A312" s="29"/>
      <c r="B312" s="29"/>
      <c r="D312" s="29"/>
      <c r="E312" s="30"/>
      <c r="F312" s="30"/>
      <c r="X312" s="29"/>
      <c r="Y312" s="29"/>
      <c r="AA312" s="18"/>
      <c r="AC312" s="31"/>
      <c r="AE312" s="18"/>
      <c r="AG312" s="29"/>
    </row>
    <row r="313" spans="1:33">
      <c r="A313" s="29"/>
      <c r="B313" s="29"/>
      <c r="D313" s="29"/>
      <c r="E313" s="30"/>
      <c r="F313" s="30"/>
      <c r="X313" s="29"/>
      <c r="Y313" s="29"/>
      <c r="AA313" s="18"/>
      <c r="AC313" s="31"/>
      <c r="AE313" s="18"/>
      <c r="AG313" s="29"/>
    </row>
    <row r="314" spans="1:33">
      <c r="A314" s="29"/>
      <c r="B314" s="29"/>
      <c r="D314" s="29"/>
      <c r="E314" s="30"/>
      <c r="F314" s="30"/>
      <c r="X314" s="29"/>
      <c r="Y314" s="29"/>
      <c r="AA314" s="18"/>
      <c r="AC314" s="31"/>
      <c r="AE314" s="18"/>
      <c r="AG314" s="29"/>
    </row>
    <row r="315" spans="1:33">
      <c r="A315" s="29"/>
      <c r="B315" s="29"/>
      <c r="D315" s="29"/>
      <c r="E315" s="30"/>
      <c r="F315" s="30"/>
      <c r="X315" s="29"/>
      <c r="Y315" s="29"/>
      <c r="AA315" s="18"/>
      <c r="AC315" s="31"/>
      <c r="AE315" s="18"/>
      <c r="AG315" s="29"/>
    </row>
    <row r="316" spans="1:33">
      <c r="A316" s="29"/>
      <c r="B316" s="29"/>
      <c r="D316" s="29"/>
      <c r="E316" s="30"/>
      <c r="F316" s="30"/>
      <c r="X316" s="29"/>
      <c r="Y316" s="29"/>
      <c r="AA316" s="18"/>
      <c r="AC316" s="31"/>
      <c r="AE316" s="18"/>
      <c r="AG316" s="29"/>
    </row>
    <row r="317" spans="1:33">
      <c r="A317" s="29"/>
      <c r="B317" s="29"/>
      <c r="D317" s="29"/>
      <c r="E317" s="30"/>
      <c r="F317" s="30"/>
      <c r="X317" s="29"/>
      <c r="Y317" s="29"/>
      <c r="AA317" s="18"/>
      <c r="AC317" s="31"/>
      <c r="AE317" s="18"/>
      <c r="AG317" s="29"/>
    </row>
    <row r="318" spans="1:33">
      <c r="A318" s="29"/>
      <c r="B318" s="29"/>
      <c r="D318" s="29"/>
      <c r="E318" s="30"/>
      <c r="F318" s="30"/>
      <c r="X318" s="29"/>
      <c r="Y318" s="29"/>
      <c r="AA318" s="18"/>
      <c r="AC318" s="31"/>
      <c r="AE318" s="18"/>
      <c r="AG318" s="29"/>
    </row>
    <row r="319" spans="1:33">
      <c r="A319" s="29"/>
      <c r="B319" s="29"/>
      <c r="D319" s="29"/>
      <c r="E319" s="30"/>
      <c r="F319" s="30"/>
      <c r="X319" s="29"/>
      <c r="Y319" s="29"/>
      <c r="AA319" s="18"/>
      <c r="AC319" s="31"/>
      <c r="AE319" s="18"/>
      <c r="AG319" s="29"/>
    </row>
    <row r="320" spans="1:33">
      <c r="A320" s="29"/>
      <c r="B320" s="29"/>
      <c r="D320" s="29"/>
      <c r="E320" s="30"/>
      <c r="F320" s="30"/>
      <c r="X320" s="29"/>
      <c r="Y320" s="29"/>
      <c r="AA320" s="18"/>
      <c r="AC320" s="31"/>
      <c r="AE320" s="18"/>
      <c r="AG320" s="29"/>
    </row>
    <row r="321" spans="1:33">
      <c r="A321" s="29"/>
      <c r="B321" s="29"/>
      <c r="D321" s="29"/>
      <c r="E321" s="30"/>
      <c r="F321" s="30"/>
      <c r="X321" s="29"/>
      <c r="Y321" s="29"/>
      <c r="AA321" s="18"/>
      <c r="AC321" s="31"/>
      <c r="AE321" s="18"/>
      <c r="AG321" s="29"/>
    </row>
    <row r="322" spans="1:33">
      <c r="A322" s="29"/>
      <c r="B322" s="29"/>
      <c r="D322" s="29"/>
      <c r="E322" s="30"/>
      <c r="F322" s="30"/>
      <c r="X322" s="29"/>
      <c r="Y322" s="29"/>
      <c r="AA322" s="18"/>
      <c r="AC322" s="31"/>
      <c r="AE322" s="18"/>
      <c r="AG322" s="29"/>
    </row>
    <row r="323" spans="1:33">
      <c r="A323" s="29"/>
      <c r="B323" s="29"/>
      <c r="D323" s="29"/>
      <c r="E323" s="30"/>
      <c r="F323" s="30"/>
      <c r="X323" s="29"/>
      <c r="Y323" s="29"/>
      <c r="AA323" s="18"/>
      <c r="AC323" s="30"/>
      <c r="AE323" s="18"/>
      <c r="AG323" s="29"/>
    </row>
    <row r="324" spans="1:33">
      <c r="A324" s="29"/>
      <c r="B324" s="29"/>
      <c r="D324" s="29"/>
      <c r="E324" s="30"/>
      <c r="F324" s="30"/>
      <c r="X324" s="29"/>
      <c r="Y324" s="29"/>
      <c r="AA324" s="18"/>
      <c r="AC324" s="31"/>
      <c r="AE324" s="18"/>
      <c r="AG324" s="29"/>
    </row>
    <row r="325" spans="1:33">
      <c r="A325" s="29"/>
      <c r="B325" s="29"/>
      <c r="D325" s="29"/>
      <c r="E325" s="30"/>
      <c r="F325" s="30"/>
      <c r="X325" s="29"/>
      <c r="Y325" s="29"/>
      <c r="AA325" s="18"/>
      <c r="AC325" s="31"/>
      <c r="AE325" s="18"/>
      <c r="AG325" s="29"/>
    </row>
    <row r="326" spans="1:33">
      <c r="A326" s="29"/>
      <c r="B326" s="29"/>
      <c r="D326" s="29"/>
      <c r="E326" s="30"/>
      <c r="F326" s="30"/>
      <c r="X326" s="29"/>
      <c r="Y326" s="29"/>
      <c r="AA326" s="18"/>
      <c r="AC326" s="31"/>
      <c r="AE326" s="18"/>
      <c r="AG326" s="29"/>
    </row>
    <row r="327" spans="1:33">
      <c r="A327" s="29"/>
      <c r="B327" s="29"/>
      <c r="D327" s="29"/>
      <c r="E327" s="30"/>
      <c r="F327" s="30"/>
      <c r="X327" s="29"/>
      <c r="Y327" s="29"/>
      <c r="AA327" s="18"/>
      <c r="AC327" s="31"/>
      <c r="AE327" s="18"/>
      <c r="AG327" s="29"/>
    </row>
    <row r="328" spans="1:33">
      <c r="A328" s="29"/>
      <c r="B328" s="29"/>
      <c r="D328" s="29"/>
      <c r="E328" s="30"/>
      <c r="F328" s="30"/>
      <c r="X328" s="29"/>
      <c r="Y328" s="29"/>
      <c r="AA328" s="18"/>
      <c r="AC328" s="31"/>
      <c r="AE328" s="18"/>
      <c r="AG328" s="29"/>
    </row>
    <row r="329" spans="1:33">
      <c r="A329" s="29"/>
      <c r="B329" s="29"/>
      <c r="D329" s="29"/>
      <c r="E329" s="30"/>
      <c r="F329" s="30"/>
      <c r="X329" s="29"/>
      <c r="Y329" s="29"/>
      <c r="AA329" s="18"/>
      <c r="AC329" s="31"/>
      <c r="AE329" s="18"/>
      <c r="AG329" s="29"/>
    </row>
    <row r="330" spans="1:33">
      <c r="A330" s="29"/>
      <c r="B330" s="29"/>
      <c r="D330" s="29"/>
      <c r="E330" s="30"/>
      <c r="F330" s="30"/>
      <c r="X330" s="29"/>
      <c r="Y330" s="29"/>
      <c r="AA330" s="18"/>
      <c r="AC330" s="31"/>
      <c r="AE330" s="18"/>
      <c r="AG330" s="29"/>
    </row>
    <row r="331" spans="1:33">
      <c r="A331" s="29"/>
      <c r="B331" s="29"/>
      <c r="D331" s="29"/>
      <c r="E331" s="30"/>
      <c r="F331" s="30"/>
      <c r="X331" s="29"/>
      <c r="Y331" s="29"/>
      <c r="AA331" s="18"/>
      <c r="AC331" s="31"/>
      <c r="AE331" s="18"/>
      <c r="AG331" s="29"/>
    </row>
    <row r="332" spans="1:33">
      <c r="A332" s="29"/>
      <c r="B332" s="29"/>
      <c r="D332" s="29"/>
      <c r="E332" s="30"/>
      <c r="F332" s="30"/>
      <c r="X332" s="29"/>
      <c r="Y332" s="29"/>
      <c r="AA332" s="18"/>
      <c r="AC332" s="30"/>
      <c r="AE332" s="18"/>
      <c r="AG332" s="29"/>
    </row>
    <row r="333" spans="1:33">
      <c r="A333" s="29"/>
      <c r="B333" s="29"/>
      <c r="D333" s="29"/>
      <c r="E333" s="30"/>
      <c r="F333" s="30"/>
      <c r="X333" s="29"/>
      <c r="Y333" s="29"/>
      <c r="AA333" s="18"/>
      <c r="AC333" s="31"/>
      <c r="AE333" s="18"/>
      <c r="AG333" s="29"/>
    </row>
    <row r="334" spans="1:33">
      <c r="A334" s="29"/>
      <c r="B334" s="29"/>
      <c r="D334" s="29"/>
      <c r="E334" s="30"/>
      <c r="F334" s="30"/>
      <c r="X334" s="29"/>
      <c r="Y334" s="29"/>
      <c r="AA334" s="18"/>
      <c r="AC334" s="31"/>
      <c r="AE334" s="18"/>
      <c r="AG334" s="29"/>
    </row>
    <row r="335" spans="1:33">
      <c r="A335" s="29"/>
      <c r="B335" s="29"/>
      <c r="D335" s="29"/>
      <c r="E335" s="30"/>
      <c r="F335" s="30"/>
      <c r="X335" s="29"/>
      <c r="Y335" s="29"/>
      <c r="AA335" s="18"/>
      <c r="AC335" s="31"/>
      <c r="AE335" s="18"/>
      <c r="AG335" s="29"/>
    </row>
    <row r="336" spans="1:33">
      <c r="A336" s="29"/>
      <c r="B336" s="29"/>
      <c r="D336" s="29"/>
      <c r="E336" s="30"/>
      <c r="F336" s="30"/>
      <c r="X336" s="29"/>
      <c r="Y336" s="29"/>
      <c r="AA336" s="18"/>
      <c r="AC336" s="31"/>
      <c r="AE336" s="18"/>
      <c r="AG336" s="29"/>
    </row>
    <row r="337" spans="1:33">
      <c r="A337" s="29"/>
      <c r="B337" s="29"/>
      <c r="D337" s="29"/>
      <c r="E337" s="30"/>
      <c r="F337" s="30"/>
      <c r="X337" s="29"/>
      <c r="Y337" s="29"/>
      <c r="AA337" s="18"/>
      <c r="AC337" s="31"/>
      <c r="AE337" s="18"/>
      <c r="AG337" s="29"/>
    </row>
    <row r="338" spans="1:33">
      <c r="A338" s="29"/>
      <c r="B338" s="29"/>
      <c r="D338" s="29"/>
      <c r="E338" s="30"/>
      <c r="F338" s="30"/>
      <c r="X338" s="29"/>
      <c r="Y338" s="29"/>
      <c r="AA338" s="18"/>
      <c r="AC338" s="31"/>
      <c r="AE338" s="18"/>
      <c r="AG338" s="29"/>
    </row>
    <row r="339" spans="1:33">
      <c r="A339" s="29"/>
      <c r="B339" s="29"/>
      <c r="D339" s="29"/>
      <c r="E339" s="30"/>
      <c r="F339" s="30"/>
      <c r="X339" s="29"/>
      <c r="Y339" s="29"/>
      <c r="AA339" s="18"/>
      <c r="AC339" s="31"/>
      <c r="AE339" s="18"/>
      <c r="AG339" s="29"/>
    </row>
    <row r="340" spans="1:33">
      <c r="A340" s="29"/>
      <c r="B340" s="29"/>
      <c r="D340" s="29"/>
      <c r="E340" s="30"/>
      <c r="F340" s="30"/>
      <c r="X340" s="29"/>
      <c r="Y340" s="29"/>
      <c r="AA340" s="18"/>
      <c r="AC340" s="31"/>
      <c r="AE340" s="18"/>
      <c r="AG340" s="29"/>
    </row>
    <row r="341" spans="1:33">
      <c r="A341" s="29"/>
      <c r="B341" s="29"/>
      <c r="D341" s="29"/>
      <c r="E341" s="30"/>
      <c r="F341" s="30"/>
      <c r="X341" s="29"/>
      <c r="Y341" s="29"/>
      <c r="AA341" s="18"/>
      <c r="AC341" s="31"/>
      <c r="AE341" s="18"/>
      <c r="AG341" s="29"/>
    </row>
    <row r="342" spans="1:33">
      <c r="A342" s="29"/>
      <c r="B342" s="29"/>
      <c r="D342" s="29"/>
      <c r="E342" s="30"/>
      <c r="F342" s="30"/>
      <c r="X342" s="29"/>
      <c r="Y342" s="29"/>
      <c r="AA342" s="18"/>
      <c r="AC342" s="31"/>
      <c r="AE342" s="18"/>
      <c r="AG342" s="29"/>
    </row>
    <row r="343" spans="1:33">
      <c r="A343" s="29"/>
      <c r="B343" s="29"/>
      <c r="D343" s="29"/>
      <c r="E343" s="30"/>
      <c r="F343" s="30"/>
      <c r="X343" s="29"/>
      <c r="Y343" s="29"/>
      <c r="AA343" s="18"/>
      <c r="AC343" s="31"/>
      <c r="AE343" s="18"/>
      <c r="AG343" s="29"/>
    </row>
    <row r="344" spans="1:33">
      <c r="A344" s="29"/>
      <c r="B344" s="29"/>
      <c r="D344" s="29"/>
      <c r="E344" s="30"/>
      <c r="F344" s="30"/>
      <c r="X344" s="29"/>
      <c r="Y344" s="29"/>
      <c r="AA344" s="18"/>
      <c r="AC344" s="31"/>
      <c r="AE344" s="18"/>
      <c r="AG344" s="29"/>
    </row>
    <row r="345" spans="1:33">
      <c r="A345" s="29"/>
      <c r="B345" s="29"/>
      <c r="D345" s="29"/>
      <c r="E345" s="30"/>
      <c r="F345" s="30"/>
      <c r="X345" s="29"/>
      <c r="Y345" s="29"/>
      <c r="AA345" s="18"/>
      <c r="AC345" s="31"/>
      <c r="AE345" s="18"/>
      <c r="AG345" s="29"/>
    </row>
    <row r="346" spans="1:33">
      <c r="A346" s="29"/>
      <c r="B346" s="29"/>
      <c r="D346" s="29"/>
      <c r="E346" s="30"/>
      <c r="F346" s="30"/>
      <c r="X346" s="29"/>
      <c r="Y346" s="29"/>
      <c r="AA346" s="18"/>
      <c r="AC346" s="31"/>
      <c r="AE346" s="18"/>
      <c r="AG346" s="29"/>
    </row>
    <row r="347" spans="1:33">
      <c r="A347" s="29"/>
      <c r="B347" s="29"/>
      <c r="D347" s="29"/>
      <c r="E347" s="30"/>
      <c r="F347" s="30"/>
      <c r="X347" s="29"/>
      <c r="Y347" s="29"/>
      <c r="AA347" s="18"/>
      <c r="AC347" s="31"/>
      <c r="AE347" s="18"/>
      <c r="AG347" s="29"/>
    </row>
    <row r="348" spans="1:33">
      <c r="A348" s="29"/>
      <c r="B348" s="29"/>
      <c r="D348" s="29"/>
      <c r="E348" s="30"/>
      <c r="F348" s="30"/>
      <c r="X348" s="29"/>
      <c r="Y348" s="29"/>
      <c r="AA348" s="18"/>
      <c r="AC348" s="31"/>
      <c r="AE348" s="18"/>
      <c r="AG348" s="29"/>
    </row>
    <row r="349" spans="1:33">
      <c r="A349" s="29"/>
      <c r="B349" s="29"/>
      <c r="D349" s="29"/>
      <c r="E349" s="30"/>
      <c r="F349" s="30"/>
      <c r="X349" s="29"/>
      <c r="Y349" s="29"/>
      <c r="AA349" s="18"/>
      <c r="AC349" s="31"/>
      <c r="AE349" s="18"/>
      <c r="AG349" s="29"/>
    </row>
    <row r="350" spans="1:33">
      <c r="A350" s="29"/>
      <c r="B350" s="29"/>
      <c r="D350" s="29"/>
      <c r="E350" s="30"/>
      <c r="F350" s="30"/>
      <c r="X350" s="29"/>
      <c r="Y350" s="29"/>
      <c r="AA350" s="18"/>
      <c r="AC350" s="31"/>
      <c r="AE350" s="18"/>
      <c r="AG350" s="29"/>
    </row>
    <row r="351" spans="1:33">
      <c r="A351" s="29"/>
      <c r="B351" s="29"/>
      <c r="D351" s="29"/>
      <c r="E351" s="30"/>
      <c r="F351" s="30"/>
      <c r="X351" s="29"/>
      <c r="Y351" s="29"/>
      <c r="AA351" s="18"/>
      <c r="AC351" s="31"/>
      <c r="AE351" s="18"/>
      <c r="AG351" s="29"/>
    </row>
    <row r="352" spans="1:33">
      <c r="A352" s="29"/>
      <c r="B352" s="29"/>
      <c r="D352" s="29"/>
      <c r="E352" s="30"/>
      <c r="F352" s="30"/>
      <c r="X352" s="29"/>
      <c r="Y352" s="29"/>
      <c r="AA352" s="18"/>
      <c r="AC352" s="31"/>
      <c r="AE352" s="18"/>
      <c r="AG352" s="29"/>
    </row>
    <row r="353" spans="1:33">
      <c r="A353" s="29"/>
      <c r="B353" s="29"/>
      <c r="D353" s="29"/>
      <c r="E353" s="30"/>
      <c r="F353" s="30"/>
      <c r="X353" s="29"/>
      <c r="Y353" s="29"/>
      <c r="AA353" s="18"/>
      <c r="AC353" s="31"/>
      <c r="AE353" s="18"/>
      <c r="AG353" s="29"/>
    </row>
    <row r="354" spans="1:33">
      <c r="A354" s="29"/>
      <c r="B354" s="29"/>
      <c r="D354" s="29"/>
      <c r="E354" s="30"/>
      <c r="F354" s="30"/>
      <c r="X354" s="29"/>
      <c r="Y354" s="29"/>
      <c r="AA354" s="18"/>
      <c r="AC354" s="31"/>
      <c r="AE354" s="18"/>
      <c r="AG354" s="29"/>
    </row>
    <row r="355" spans="1:33">
      <c r="A355" s="29"/>
      <c r="B355" s="29"/>
      <c r="D355" s="29"/>
      <c r="E355" s="30"/>
      <c r="F355" s="30"/>
      <c r="X355" s="29"/>
      <c r="Y355" s="29"/>
      <c r="AA355" s="18"/>
      <c r="AC355" s="31"/>
      <c r="AE355" s="18"/>
      <c r="AG355" s="29"/>
    </row>
    <row r="356" spans="1:33">
      <c r="A356" s="29"/>
      <c r="B356" s="29"/>
      <c r="D356" s="29"/>
      <c r="E356" s="30"/>
      <c r="F356" s="30"/>
      <c r="X356" s="29"/>
      <c r="Y356" s="29"/>
      <c r="AA356" s="18"/>
      <c r="AC356" s="31"/>
      <c r="AE356" s="18"/>
      <c r="AG356" s="29"/>
    </row>
    <row r="357" spans="1:33">
      <c r="A357" s="29"/>
      <c r="B357" s="29"/>
      <c r="D357" s="29"/>
      <c r="E357" s="30"/>
      <c r="F357" s="30"/>
      <c r="X357" s="29"/>
      <c r="Y357" s="29"/>
      <c r="AA357" s="18"/>
      <c r="AC357" s="31"/>
      <c r="AE357" s="18"/>
      <c r="AG357" s="29"/>
    </row>
    <row r="358" spans="1:33">
      <c r="A358" s="29"/>
      <c r="B358" s="29"/>
      <c r="D358" s="29"/>
      <c r="E358" s="30"/>
      <c r="F358" s="30"/>
      <c r="X358" s="29"/>
      <c r="Y358" s="29"/>
      <c r="AA358" s="18"/>
      <c r="AC358" s="31"/>
      <c r="AE358" s="18"/>
      <c r="AG358" s="29"/>
    </row>
    <row r="359" spans="1:33">
      <c r="A359" s="29"/>
      <c r="B359" s="29"/>
      <c r="D359" s="29"/>
      <c r="E359" s="30"/>
      <c r="F359" s="30"/>
      <c r="X359" s="29"/>
      <c r="Y359" s="29"/>
      <c r="AA359" s="18"/>
      <c r="AC359" s="31"/>
      <c r="AE359" s="18"/>
      <c r="AG359" s="29"/>
    </row>
    <row r="360" spans="1:33">
      <c r="A360" s="29"/>
      <c r="B360" s="29"/>
      <c r="D360" s="29"/>
      <c r="E360" s="30"/>
      <c r="F360" s="30"/>
      <c r="X360" s="29"/>
      <c r="Y360" s="29"/>
      <c r="AA360" s="18"/>
      <c r="AC360" s="31"/>
      <c r="AE360" s="18"/>
      <c r="AG360" s="29"/>
    </row>
    <row r="361" spans="1:33">
      <c r="A361" s="29"/>
      <c r="B361" s="29"/>
      <c r="D361" s="29"/>
      <c r="E361" s="30"/>
      <c r="F361" s="30"/>
      <c r="X361" s="29"/>
      <c r="Y361" s="29"/>
      <c r="AA361" s="18"/>
      <c r="AC361" s="30"/>
      <c r="AE361" s="18"/>
      <c r="AG361" s="29"/>
    </row>
    <row r="362" spans="1:33">
      <c r="A362" s="29"/>
      <c r="B362" s="29"/>
      <c r="D362" s="29"/>
      <c r="E362" s="30"/>
      <c r="F362" s="30"/>
      <c r="X362" s="29"/>
      <c r="Y362" s="29"/>
      <c r="AA362" s="18"/>
      <c r="AC362" s="30"/>
      <c r="AE362" s="18"/>
      <c r="AG362" s="29"/>
    </row>
    <row r="363" spans="1:33">
      <c r="A363" s="29"/>
      <c r="B363" s="29"/>
      <c r="D363" s="29"/>
      <c r="E363" s="30"/>
      <c r="F363" s="30"/>
      <c r="X363" s="29"/>
      <c r="Y363" s="29"/>
      <c r="AA363" s="18"/>
      <c r="AC363" s="30"/>
      <c r="AE363" s="18"/>
      <c r="AG363" s="29"/>
    </row>
    <row r="364" spans="1:33">
      <c r="A364" s="29"/>
      <c r="B364" s="29"/>
      <c r="D364" s="29"/>
      <c r="E364" s="30"/>
      <c r="F364" s="30"/>
      <c r="X364" s="29"/>
      <c r="Y364" s="29"/>
      <c r="AA364" s="18"/>
      <c r="AC364" s="30"/>
      <c r="AE364" s="18"/>
      <c r="AG364" s="29"/>
    </row>
    <row r="365" spans="1:33">
      <c r="A365" s="29"/>
      <c r="B365" s="29"/>
      <c r="D365" s="29"/>
      <c r="E365" s="30"/>
      <c r="F365" s="30"/>
      <c r="X365" s="29"/>
      <c r="Y365" s="29"/>
      <c r="AA365" s="18"/>
      <c r="AC365" s="30"/>
      <c r="AE365" s="18"/>
      <c r="AG365" s="29"/>
    </row>
    <row r="366" spans="1:33">
      <c r="A366" s="29"/>
      <c r="B366" s="29"/>
      <c r="D366" s="29"/>
      <c r="E366" s="30"/>
      <c r="F366" s="30"/>
      <c r="X366" s="29"/>
      <c r="Y366" s="29"/>
      <c r="AA366" s="18"/>
      <c r="AC366" s="31"/>
      <c r="AE366" s="18"/>
      <c r="AG366" s="29"/>
    </row>
    <row r="367" spans="1:33">
      <c r="A367" s="29"/>
      <c r="B367" s="29"/>
      <c r="D367" s="29"/>
      <c r="E367" s="30"/>
      <c r="F367" s="30"/>
      <c r="X367" s="29"/>
      <c r="Y367" s="29"/>
      <c r="AA367" s="18"/>
      <c r="AC367" s="31"/>
      <c r="AE367" s="18"/>
      <c r="AG367" s="29"/>
    </row>
    <row r="368" spans="1:33">
      <c r="A368" s="29"/>
      <c r="B368" s="29"/>
      <c r="D368" s="29"/>
      <c r="E368" s="30"/>
      <c r="F368" s="30"/>
      <c r="X368" s="29"/>
      <c r="Y368" s="29"/>
      <c r="AA368" s="18"/>
      <c r="AC368" s="31"/>
      <c r="AE368" s="18"/>
      <c r="AG368" s="29"/>
    </row>
    <row r="369" spans="1:33">
      <c r="A369" s="29"/>
      <c r="B369" s="29"/>
      <c r="D369" s="29"/>
      <c r="E369" s="30"/>
      <c r="F369" s="30"/>
      <c r="X369" s="29"/>
      <c r="Y369" s="29"/>
      <c r="AA369" s="18"/>
      <c r="AC369" s="31"/>
      <c r="AE369" s="18"/>
      <c r="AG369" s="29"/>
    </row>
    <row r="370" spans="1:33">
      <c r="A370" s="29"/>
      <c r="B370" s="29"/>
      <c r="D370" s="29"/>
      <c r="E370" s="30"/>
      <c r="F370" s="30"/>
      <c r="X370" s="29"/>
      <c r="Y370" s="29"/>
      <c r="AA370" s="18"/>
      <c r="AC370" s="31"/>
      <c r="AE370" s="18"/>
      <c r="AG370" s="29"/>
    </row>
    <row r="371" spans="1:33">
      <c r="A371" s="29"/>
      <c r="B371" s="29"/>
      <c r="D371" s="29"/>
      <c r="E371" s="30"/>
      <c r="F371" s="30"/>
      <c r="X371" s="29"/>
      <c r="Y371" s="29"/>
      <c r="AA371" s="18"/>
      <c r="AC371" s="31"/>
      <c r="AE371" s="18"/>
      <c r="AG371" s="29"/>
    </row>
    <row r="372" spans="1:33">
      <c r="A372" s="29"/>
      <c r="B372" s="29"/>
      <c r="D372" s="29"/>
      <c r="E372" s="30"/>
      <c r="F372" s="30"/>
      <c r="X372" s="29"/>
      <c r="Y372" s="29"/>
      <c r="AA372" s="18"/>
      <c r="AC372" s="30"/>
      <c r="AE372" s="18"/>
      <c r="AG372" s="29"/>
    </row>
    <row r="373" spans="1:33">
      <c r="A373" s="29"/>
      <c r="B373" s="29"/>
      <c r="D373" s="29"/>
      <c r="E373" s="30"/>
      <c r="F373" s="30"/>
      <c r="X373" s="29"/>
      <c r="Y373" s="29"/>
      <c r="AA373" s="18"/>
      <c r="AC373" s="31"/>
      <c r="AE373" s="18"/>
      <c r="AG373" s="29"/>
    </row>
    <row r="374" spans="1:33">
      <c r="A374" s="29"/>
      <c r="B374" s="29"/>
      <c r="D374" s="29"/>
      <c r="E374" s="30"/>
      <c r="F374" s="30"/>
      <c r="X374" s="29"/>
      <c r="Y374" s="29"/>
      <c r="AA374" s="18"/>
      <c r="AC374" s="30"/>
      <c r="AE374" s="18"/>
      <c r="AG374" s="29"/>
    </row>
    <row r="375" spans="1:33">
      <c r="A375" s="29"/>
      <c r="B375" s="29"/>
      <c r="D375" s="29"/>
      <c r="E375" s="30"/>
      <c r="F375" s="30"/>
      <c r="X375" s="29"/>
      <c r="Y375" s="29"/>
      <c r="AA375" s="18"/>
      <c r="AC375" s="31"/>
      <c r="AE375" s="18"/>
      <c r="AG375" s="29"/>
    </row>
    <row r="376" spans="1:33">
      <c r="A376" s="29"/>
      <c r="B376" s="29"/>
      <c r="D376" s="29"/>
      <c r="E376" s="30"/>
      <c r="F376" s="30"/>
      <c r="X376" s="29"/>
      <c r="Y376" s="29"/>
      <c r="AA376" s="18"/>
      <c r="AC376" s="30"/>
      <c r="AE376" s="18"/>
      <c r="AG376" s="29"/>
    </row>
    <row r="377" spans="1:33">
      <c r="A377" s="29"/>
      <c r="B377" s="29"/>
      <c r="D377" s="29"/>
      <c r="E377" s="30"/>
      <c r="F377" s="30"/>
      <c r="X377" s="29"/>
      <c r="Y377" s="29"/>
      <c r="AA377" s="18"/>
      <c r="AC377" s="31"/>
      <c r="AE377" s="18"/>
      <c r="AG377" s="29"/>
    </row>
    <row r="378" spans="1:33">
      <c r="A378" s="29"/>
      <c r="B378" s="29"/>
      <c r="D378" s="29"/>
      <c r="E378" s="30"/>
      <c r="F378" s="30"/>
      <c r="X378" s="29"/>
      <c r="Y378" s="29"/>
      <c r="AA378" s="18"/>
      <c r="AC378" s="31"/>
      <c r="AE378" s="18"/>
      <c r="AG378" s="29"/>
    </row>
    <row r="379" spans="1:33">
      <c r="A379" s="29"/>
      <c r="B379" s="29"/>
      <c r="D379" s="29"/>
      <c r="E379" s="30"/>
      <c r="F379" s="30"/>
      <c r="X379" s="29"/>
      <c r="Y379" s="29"/>
      <c r="AA379" s="18"/>
      <c r="AC379" s="30"/>
      <c r="AE379" s="18"/>
      <c r="AG379" s="29"/>
    </row>
    <row r="380" spans="1:33">
      <c r="A380" s="29"/>
      <c r="B380" s="29"/>
      <c r="D380" s="29"/>
      <c r="E380" s="30"/>
      <c r="F380" s="30"/>
      <c r="X380" s="29"/>
      <c r="Y380" s="29"/>
      <c r="AA380" s="18"/>
      <c r="AC380" s="30"/>
      <c r="AE380" s="18"/>
      <c r="AG380" s="29"/>
    </row>
    <row r="381" spans="1:33">
      <c r="A381" s="29"/>
      <c r="B381" s="29"/>
      <c r="D381" s="29"/>
      <c r="E381" s="30"/>
      <c r="F381" s="30"/>
      <c r="X381" s="29"/>
      <c r="Y381" s="29"/>
      <c r="AA381" s="18"/>
      <c r="AC381" s="31"/>
      <c r="AE381" s="18"/>
      <c r="AG381" s="29"/>
    </row>
    <row r="382" spans="1:33">
      <c r="A382" s="29"/>
      <c r="B382" s="29"/>
      <c r="D382" s="29"/>
      <c r="E382" s="30"/>
      <c r="F382" s="30"/>
      <c r="X382" s="29"/>
      <c r="Y382" s="29"/>
      <c r="AA382" s="18"/>
      <c r="AC382" s="31"/>
      <c r="AE382" s="18"/>
      <c r="AG382" s="29"/>
    </row>
    <row r="383" spans="1:33">
      <c r="A383" s="29"/>
      <c r="B383" s="29"/>
      <c r="D383" s="29"/>
      <c r="E383" s="30"/>
      <c r="F383" s="30"/>
      <c r="X383" s="29"/>
      <c r="Y383" s="29"/>
      <c r="AA383" s="18"/>
      <c r="AC383" s="31"/>
      <c r="AE383" s="18"/>
      <c r="AG383" s="29"/>
    </row>
    <row r="384" spans="1:33">
      <c r="A384" s="29"/>
      <c r="B384" s="29"/>
      <c r="D384" s="29"/>
      <c r="E384" s="30"/>
      <c r="F384" s="30"/>
      <c r="X384" s="29"/>
      <c r="Y384" s="29"/>
      <c r="AA384" s="18"/>
      <c r="AC384" s="31"/>
      <c r="AE384" s="18"/>
      <c r="AG384" s="29"/>
    </row>
    <row r="385" spans="1:33">
      <c r="A385" s="29"/>
      <c r="B385" s="29"/>
      <c r="D385" s="29"/>
      <c r="E385" s="30"/>
      <c r="F385" s="30"/>
      <c r="X385" s="29"/>
      <c r="Y385" s="29"/>
      <c r="AA385" s="18"/>
      <c r="AC385" s="31"/>
      <c r="AE385" s="18"/>
      <c r="AG385" s="29"/>
    </row>
    <row r="386" spans="1:33">
      <c r="A386" s="29"/>
      <c r="B386" s="29"/>
      <c r="D386" s="29"/>
      <c r="E386" s="30"/>
      <c r="F386" s="30"/>
      <c r="X386" s="29"/>
      <c r="Y386" s="29"/>
      <c r="AA386" s="18"/>
      <c r="AC386" s="31"/>
      <c r="AE386" s="18"/>
      <c r="AG386" s="29"/>
    </row>
    <row r="387" spans="1:33">
      <c r="A387" s="29"/>
      <c r="B387" s="29"/>
      <c r="D387" s="29"/>
      <c r="E387" s="30"/>
      <c r="F387" s="30"/>
      <c r="X387" s="29"/>
      <c r="Y387" s="29"/>
      <c r="AA387" s="18"/>
      <c r="AC387" s="31"/>
      <c r="AE387" s="18"/>
      <c r="AG387" s="29"/>
    </row>
    <row r="388" spans="1:33">
      <c r="A388" s="29"/>
      <c r="B388" s="29"/>
      <c r="D388" s="29"/>
      <c r="E388" s="30"/>
      <c r="F388" s="30"/>
      <c r="X388" s="29"/>
      <c r="Y388" s="29"/>
      <c r="AA388" s="18"/>
      <c r="AC388" s="31"/>
      <c r="AE388" s="18"/>
      <c r="AG388" s="29"/>
    </row>
    <row r="389" spans="1:33">
      <c r="A389" s="29"/>
      <c r="B389" s="29"/>
      <c r="D389" s="29"/>
      <c r="E389" s="30"/>
      <c r="F389" s="30"/>
      <c r="X389" s="29"/>
      <c r="Y389" s="29"/>
      <c r="AA389" s="18"/>
      <c r="AC389" s="31"/>
      <c r="AE389" s="18"/>
      <c r="AG389" s="29"/>
    </row>
    <row r="390" spans="1:33">
      <c r="A390" s="29"/>
      <c r="B390" s="29"/>
      <c r="D390" s="29"/>
      <c r="E390" s="30"/>
      <c r="F390" s="30"/>
      <c r="X390" s="29"/>
      <c r="Y390" s="29"/>
      <c r="AA390" s="18"/>
      <c r="AC390" s="31"/>
      <c r="AE390" s="18"/>
      <c r="AG390" s="29"/>
    </row>
    <row r="391" spans="1:33">
      <c r="A391" s="29"/>
      <c r="B391" s="29"/>
      <c r="D391" s="29"/>
      <c r="E391" s="30"/>
      <c r="F391" s="30"/>
      <c r="X391" s="29"/>
      <c r="Y391" s="29"/>
      <c r="AA391" s="18"/>
      <c r="AC391" s="31"/>
      <c r="AE391" s="18"/>
      <c r="AG391" s="29"/>
    </row>
    <row r="392" spans="1:33">
      <c r="A392" s="29"/>
      <c r="B392" s="29"/>
      <c r="D392" s="29"/>
      <c r="E392" s="30"/>
      <c r="F392" s="30"/>
      <c r="X392" s="29"/>
      <c r="Y392" s="29"/>
      <c r="AA392" s="18"/>
      <c r="AC392" s="31"/>
      <c r="AE392" s="18"/>
      <c r="AG392" s="29"/>
    </row>
    <row r="393" spans="1:33">
      <c r="A393" s="29"/>
      <c r="B393" s="29"/>
      <c r="D393" s="29"/>
      <c r="E393" s="30"/>
      <c r="F393" s="30"/>
      <c r="X393" s="29"/>
      <c r="Y393" s="29"/>
      <c r="AA393" s="18"/>
      <c r="AC393" s="31"/>
      <c r="AE393" s="18"/>
      <c r="AG393" s="29"/>
    </row>
    <row r="394" spans="1:33">
      <c r="A394" s="29"/>
      <c r="B394" s="29"/>
      <c r="D394" s="29"/>
      <c r="E394" s="30"/>
      <c r="F394" s="30"/>
      <c r="X394" s="29"/>
      <c r="Y394" s="29"/>
      <c r="AA394" s="18"/>
      <c r="AC394" s="30"/>
      <c r="AE394" s="18"/>
      <c r="AG394" s="29"/>
    </row>
    <row r="395" spans="1:33">
      <c r="A395" s="29"/>
      <c r="B395" s="29"/>
      <c r="D395" s="29"/>
      <c r="E395" s="30"/>
      <c r="F395" s="30"/>
      <c r="X395" s="29"/>
      <c r="Y395" s="29"/>
      <c r="AA395" s="18"/>
      <c r="AC395" s="31"/>
      <c r="AE395" s="18"/>
      <c r="AG395" s="29"/>
    </row>
    <row r="396" spans="1:33">
      <c r="A396" s="29"/>
      <c r="B396" s="29"/>
      <c r="D396" s="29"/>
      <c r="E396" s="30"/>
      <c r="F396" s="30"/>
      <c r="X396" s="29"/>
      <c r="Y396" s="29"/>
      <c r="AA396" s="18"/>
      <c r="AC396" s="31"/>
      <c r="AE396" s="18"/>
      <c r="AG396" s="29"/>
    </row>
    <row r="397" spans="1:33">
      <c r="A397" s="29"/>
      <c r="B397" s="29"/>
      <c r="D397" s="29"/>
      <c r="E397" s="30"/>
      <c r="F397" s="30"/>
      <c r="X397" s="29"/>
      <c r="Y397" s="29"/>
      <c r="AA397" s="18"/>
      <c r="AC397" s="30"/>
      <c r="AE397" s="18"/>
      <c r="AG397" s="29"/>
    </row>
    <row r="398" spans="1:33">
      <c r="A398" s="29"/>
      <c r="B398" s="29"/>
      <c r="D398" s="29"/>
      <c r="E398" s="30"/>
      <c r="F398" s="30"/>
      <c r="X398" s="29"/>
      <c r="Y398" s="29"/>
      <c r="AA398" s="18"/>
      <c r="AC398" s="31"/>
      <c r="AE398" s="18"/>
      <c r="AG398" s="29"/>
    </row>
    <row r="399" spans="1:33">
      <c r="A399" s="29"/>
      <c r="B399" s="29"/>
      <c r="D399" s="29"/>
      <c r="E399" s="30"/>
      <c r="F399" s="30"/>
      <c r="X399" s="29"/>
      <c r="Y399" s="29"/>
      <c r="AA399" s="18"/>
      <c r="AC399" s="31"/>
      <c r="AE399" s="18"/>
      <c r="AG399" s="29"/>
    </row>
    <row r="400" spans="1:33">
      <c r="A400" s="29"/>
      <c r="B400" s="29"/>
      <c r="D400" s="29"/>
      <c r="E400" s="30"/>
      <c r="F400" s="30"/>
      <c r="X400" s="29"/>
      <c r="Y400" s="29"/>
      <c r="AA400" s="18"/>
      <c r="AC400" s="31"/>
      <c r="AE400" s="18"/>
      <c r="AG400" s="29"/>
    </row>
    <row r="401" spans="1:33">
      <c r="A401" s="29"/>
      <c r="B401" s="29"/>
      <c r="D401" s="29"/>
      <c r="E401" s="30"/>
      <c r="F401" s="30"/>
      <c r="X401" s="29"/>
      <c r="Y401" s="29"/>
      <c r="AA401" s="18"/>
      <c r="AC401" s="31"/>
      <c r="AE401" s="18"/>
      <c r="AG401" s="29"/>
    </row>
    <row r="402" spans="1:33">
      <c r="A402" s="29"/>
      <c r="B402" s="29"/>
      <c r="D402" s="29"/>
      <c r="E402" s="30"/>
      <c r="F402" s="30"/>
      <c r="X402" s="29"/>
      <c r="Y402" s="29"/>
      <c r="AA402" s="18"/>
      <c r="AC402" s="31"/>
      <c r="AE402" s="18"/>
      <c r="AG402" s="29"/>
    </row>
    <row r="403" spans="1:33">
      <c r="A403" s="29"/>
      <c r="B403" s="29"/>
      <c r="D403" s="29"/>
      <c r="E403" s="30"/>
      <c r="F403" s="30"/>
      <c r="X403" s="29"/>
      <c r="Y403" s="29"/>
      <c r="AA403" s="18"/>
      <c r="AC403" s="31"/>
      <c r="AE403" s="18"/>
      <c r="AG403" s="29"/>
    </row>
    <row r="404" spans="1:33">
      <c r="A404" s="29"/>
      <c r="B404" s="29"/>
      <c r="D404" s="29"/>
      <c r="E404" s="30"/>
      <c r="F404" s="30"/>
      <c r="X404" s="29"/>
      <c r="Y404" s="29"/>
      <c r="AA404" s="18"/>
      <c r="AC404" s="31"/>
      <c r="AE404" s="18"/>
      <c r="AG404" s="29"/>
    </row>
    <row r="405" spans="1:33">
      <c r="A405" s="29"/>
      <c r="B405" s="29"/>
      <c r="D405" s="29"/>
      <c r="E405" s="30"/>
      <c r="F405" s="30"/>
      <c r="X405" s="29"/>
      <c r="Y405" s="29"/>
      <c r="AA405" s="18"/>
      <c r="AC405" s="31"/>
      <c r="AE405" s="18"/>
      <c r="AG405" s="29"/>
    </row>
    <row r="406" spans="1:33">
      <c r="A406" s="29"/>
      <c r="B406" s="29"/>
      <c r="D406" s="29"/>
      <c r="E406" s="30"/>
      <c r="F406" s="30"/>
      <c r="X406" s="29"/>
      <c r="Y406" s="29"/>
      <c r="AA406" s="18"/>
      <c r="AC406" s="31"/>
      <c r="AE406" s="18"/>
      <c r="AG406" s="29"/>
    </row>
    <row r="407" spans="1:33">
      <c r="A407" s="29"/>
      <c r="B407" s="29"/>
      <c r="D407" s="29"/>
      <c r="E407" s="30"/>
      <c r="F407" s="30"/>
      <c r="X407" s="29"/>
      <c r="Y407" s="29"/>
      <c r="AA407" s="18"/>
      <c r="AC407" s="31"/>
      <c r="AE407" s="18"/>
      <c r="AG407" s="29"/>
    </row>
    <row r="408" spans="1:33">
      <c r="A408" s="29"/>
      <c r="B408" s="29"/>
      <c r="D408" s="29"/>
      <c r="E408" s="30"/>
      <c r="F408" s="30"/>
      <c r="X408" s="29"/>
      <c r="Y408" s="29"/>
      <c r="AA408" s="18"/>
      <c r="AC408" s="31"/>
      <c r="AE408" s="18"/>
      <c r="AG408" s="29"/>
    </row>
    <row r="409" spans="1:33">
      <c r="A409" s="29"/>
      <c r="B409" s="29"/>
      <c r="D409" s="29"/>
      <c r="E409" s="30"/>
      <c r="F409" s="30"/>
      <c r="X409" s="29"/>
      <c r="Y409" s="29"/>
      <c r="AA409" s="18"/>
      <c r="AC409" s="31"/>
      <c r="AE409" s="18"/>
      <c r="AG409" s="29"/>
    </row>
    <row r="410" spans="1:33">
      <c r="A410" s="29"/>
      <c r="B410" s="29"/>
      <c r="D410" s="29"/>
      <c r="E410" s="30"/>
      <c r="F410" s="30"/>
      <c r="X410" s="29"/>
      <c r="Y410" s="29"/>
      <c r="AA410" s="18"/>
      <c r="AC410" s="31"/>
      <c r="AE410" s="18"/>
      <c r="AG410" s="29"/>
    </row>
    <row r="411" spans="1:33">
      <c r="A411" s="29"/>
      <c r="B411" s="29"/>
      <c r="D411" s="29"/>
      <c r="E411" s="30"/>
      <c r="F411" s="30"/>
      <c r="X411" s="29"/>
      <c r="Y411" s="29"/>
      <c r="AA411" s="18"/>
      <c r="AC411" s="31"/>
      <c r="AE411" s="18"/>
      <c r="AG411" s="29"/>
    </row>
    <row r="412" spans="1:33">
      <c r="A412" s="29"/>
      <c r="B412" s="29"/>
      <c r="D412" s="29"/>
      <c r="E412" s="30"/>
      <c r="F412" s="30"/>
      <c r="X412" s="29"/>
      <c r="Y412" s="29"/>
      <c r="AA412" s="18"/>
      <c r="AC412" s="31"/>
      <c r="AE412" s="18"/>
      <c r="AG412" s="29"/>
    </row>
    <row r="413" spans="1:33">
      <c r="A413" s="29"/>
      <c r="B413" s="29"/>
      <c r="D413" s="29"/>
      <c r="E413" s="30"/>
      <c r="F413" s="30"/>
      <c r="X413" s="29"/>
      <c r="Y413" s="29"/>
      <c r="AA413" s="18"/>
      <c r="AC413" s="30"/>
      <c r="AE413" s="18"/>
      <c r="AG413" s="29"/>
    </row>
    <row r="414" spans="1:33">
      <c r="A414" s="29"/>
      <c r="B414" s="29"/>
      <c r="D414" s="29"/>
      <c r="E414" s="30"/>
      <c r="F414" s="30"/>
      <c r="X414" s="29"/>
      <c r="Y414" s="29"/>
      <c r="AA414" s="18"/>
      <c r="AC414" s="31"/>
      <c r="AE414" s="18"/>
      <c r="AG414" s="29"/>
    </row>
    <row r="415" spans="1:33">
      <c r="A415" s="29"/>
      <c r="B415" s="29"/>
      <c r="D415" s="29"/>
      <c r="E415" s="30"/>
      <c r="F415" s="30"/>
      <c r="X415" s="29"/>
      <c r="Y415" s="29"/>
      <c r="AA415" s="18"/>
      <c r="AC415" s="31"/>
      <c r="AE415" s="18"/>
      <c r="AG415" s="29"/>
    </row>
    <row r="416" spans="1:33">
      <c r="A416" s="29"/>
      <c r="B416" s="29"/>
      <c r="D416" s="29"/>
      <c r="E416" s="30"/>
      <c r="F416" s="30"/>
      <c r="X416" s="29"/>
      <c r="Y416" s="29"/>
      <c r="AA416" s="18"/>
      <c r="AC416" s="30"/>
      <c r="AE416" s="18"/>
      <c r="AG416" s="29"/>
    </row>
    <row r="417" spans="1:33">
      <c r="A417" s="29"/>
      <c r="B417" s="29"/>
      <c r="D417" s="29"/>
      <c r="E417" s="30"/>
      <c r="F417" s="30"/>
      <c r="X417" s="29"/>
      <c r="Y417" s="29"/>
      <c r="AA417" s="18"/>
      <c r="AC417" s="31"/>
      <c r="AE417" s="18"/>
      <c r="AG417" s="29"/>
    </row>
    <row r="418" spans="1:33">
      <c r="A418" s="29"/>
      <c r="B418" s="29"/>
      <c r="D418" s="29"/>
      <c r="E418" s="30"/>
      <c r="F418" s="30"/>
      <c r="X418" s="29"/>
      <c r="Y418" s="29"/>
      <c r="AA418" s="18"/>
      <c r="AC418" s="31"/>
      <c r="AE418" s="18"/>
      <c r="AG418" s="29"/>
    </row>
    <row r="419" spans="1:33">
      <c r="A419" s="29"/>
      <c r="B419" s="29"/>
      <c r="D419" s="29"/>
      <c r="E419" s="30"/>
      <c r="F419" s="30"/>
      <c r="X419" s="29"/>
      <c r="Y419" s="29"/>
      <c r="AA419" s="18"/>
      <c r="AC419" s="31"/>
      <c r="AE419" s="18"/>
      <c r="AG419" s="29"/>
    </row>
    <row r="420" spans="1:33">
      <c r="A420" s="29"/>
      <c r="B420" s="29"/>
      <c r="D420" s="29"/>
      <c r="E420" s="30"/>
      <c r="F420" s="30"/>
      <c r="X420" s="29"/>
      <c r="Y420" s="29"/>
      <c r="AA420" s="18"/>
      <c r="AC420" s="31"/>
      <c r="AE420" s="18"/>
      <c r="AG420" s="29"/>
    </row>
    <row r="421" spans="1:33">
      <c r="A421" s="29"/>
      <c r="B421" s="29"/>
      <c r="D421" s="29"/>
      <c r="E421" s="30"/>
      <c r="F421" s="30"/>
      <c r="X421" s="29"/>
      <c r="Y421" s="29"/>
      <c r="AA421" s="18"/>
      <c r="AC421" s="30"/>
      <c r="AE421" s="18"/>
      <c r="AG421" s="29"/>
    </row>
    <row r="422" spans="1:33">
      <c r="A422" s="29"/>
      <c r="B422" s="29"/>
      <c r="D422" s="29"/>
      <c r="E422" s="30"/>
      <c r="F422" s="30"/>
      <c r="X422" s="29"/>
      <c r="Y422" s="29"/>
      <c r="AA422" s="18"/>
      <c r="AC422" s="31"/>
      <c r="AE422" s="18"/>
      <c r="AG422" s="29"/>
    </row>
    <row r="423" spans="1:33">
      <c r="A423" s="29"/>
      <c r="B423" s="29"/>
      <c r="D423" s="29"/>
      <c r="E423" s="30"/>
      <c r="F423" s="30"/>
      <c r="X423" s="29"/>
      <c r="Y423" s="29"/>
      <c r="AA423" s="18"/>
      <c r="AC423" s="30"/>
      <c r="AE423" s="18"/>
      <c r="AG423" s="29"/>
    </row>
    <row r="424" spans="1:33">
      <c r="A424" s="29"/>
      <c r="B424" s="29"/>
      <c r="D424" s="29"/>
      <c r="E424" s="30"/>
      <c r="F424" s="30"/>
      <c r="X424" s="29"/>
      <c r="Y424" s="29"/>
      <c r="AA424" s="18"/>
      <c r="AC424" s="31"/>
      <c r="AE424" s="18"/>
      <c r="AG424" s="29"/>
    </row>
    <row r="425" spans="1:33">
      <c r="A425" s="29"/>
      <c r="B425" s="29"/>
      <c r="D425" s="29"/>
      <c r="E425" s="30"/>
      <c r="F425" s="30"/>
      <c r="X425" s="29"/>
      <c r="Y425" s="29"/>
      <c r="AA425" s="18"/>
      <c r="AC425" s="31"/>
      <c r="AE425" s="18"/>
      <c r="AG425" s="29"/>
    </row>
    <row r="426" spans="1:33">
      <c r="A426" s="29"/>
      <c r="B426" s="29"/>
      <c r="D426" s="29"/>
      <c r="E426" s="30"/>
      <c r="F426" s="30"/>
      <c r="X426" s="29"/>
      <c r="Y426" s="29"/>
      <c r="AA426" s="18"/>
      <c r="AC426" s="31"/>
      <c r="AE426" s="18"/>
      <c r="AG426" s="29"/>
    </row>
    <row r="427" spans="1:33">
      <c r="A427" s="29"/>
      <c r="B427" s="29"/>
      <c r="D427" s="29"/>
      <c r="E427" s="30"/>
      <c r="F427" s="30"/>
      <c r="X427" s="29"/>
      <c r="Y427" s="29"/>
      <c r="AA427" s="18"/>
      <c r="AC427" s="31"/>
      <c r="AE427" s="18"/>
      <c r="AG427" s="29"/>
    </row>
    <row r="428" spans="1:33">
      <c r="A428" s="29"/>
      <c r="B428" s="29"/>
      <c r="D428" s="29"/>
      <c r="E428" s="30"/>
      <c r="F428" s="30"/>
      <c r="X428" s="29"/>
      <c r="Y428" s="29"/>
      <c r="AA428" s="18"/>
      <c r="AC428" s="31"/>
      <c r="AE428" s="18"/>
      <c r="AG428" s="29"/>
    </row>
    <row r="429" spans="1:33">
      <c r="A429" s="29"/>
      <c r="B429" s="29"/>
      <c r="D429" s="29"/>
      <c r="E429" s="30"/>
      <c r="F429" s="30"/>
      <c r="X429" s="29"/>
      <c r="Y429" s="29"/>
      <c r="AA429" s="18"/>
      <c r="AC429" s="31"/>
      <c r="AE429" s="18"/>
      <c r="AG429" s="29"/>
    </row>
    <row r="430" spans="1:33">
      <c r="A430" s="29"/>
      <c r="B430" s="29"/>
      <c r="D430" s="29"/>
      <c r="E430" s="30"/>
      <c r="F430" s="30"/>
      <c r="X430" s="29"/>
      <c r="Y430" s="29"/>
      <c r="AA430" s="18"/>
      <c r="AC430" s="30"/>
      <c r="AE430" s="18"/>
      <c r="AG430" s="29"/>
    </row>
    <row r="431" spans="1:33">
      <c r="A431" s="29"/>
      <c r="B431" s="29"/>
      <c r="D431" s="29"/>
      <c r="E431" s="30"/>
      <c r="F431" s="30"/>
      <c r="X431" s="29"/>
      <c r="Y431" s="29"/>
      <c r="AA431" s="18"/>
      <c r="AC431" s="30"/>
      <c r="AE431" s="18"/>
      <c r="AG431" s="29"/>
    </row>
    <row r="432" spans="1:33">
      <c r="A432" s="29"/>
      <c r="B432" s="29"/>
      <c r="D432" s="29"/>
      <c r="E432" s="30"/>
      <c r="F432" s="30"/>
      <c r="X432" s="29"/>
      <c r="Y432" s="29"/>
      <c r="AA432" s="18"/>
      <c r="AC432" s="31"/>
      <c r="AE432" s="18"/>
      <c r="AG432" s="29"/>
    </row>
    <row r="433" spans="1:33">
      <c r="A433" s="29"/>
      <c r="B433" s="29"/>
      <c r="D433" s="29"/>
      <c r="E433" s="30"/>
      <c r="F433" s="30"/>
      <c r="X433" s="29"/>
      <c r="Y433" s="29"/>
      <c r="AA433" s="18"/>
      <c r="AC433" s="31"/>
      <c r="AE433" s="18"/>
      <c r="AG433" s="29"/>
    </row>
    <row r="434" spans="1:33">
      <c r="A434" s="29"/>
      <c r="B434" s="29"/>
      <c r="D434" s="29"/>
      <c r="E434" s="30"/>
      <c r="F434" s="30"/>
      <c r="X434" s="29"/>
      <c r="Y434" s="29"/>
      <c r="AA434" s="18"/>
      <c r="AC434" s="31"/>
      <c r="AE434" s="18"/>
      <c r="AG434" s="29"/>
    </row>
    <row r="435" spans="1:33">
      <c r="A435" s="29"/>
      <c r="B435" s="29"/>
      <c r="D435" s="29"/>
      <c r="E435" s="30"/>
      <c r="F435" s="30"/>
      <c r="X435" s="29"/>
      <c r="Y435" s="29"/>
      <c r="AA435" s="18"/>
      <c r="AC435" s="31"/>
      <c r="AE435" s="18"/>
      <c r="AG435" s="29"/>
    </row>
    <row r="436" spans="1:33">
      <c r="A436" s="29"/>
      <c r="B436" s="29"/>
      <c r="D436" s="29"/>
      <c r="E436" s="30"/>
      <c r="F436" s="30"/>
      <c r="X436" s="29"/>
      <c r="Y436" s="29"/>
      <c r="AA436" s="18"/>
      <c r="AC436" s="31"/>
      <c r="AE436" s="18"/>
      <c r="AG436" s="29"/>
    </row>
    <row r="437" spans="1:33">
      <c r="A437" s="29"/>
      <c r="B437" s="29"/>
      <c r="D437" s="29"/>
      <c r="E437" s="30"/>
      <c r="F437" s="30"/>
      <c r="X437" s="29"/>
      <c r="Y437" s="29"/>
      <c r="AA437" s="18"/>
      <c r="AC437" s="30"/>
      <c r="AE437" s="18"/>
      <c r="AG437" s="29"/>
    </row>
    <row r="438" spans="1:33">
      <c r="A438" s="29"/>
      <c r="B438" s="29"/>
      <c r="D438" s="29"/>
      <c r="E438" s="30"/>
      <c r="F438" s="30"/>
      <c r="X438" s="29"/>
      <c r="Y438" s="29"/>
      <c r="AA438" s="18"/>
      <c r="AC438" s="31"/>
      <c r="AE438" s="18"/>
      <c r="AG438" s="29"/>
    </row>
    <row r="439" spans="1:33">
      <c r="A439" s="29"/>
      <c r="B439" s="29"/>
      <c r="D439" s="29"/>
      <c r="E439" s="30"/>
      <c r="F439" s="30"/>
      <c r="X439" s="29"/>
      <c r="Y439" s="29"/>
      <c r="AA439" s="18"/>
      <c r="AC439" s="31"/>
      <c r="AE439" s="18"/>
      <c r="AG439" s="29"/>
    </row>
    <row r="440" spans="1:33">
      <c r="A440" s="29"/>
      <c r="B440" s="29"/>
      <c r="D440" s="29"/>
      <c r="E440" s="30"/>
      <c r="F440" s="30"/>
      <c r="X440" s="29"/>
      <c r="Y440" s="29"/>
      <c r="AA440" s="18"/>
      <c r="AC440" s="31"/>
      <c r="AE440" s="18"/>
      <c r="AG440" s="29"/>
    </row>
    <row r="441" spans="1:33">
      <c r="A441" s="29"/>
      <c r="B441" s="29"/>
      <c r="D441" s="29"/>
      <c r="E441" s="30"/>
      <c r="F441" s="30"/>
      <c r="X441" s="29"/>
      <c r="Y441" s="29"/>
      <c r="AA441" s="18"/>
      <c r="AC441" s="31"/>
      <c r="AE441" s="18"/>
      <c r="AG441" s="29"/>
    </row>
    <row r="442" spans="1:33">
      <c r="A442" s="29"/>
      <c r="B442" s="29"/>
      <c r="D442" s="29"/>
      <c r="E442" s="30"/>
      <c r="F442" s="30"/>
      <c r="X442" s="29"/>
      <c r="Y442" s="29"/>
      <c r="AA442" s="18"/>
      <c r="AC442" s="30"/>
      <c r="AE442" s="18"/>
      <c r="AG442" s="29"/>
    </row>
    <row r="443" spans="1:33">
      <c r="A443" s="29"/>
      <c r="B443" s="29"/>
      <c r="D443" s="29"/>
      <c r="E443" s="30"/>
      <c r="F443" s="30"/>
      <c r="X443" s="29"/>
      <c r="Y443" s="29"/>
      <c r="AA443" s="18"/>
      <c r="AC443" s="31"/>
      <c r="AE443" s="18"/>
      <c r="AG443" s="29"/>
    </row>
    <row r="444" spans="1:33">
      <c r="A444" s="29"/>
      <c r="B444" s="29"/>
      <c r="D444" s="29"/>
      <c r="E444" s="30"/>
      <c r="F444" s="30"/>
      <c r="X444" s="29"/>
      <c r="Y444" s="29"/>
      <c r="AA444" s="18"/>
      <c r="AC444" s="30"/>
      <c r="AE444" s="18"/>
      <c r="AG444" s="29"/>
    </row>
    <row r="445" spans="1:33">
      <c r="A445" s="29"/>
      <c r="B445" s="29"/>
      <c r="D445" s="29"/>
      <c r="E445" s="30"/>
      <c r="F445" s="30"/>
      <c r="X445" s="29"/>
      <c r="Y445" s="29"/>
      <c r="AA445" s="18"/>
      <c r="AC445" s="31"/>
      <c r="AE445" s="18"/>
      <c r="AG445" s="29"/>
    </row>
    <row r="446" spans="1:33">
      <c r="A446" s="29"/>
      <c r="B446" s="29"/>
      <c r="D446" s="29"/>
      <c r="E446" s="30"/>
      <c r="F446" s="30"/>
      <c r="X446" s="29"/>
      <c r="Y446" s="29"/>
      <c r="AA446" s="18"/>
      <c r="AC446" s="31"/>
      <c r="AE446" s="18"/>
      <c r="AG446" s="29"/>
    </row>
    <row r="447" spans="1:33">
      <c r="A447" s="29"/>
      <c r="B447" s="29"/>
      <c r="D447" s="29"/>
      <c r="E447" s="30"/>
      <c r="F447" s="30"/>
      <c r="X447" s="29"/>
      <c r="Y447" s="29"/>
      <c r="AA447" s="18"/>
      <c r="AC447" s="31"/>
      <c r="AE447" s="18"/>
      <c r="AG447" s="29"/>
    </row>
    <row r="448" spans="1:33">
      <c r="A448" s="29"/>
      <c r="B448" s="29"/>
      <c r="D448" s="29"/>
      <c r="E448" s="30"/>
      <c r="F448" s="30"/>
      <c r="X448" s="29"/>
      <c r="Y448" s="29"/>
      <c r="AA448" s="18"/>
      <c r="AC448" s="31"/>
      <c r="AE448" s="18"/>
      <c r="AG448" s="29"/>
    </row>
    <row r="449" spans="1:33">
      <c r="A449" s="29"/>
      <c r="B449" s="29"/>
      <c r="D449" s="29"/>
      <c r="E449" s="30"/>
      <c r="F449" s="30"/>
      <c r="X449" s="29"/>
      <c r="Y449" s="29"/>
      <c r="AA449" s="18"/>
      <c r="AC449" s="31"/>
      <c r="AE449" s="18"/>
      <c r="AG449" s="29"/>
    </row>
    <row r="450" spans="1:33">
      <c r="A450" s="29"/>
      <c r="B450" s="29"/>
      <c r="D450" s="29"/>
      <c r="E450" s="30"/>
      <c r="F450" s="30"/>
      <c r="X450" s="29"/>
      <c r="Y450" s="29"/>
      <c r="AA450" s="18"/>
      <c r="AC450" s="31"/>
      <c r="AE450" s="18"/>
      <c r="AG450" s="29"/>
    </row>
    <row r="451" spans="1:33">
      <c r="A451" s="29"/>
      <c r="B451" s="29"/>
      <c r="D451" s="29"/>
      <c r="E451" s="30"/>
      <c r="F451" s="30"/>
      <c r="X451" s="29"/>
      <c r="Y451" s="29"/>
      <c r="AA451" s="18"/>
      <c r="AC451" s="31"/>
      <c r="AE451" s="18"/>
      <c r="AG451" s="29"/>
    </row>
    <row r="452" spans="1:33">
      <c r="A452" s="29"/>
      <c r="B452" s="29"/>
      <c r="D452" s="29"/>
      <c r="E452" s="30"/>
      <c r="F452" s="30"/>
      <c r="X452" s="29"/>
      <c r="Y452" s="29"/>
      <c r="AA452" s="18"/>
      <c r="AC452" s="31"/>
      <c r="AE452" s="18"/>
      <c r="AG452" s="29"/>
    </row>
    <row r="453" spans="1:33">
      <c r="A453" s="29"/>
      <c r="B453" s="29"/>
      <c r="D453" s="29"/>
      <c r="E453" s="30"/>
      <c r="F453" s="30"/>
      <c r="X453" s="29"/>
      <c r="Y453" s="29"/>
      <c r="AA453" s="18"/>
      <c r="AC453" s="31"/>
      <c r="AE453" s="18"/>
      <c r="AG453" s="29"/>
    </row>
    <row r="454" spans="1:33">
      <c r="A454" s="29"/>
      <c r="B454" s="29"/>
      <c r="D454" s="29"/>
      <c r="E454" s="30"/>
      <c r="F454" s="30"/>
      <c r="X454" s="29"/>
      <c r="Y454" s="29"/>
      <c r="AA454" s="18"/>
      <c r="AC454" s="31"/>
      <c r="AE454" s="18"/>
      <c r="AG454" s="29"/>
    </row>
    <row r="455" spans="1:33">
      <c r="A455" s="29"/>
      <c r="B455" s="29"/>
      <c r="D455" s="29"/>
      <c r="E455" s="30"/>
      <c r="F455" s="30"/>
      <c r="X455" s="29"/>
      <c r="Y455" s="29"/>
      <c r="AA455" s="18"/>
      <c r="AC455" s="31"/>
      <c r="AE455" s="18"/>
      <c r="AG455" s="29"/>
    </row>
    <row r="456" spans="1:33">
      <c r="A456" s="29"/>
      <c r="B456" s="29"/>
      <c r="D456" s="29"/>
      <c r="E456" s="30"/>
      <c r="F456" s="30"/>
      <c r="X456" s="29"/>
      <c r="Y456" s="29"/>
      <c r="AA456" s="18"/>
      <c r="AC456" s="31"/>
      <c r="AE456" s="18"/>
      <c r="AG456" s="29"/>
    </row>
    <row r="457" spans="1:33">
      <c r="A457" s="29"/>
      <c r="B457" s="29"/>
      <c r="D457" s="29"/>
      <c r="E457" s="30"/>
      <c r="F457" s="30"/>
      <c r="X457" s="29"/>
      <c r="Y457" s="29"/>
      <c r="AA457" s="18"/>
      <c r="AC457" s="31"/>
      <c r="AE457" s="18"/>
      <c r="AG457" s="29"/>
    </row>
    <row r="458" spans="1:33">
      <c r="A458" s="29"/>
      <c r="B458" s="29"/>
      <c r="D458" s="29"/>
      <c r="E458" s="30"/>
      <c r="F458" s="30"/>
      <c r="X458" s="29"/>
      <c r="Y458" s="29"/>
      <c r="AA458" s="18"/>
      <c r="AC458" s="31"/>
      <c r="AE458" s="18"/>
      <c r="AG458" s="29"/>
    </row>
    <row r="459" spans="1:33">
      <c r="A459" s="29"/>
      <c r="B459" s="29"/>
      <c r="D459" s="29"/>
      <c r="E459" s="30"/>
      <c r="F459" s="30"/>
      <c r="X459" s="29"/>
      <c r="Y459" s="29"/>
      <c r="AA459" s="18"/>
      <c r="AC459" s="31"/>
      <c r="AE459" s="18"/>
      <c r="AG459" s="29"/>
    </row>
    <row r="460" spans="1:33">
      <c r="A460" s="29"/>
      <c r="B460" s="29"/>
      <c r="D460" s="29"/>
      <c r="E460" s="30"/>
      <c r="F460" s="30"/>
      <c r="X460" s="29"/>
      <c r="Y460" s="29"/>
      <c r="AA460" s="18"/>
      <c r="AC460" s="31"/>
      <c r="AE460" s="18"/>
      <c r="AG460" s="29"/>
    </row>
    <row r="461" spans="1:33">
      <c r="A461" s="29"/>
      <c r="B461" s="29"/>
      <c r="D461" s="29"/>
      <c r="E461" s="30"/>
      <c r="F461" s="30"/>
      <c r="X461" s="29"/>
      <c r="Y461" s="29"/>
      <c r="AA461" s="18"/>
      <c r="AC461" s="31"/>
      <c r="AE461" s="18"/>
      <c r="AG461" s="29"/>
    </row>
    <row r="462" spans="1:33">
      <c r="A462" s="29"/>
      <c r="B462" s="29"/>
      <c r="D462" s="29"/>
      <c r="E462" s="30"/>
      <c r="F462" s="30"/>
      <c r="X462" s="29"/>
      <c r="Y462" s="29"/>
      <c r="AA462" s="18"/>
      <c r="AC462" s="30"/>
      <c r="AE462" s="18"/>
      <c r="AG462" s="29"/>
    </row>
    <row r="463" spans="1:33">
      <c r="A463" s="29"/>
      <c r="B463" s="29"/>
      <c r="D463" s="29"/>
      <c r="E463" s="30"/>
      <c r="F463" s="30"/>
      <c r="X463" s="29"/>
      <c r="Y463" s="29"/>
      <c r="AA463" s="18"/>
      <c r="AC463" s="31"/>
      <c r="AE463" s="18"/>
      <c r="AG463" s="29"/>
    </row>
    <row r="464" spans="1:33">
      <c r="A464" s="29"/>
      <c r="B464" s="29"/>
      <c r="D464" s="29"/>
      <c r="E464" s="30"/>
      <c r="F464" s="30"/>
      <c r="X464" s="29"/>
      <c r="Y464" s="29"/>
      <c r="AA464" s="18"/>
      <c r="AC464" s="31"/>
      <c r="AE464" s="18"/>
      <c r="AG464" s="29"/>
    </row>
    <row r="465" spans="1:33">
      <c r="A465" s="29"/>
      <c r="B465" s="29"/>
      <c r="D465" s="29"/>
      <c r="E465" s="30"/>
      <c r="F465" s="30"/>
      <c r="X465" s="29"/>
      <c r="Y465" s="29"/>
      <c r="AA465" s="18"/>
      <c r="AC465" s="31"/>
      <c r="AE465" s="18"/>
      <c r="AG465" s="29"/>
    </row>
    <row r="466" spans="1:33">
      <c r="A466" s="29"/>
      <c r="B466" s="29"/>
      <c r="D466" s="29"/>
      <c r="E466" s="30"/>
      <c r="F466" s="30"/>
      <c r="X466" s="29"/>
      <c r="Y466" s="29"/>
      <c r="AA466" s="18"/>
      <c r="AC466" s="31"/>
      <c r="AE466" s="18"/>
      <c r="AG466" s="29"/>
    </row>
    <row r="467" spans="1:33">
      <c r="A467" s="29"/>
      <c r="B467" s="29"/>
      <c r="D467" s="29"/>
      <c r="E467" s="30"/>
      <c r="F467" s="30"/>
      <c r="X467" s="29"/>
      <c r="Y467" s="29"/>
      <c r="AA467" s="18"/>
      <c r="AC467" s="31"/>
      <c r="AE467" s="18"/>
      <c r="AG467" s="29"/>
    </row>
    <row r="468" spans="1:33">
      <c r="A468" s="29"/>
      <c r="B468" s="29"/>
      <c r="D468" s="29"/>
      <c r="E468" s="30"/>
      <c r="F468" s="30"/>
      <c r="X468" s="29"/>
      <c r="Y468" s="29"/>
      <c r="AA468" s="18"/>
      <c r="AC468" s="31"/>
      <c r="AE468" s="18"/>
      <c r="AG468" s="29"/>
    </row>
    <row r="469" spans="1:33">
      <c r="A469" s="29"/>
      <c r="B469" s="29"/>
      <c r="D469" s="29"/>
      <c r="E469" s="30"/>
      <c r="F469" s="30"/>
      <c r="X469" s="29"/>
      <c r="Y469" s="29"/>
      <c r="AA469" s="18"/>
      <c r="AC469" s="31"/>
      <c r="AE469" s="18"/>
      <c r="AG469" s="29"/>
    </row>
    <row r="470" spans="1:33">
      <c r="A470" s="29"/>
      <c r="B470" s="29"/>
      <c r="D470" s="29"/>
      <c r="E470" s="30"/>
      <c r="F470" s="30"/>
      <c r="X470" s="29"/>
      <c r="Y470" s="29"/>
      <c r="AA470" s="18"/>
      <c r="AC470" s="31"/>
      <c r="AE470" s="18"/>
      <c r="AG470" s="29"/>
    </row>
    <row r="471" spans="1:33">
      <c r="A471" s="29"/>
      <c r="B471" s="29"/>
      <c r="D471" s="29"/>
      <c r="E471" s="30"/>
      <c r="F471" s="30"/>
      <c r="X471" s="29"/>
      <c r="Y471" s="29"/>
      <c r="AA471" s="18"/>
      <c r="AC471" s="31"/>
      <c r="AE471" s="18"/>
      <c r="AG471" s="29"/>
    </row>
    <row r="472" spans="1:33">
      <c r="A472" s="29"/>
      <c r="B472" s="29"/>
      <c r="D472" s="29"/>
      <c r="E472" s="30"/>
      <c r="F472" s="30"/>
      <c r="X472" s="29"/>
      <c r="Y472" s="29"/>
      <c r="AA472" s="18"/>
      <c r="AC472" s="31"/>
      <c r="AE472" s="18"/>
      <c r="AG472" s="29"/>
    </row>
    <row r="473" spans="1:33">
      <c r="A473" s="29"/>
      <c r="B473" s="29"/>
      <c r="D473" s="29"/>
      <c r="E473" s="30"/>
      <c r="F473" s="30"/>
      <c r="X473" s="29"/>
      <c r="Y473" s="29"/>
      <c r="AA473" s="18"/>
      <c r="AC473" s="30"/>
      <c r="AE473" s="18"/>
      <c r="AG473" s="29"/>
    </row>
    <row r="474" spans="1:33">
      <c r="A474" s="29"/>
      <c r="B474" s="29"/>
      <c r="D474" s="29"/>
      <c r="E474" s="30"/>
      <c r="F474" s="30"/>
      <c r="X474" s="29"/>
      <c r="Y474" s="29"/>
      <c r="AA474" s="18"/>
      <c r="AC474" s="31"/>
      <c r="AE474" s="18"/>
      <c r="AG474" s="29"/>
    </row>
    <row r="475" spans="1:33">
      <c r="A475" s="29"/>
      <c r="B475" s="29"/>
      <c r="D475" s="29"/>
      <c r="E475" s="30"/>
      <c r="F475" s="30"/>
      <c r="X475" s="29"/>
      <c r="Y475" s="29"/>
      <c r="AA475" s="18"/>
      <c r="AC475" s="31"/>
      <c r="AE475" s="18"/>
      <c r="AG475" s="29"/>
    </row>
    <row r="476" spans="1:33">
      <c r="A476" s="29"/>
      <c r="B476" s="29"/>
      <c r="D476" s="29"/>
      <c r="E476" s="30"/>
      <c r="F476" s="30"/>
      <c r="X476" s="29"/>
      <c r="Y476" s="29"/>
      <c r="AA476" s="18"/>
      <c r="AC476" s="31"/>
      <c r="AE476" s="18"/>
      <c r="AG476" s="29"/>
    </row>
    <row r="477" spans="1:33">
      <c r="A477" s="29"/>
      <c r="B477" s="29"/>
      <c r="D477" s="29"/>
      <c r="E477" s="30"/>
      <c r="F477" s="30"/>
      <c r="X477" s="29"/>
      <c r="Y477" s="29"/>
      <c r="AA477" s="18"/>
      <c r="AC477" s="31"/>
      <c r="AE477" s="18"/>
      <c r="AG477" s="29"/>
    </row>
    <row r="478" spans="1:33">
      <c r="A478" s="29"/>
      <c r="B478" s="29"/>
      <c r="D478" s="29"/>
      <c r="E478" s="30"/>
      <c r="F478" s="30"/>
      <c r="X478" s="29"/>
      <c r="Y478" s="29"/>
      <c r="AA478" s="18"/>
      <c r="AC478" s="31"/>
      <c r="AE478" s="18"/>
      <c r="AG478" s="29"/>
    </row>
    <row r="479" spans="1:33">
      <c r="A479" s="29"/>
      <c r="B479" s="29"/>
      <c r="D479" s="29"/>
      <c r="E479" s="30"/>
      <c r="F479" s="30"/>
      <c r="X479" s="29"/>
      <c r="Y479" s="29"/>
      <c r="AA479" s="18"/>
      <c r="AC479" s="31"/>
      <c r="AE479" s="18"/>
      <c r="AG479" s="29"/>
    </row>
    <row r="480" spans="1:33">
      <c r="A480" s="29"/>
      <c r="B480" s="29"/>
      <c r="D480" s="29"/>
      <c r="E480" s="30"/>
      <c r="F480" s="30"/>
      <c r="X480" s="29"/>
      <c r="Y480" s="29"/>
      <c r="AA480" s="18"/>
      <c r="AC480" s="31"/>
      <c r="AE480" s="18"/>
      <c r="AG480" s="29"/>
    </row>
    <row r="481" spans="1:33">
      <c r="A481" s="29"/>
      <c r="B481" s="29"/>
      <c r="D481" s="29"/>
      <c r="E481" s="30"/>
      <c r="F481" s="30"/>
      <c r="X481" s="29"/>
      <c r="Y481" s="29"/>
      <c r="AA481" s="18"/>
      <c r="AC481" s="31"/>
      <c r="AE481" s="18"/>
      <c r="AG481" s="29"/>
    </row>
    <row r="482" spans="1:33">
      <c r="A482" s="29"/>
      <c r="B482" s="29"/>
      <c r="D482" s="29"/>
      <c r="E482" s="30"/>
      <c r="F482" s="30"/>
      <c r="X482" s="29"/>
      <c r="Y482" s="29"/>
      <c r="AA482" s="18"/>
      <c r="AC482" s="31"/>
      <c r="AE482" s="18"/>
      <c r="AG482" s="29"/>
    </row>
    <row r="483" spans="1:33">
      <c r="A483" s="29"/>
      <c r="B483" s="29"/>
      <c r="D483" s="29"/>
      <c r="E483" s="30"/>
      <c r="F483" s="30"/>
      <c r="X483" s="29"/>
      <c r="Y483" s="29"/>
      <c r="AA483" s="18"/>
      <c r="AC483" s="30"/>
      <c r="AE483" s="18"/>
      <c r="AG483" s="29"/>
    </row>
    <row r="484" spans="1:33">
      <c r="A484" s="29"/>
      <c r="B484" s="29"/>
      <c r="D484" s="29"/>
      <c r="E484" s="30"/>
      <c r="F484" s="30"/>
      <c r="X484" s="29"/>
      <c r="Y484" s="29"/>
      <c r="AA484" s="18"/>
      <c r="AC484" s="30"/>
      <c r="AE484" s="18"/>
      <c r="AG484" s="29"/>
    </row>
    <row r="485" spans="1:33">
      <c r="A485" s="29"/>
      <c r="B485" s="29"/>
      <c r="D485" s="29"/>
      <c r="E485" s="30"/>
      <c r="F485" s="30"/>
      <c r="X485" s="29"/>
      <c r="Y485" s="29"/>
      <c r="AA485" s="18"/>
      <c r="AC485" s="31"/>
      <c r="AE485" s="18"/>
      <c r="AG485" s="29"/>
    </row>
    <row r="486" spans="1:33">
      <c r="A486" s="29"/>
      <c r="B486" s="29"/>
      <c r="D486" s="29"/>
      <c r="E486" s="30"/>
      <c r="F486" s="30"/>
      <c r="X486" s="29"/>
      <c r="Y486" s="29"/>
      <c r="AA486" s="18"/>
      <c r="AC486" s="30"/>
      <c r="AE486" s="18"/>
      <c r="AG486" s="29"/>
    </row>
    <row r="487" spans="1:33">
      <c r="A487" s="29"/>
      <c r="B487" s="29"/>
      <c r="D487" s="29"/>
      <c r="E487" s="30"/>
      <c r="F487" s="30"/>
      <c r="X487" s="29"/>
      <c r="Y487" s="29"/>
      <c r="AA487" s="18"/>
      <c r="AC487" s="31"/>
      <c r="AE487" s="18"/>
      <c r="AG487" s="29"/>
    </row>
    <row r="488" spans="1:33">
      <c r="A488" s="29"/>
      <c r="B488" s="29"/>
      <c r="D488" s="29"/>
      <c r="E488" s="30"/>
      <c r="F488" s="30"/>
      <c r="X488" s="29"/>
      <c r="Y488" s="29"/>
      <c r="AA488" s="18"/>
      <c r="AC488" s="31"/>
      <c r="AE488" s="18"/>
      <c r="AG488" s="29"/>
    </row>
    <row r="489" spans="1:33">
      <c r="A489" s="29"/>
      <c r="B489" s="29"/>
      <c r="D489" s="29"/>
      <c r="E489" s="30"/>
      <c r="F489" s="30"/>
      <c r="X489" s="29"/>
      <c r="Y489" s="29"/>
      <c r="AA489" s="18"/>
      <c r="AC489" s="31"/>
      <c r="AE489" s="18"/>
      <c r="AG489" s="29"/>
    </row>
    <row r="490" spans="1:33">
      <c r="A490" s="29"/>
      <c r="B490" s="29"/>
      <c r="D490" s="29"/>
      <c r="E490" s="30"/>
      <c r="F490" s="30"/>
      <c r="X490" s="29"/>
      <c r="Y490" s="29"/>
      <c r="AA490" s="18"/>
      <c r="AC490" s="31"/>
      <c r="AE490" s="18"/>
      <c r="AG490" s="29"/>
    </row>
    <row r="491" spans="1:33">
      <c r="A491" s="29"/>
      <c r="B491" s="29"/>
      <c r="D491" s="29"/>
      <c r="E491" s="30"/>
      <c r="F491" s="30"/>
      <c r="X491" s="29"/>
      <c r="Y491" s="29"/>
      <c r="AA491" s="18"/>
      <c r="AC491" s="31"/>
      <c r="AE491" s="18"/>
      <c r="AG491" s="29"/>
    </row>
    <row r="492" spans="1:33">
      <c r="A492" s="29"/>
      <c r="B492" s="29"/>
      <c r="D492" s="29"/>
      <c r="E492" s="30"/>
      <c r="F492" s="30"/>
      <c r="X492" s="29"/>
      <c r="Y492" s="29"/>
      <c r="AA492" s="18"/>
      <c r="AC492" s="31"/>
      <c r="AE492" s="18"/>
      <c r="AG492" s="29"/>
    </row>
    <row r="493" spans="1:33">
      <c r="A493" s="29"/>
      <c r="B493" s="29"/>
      <c r="D493" s="29"/>
      <c r="E493" s="30"/>
      <c r="F493" s="30"/>
      <c r="X493" s="29"/>
      <c r="Y493" s="29"/>
      <c r="AA493" s="18"/>
      <c r="AC493" s="31"/>
      <c r="AE493" s="18"/>
      <c r="AG493" s="29"/>
    </row>
    <row r="494" spans="1:33">
      <c r="A494" s="29"/>
      <c r="B494" s="29"/>
      <c r="D494" s="29"/>
      <c r="E494" s="30"/>
      <c r="F494" s="30"/>
      <c r="X494" s="29"/>
      <c r="Y494" s="29"/>
      <c r="AA494" s="18"/>
      <c r="AC494" s="30"/>
      <c r="AE494" s="18"/>
      <c r="AG494" s="29"/>
    </row>
    <row r="495" spans="1:33">
      <c r="A495" s="29"/>
      <c r="B495" s="29"/>
      <c r="D495" s="29"/>
      <c r="E495" s="30"/>
      <c r="F495" s="30"/>
      <c r="X495" s="29"/>
      <c r="Y495" s="29"/>
      <c r="AA495" s="18"/>
      <c r="AC495" s="30"/>
      <c r="AE495" s="18"/>
      <c r="AG495" s="29"/>
    </row>
    <row r="496" spans="1:33">
      <c r="A496" s="29"/>
      <c r="B496" s="29"/>
      <c r="D496" s="29"/>
      <c r="E496" s="30"/>
      <c r="F496" s="30"/>
      <c r="X496" s="29"/>
      <c r="Y496" s="29"/>
      <c r="AA496" s="18"/>
      <c r="AC496" s="31"/>
      <c r="AE496" s="18"/>
      <c r="AG496" s="29"/>
    </row>
    <row r="497" spans="1:33">
      <c r="A497" s="29"/>
      <c r="B497" s="29"/>
      <c r="D497" s="29"/>
      <c r="E497" s="30"/>
      <c r="F497" s="30"/>
      <c r="X497" s="29"/>
      <c r="Y497" s="29"/>
      <c r="AA497" s="18"/>
      <c r="AC497" s="31"/>
      <c r="AE497" s="18"/>
      <c r="AG497" s="29"/>
    </row>
    <row r="498" spans="1:33">
      <c r="A498" s="29"/>
      <c r="B498" s="29"/>
      <c r="D498" s="29"/>
      <c r="E498" s="30"/>
      <c r="F498" s="30"/>
      <c r="X498" s="29"/>
      <c r="Y498" s="29"/>
      <c r="AA498" s="18"/>
      <c r="AC498" s="31"/>
      <c r="AE498" s="18"/>
      <c r="AG498" s="29"/>
    </row>
    <row r="499" spans="1:33">
      <c r="A499" s="29"/>
      <c r="B499" s="29"/>
      <c r="D499" s="29"/>
      <c r="E499" s="30"/>
      <c r="F499" s="30"/>
      <c r="X499" s="29"/>
      <c r="Y499" s="29"/>
      <c r="AA499" s="18"/>
      <c r="AC499" s="31"/>
      <c r="AE499" s="18"/>
      <c r="AG499" s="29"/>
    </row>
    <row r="500" spans="1:33">
      <c r="A500" s="29"/>
      <c r="B500" s="29"/>
      <c r="D500" s="29"/>
      <c r="E500" s="30"/>
      <c r="F500" s="30"/>
      <c r="X500" s="29"/>
      <c r="Y500" s="29"/>
      <c r="AA500" s="18"/>
      <c r="AC500" s="31"/>
      <c r="AE500" s="18"/>
      <c r="AG500" s="29"/>
    </row>
    <row r="501" spans="1:33">
      <c r="A501" s="29"/>
      <c r="B501" s="29"/>
      <c r="D501" s="29"/>
      <c r="E501" s="30"/>
      <c r="F501" s="30"/>
      <c r="X501" s="29"/>
      <c r="Y501" s="29"/>
      <c r="AA501" s="18"/>
      <c r="AC501" s="30"/>
      <c r="AE501" s="18"/>
      <c r="AG501" s="29"/>
    </row>
    <row r="502" spans="1:33">
      <c r="A502" s="29"/>
      <c r="B502" s="29"/>
      <c r="D502" s="29"/>
      <c r="E502" s="30"/>
      <c r="F502" s="30"/>
      <c r="X502" s="29"/>
      <c r="Y502" s="29"/>
      <c r="AA502" s="18"/>
      <c r="AC502" s="30"/>
      <c r="AE502" s="18"/>
      <c r="AG502" s="29"/>
    </row>
    <row r="503" spans="1:33">
      <c r="A503" s="29"/>
      <c r="B503" s="29"/>
      <c r="D503" s="29"/>
      <c r="E503" s="30"/>
      <c r="F503" s="30"/>
      <c r="X503" s="29"/>
      <c r="Y503" s="29"/>
      <c r="AA503" s="18"/>
      <c r="AC503" s="30"/>
      <c r="AE503" s="18"/>
      <c r="AG503" s="29"/>
    </row>
    <row r="504" spans="1:33">
      <c r="A504" s="29"/>
      <c r="B504" s="29"/>
      <c r="D504" s="29"/>
      <c r="E504" s="30"/>
      <c r="F504" s="30"/>
      <c r="X504" s="29"/>
      <c r="Y504" s="29"/>
      <c r="AA504" s="18"/>
      <c r="AC504" s="31"/>
      <c r="AE504" s="18"/>
      <c r="AG504" s="29"/>
    </row>
    <row r="505" spans="1:33">
      <c r="A505" s="29"/>
      <c r="B505" s="29"/>
      <c r="D505" s="29"/>
      <c r="E505" s="30"/>
      <c r="F505" s="30"/>
      <c r="X505" s="29"/>
      <c r="Y505" s="29"/>
      <c r="AA505" s="18"/>
      <c r="AC505" s="30"/>
      <c r="AE505" s="18"/>
      <c r="AG505" s="29"/>
    </row>
    <row r="506" spans="1:33">
      <c r="A506" s="29"/>
      <c r="B506" s="29"/>
      <c r="D506" s="29"/>
      <c r="E506" s="30"/>
      <c r="F506" s="30"/>
      <c r="X506" s="29"/>
      <c r="Y506" s="29"/>
      <c r="AA506" s="18"/>
      <c r="AC506" s="30"/>
      <c r="AE506" s="18"/>
      <c r="AG506" s="29"/>
    </row>
    <row r="507" spans="1:33">
      <c r="A507" s="29"/>
      <c r="B507" s="29"/>
      <c r="D507" s="29"/>
      <c r="E507" s="30"/>
      <c r="F507" s="30"/>
      <c r="X507" s="29"/>
      <c r="Y507" s="29"/>
      <c r="AA507" s="18"/>
      <c r="AC507" s="31"/>
      <c r="AE507" s="18"/>
      <c r="AG507" s="29"/>
    </row>
    <row r="508" spans="1:33">
      <c r="A508" s="29"/>
      <c r="B508" s="29"/>
      <c r="D508" s="29"/>
      <c r="E508" s="30"/>
      <c r="F508" s="30"/>
      <c r="X508" s="29"/>
      <c r="Y508" s="29"/>
      <c r="AA508" s="18"/>
      <c r="AC508" s="30"/>
      <c r="AE508" s="18"/>
      <c r="AG508" s="29"/>
    </row>
    <row r="509" spans="1:33">
      <c r="A509" s="29"/>
      <c r="B509" s="29"/>
      <c r="D509" s="29"/>
      <c r="E509" s="30"/>
      <c r="F509" s="30"/>
      <c r="X509" s="29"/>
      <c r="Y509" s="29"/>
      <c r="AA509" s="18"/>
      <c r="AC509" s="30"/>
      <c r="AE509" s="18"/>
      <c r="AG509" s="29"/>
    </row>
    <row r="510" spans="1:33">
      <c r="A510" s="29"/>
      <c r="B510" s="29"/>
      <c r="D510" s="29"/>
      <c r="E510" s="30"/>
      <c r="F510" s="30"/>
      <c r="X510" s="29"/>
      <c r="Y510" s="29"/>
      <c r="AA510" s="18"/>
      <c r="AC510" s="31"/>
      <c r="AE510" s="18"/>
      <c r="AG510" s="29"/>
    </row>
    <row r="511" spans="1:33">
      <c r="A511" s="29"/>
      <c r="B511" s="29"/>
      <c r="D511" s="29"/>
      <c r="E511" s="30"/>
      <c r="F511" s="30"/>
      <c r="X511" s="29"/>
      <c r="Y511" s="29"/>
      <c r="AA511" s="18"/>
      <c r="AC511" s="30"/>
      <c r="AE511" s="18"/>
      <c r="AG511" s="29"/>
    </row>
    <row r="512" spans="1:33">
      <c r="A512" s="29"/>
      <c r="B512" s="29"/>
      <c r="D512" s="29"/>
      <c r="E512" s="30"/>
      <c r="F512" s="30"/>
      <c r="X512" s="29"/>
      <c r="Y512" s="29"/>
      <c r="AA512" s="18"/>
      <c r="AC512" s="31"/>
      <c r="AE512" s="18"/>
      <c r="AG512" s="29"/>
    </row>
    <row r="513" spans="1:33">
      <c r="A513" s="29"/>
      <c r="B513" s="29"/>
      <c r="D513" s="29"/>
      <c r="E513" s="30"/>
      <c r="F513" s="30"/>
      <c r="X513" s="29"/>
      <c r="Y513" s="29"/>
      <c r="AA513" s="18"/>
      <c r="AC513" s="31"/>
      <c r="AE513" s="18"/>
      <c r="AG513" s="29"/>
    </row>
    <row r="514" spans="1:33">
      <c r="A514" s="29"/>
      <c r="B514" s="29"/>
      <c r="D514" s="29"/>
      <c r="E514" s="30"/>
      <c r="F514" s="30"/>
      <c r="X514" s="29"/>
      <c r="Y514" s="29"/>
      <c r="AA514" s="18"/>
      <c r="AC514" s="31"/>
      <c r="AE514" s="18"/>
      <c r="AG514" s="29"/>
    </row>
    <row r="515" spans="1:33">
      <c r="A515" s="29"/>
      <c r="B515" s="29"/>
      <c r="D515" s="29"/>
      <c r="E515" s="30"/>
      <c r="F515" s="30"/>
      <c r="X515" s="29"/>
      <c r="Y515" s="29"/>
      <c r="AA515" s="18"/>
      <c r="AC515" s="31"/>
      <c r="AE515" s="18"/>
      <c r="AG515" s="29"/>
    </row>
    <row r="516" spans="1:33">
      <c r="A516" s="29"/>
      <c r="B516" s="29"/>
      <c r="D516" s="29"/>
      <c r="E516" s="30"/>
      <c r="F516" s="30"/>
      <c r="X516" s="29"/>
      <c r="Y516" s="29"/>
      <c r="AA516" s="18"/>
      <c r="AC516" s="31"/>
      <c r="AE516" s="18"/>
      <c r="AG516" s="29"/>
    </row>
    <row r="517" spans="1:33">
      <c r="A517" s="29"/>
      <c r="B517" s="29"/>
      <c r="D517" s="29"/>
      <c r="E517" s="30"/>
      <c r="F517" s="30"/>
      <c r="X517" s="29"/>
      <c r="Y517" s="29"/>
      <c r="AA517" s="18"/>
      <c r="AC517" s="31"/>
      <c r="AE517" s="18"/>
      <c r="AG517" s="29"/>
    </row>
    <row r="518" spans="1:33">
      <c r="A518" s="29"/>
      <c r="B518" s="29"/>
      <c r="D518" s="29"/>
      <c r="E518" s="30"/>
      <c r="F518" s="30"/>
      <c r="X518" s="29"/>
      <c r="Y518" s="29"/>
      <c r="AA518" s="18"/>
      <c r="AC518" s="31"/>
      <c r="AE518" s="18"/>
      <c r="AG518" s="29"/>
    </row>
    <row r="519" spans="1:33">
      <c r="A519" s="29"/>
      <c r="B519" s="29"/>
      <c r="D519" s="29"/>
      <c r="E519" s="30"/>
      <c r="F519" s="30"/>
      <c r="X519" s="29"/>
      <c r="Y519" s="29"/>
      <c r="AA519" s="18"/>
      <c r="AC519" s="30"/>
      <c r="AE519" s="18"/>
      <c r="AG519" s="29"/>
    </row>
    <row r="520" spans="1:33">
      <c r="A520" s="29"/>
      <c r="B520" s="29"/>
      <c r="D520" s="29"/>
      <c r="E520" s="30"/>
      <c r="F520" s="30"/>
      <c r="X520" s="29"/>
      <c r="Y520" s="29"/>
      <c r="AA520" s="18"/>
      <c r="AC520" s="30"/>
      <c r="AE520" s="18"/>
      <c r="AG520" s="29"/>
    </row>
    <row r="521" spans="1:33">
      <c r="A521" s="29"/>
      <c r="B521" s="29"/>
      <c r="D521" s="29"/>
      <c r="E521" s="30"/>
      <c r="F521" s="30"/>
      <c r="X521" s="29"/>
      <c r="Y521" s="29"/>
      <c r="AA521" s="18"/>
      <c r="AC521" s="31"/>
      <c r="AE521" s="18"/>
      <c r="AG521" s="29"/>
    </row>
    <row r="522" spans="1:33">
      <c r="A522" s="29"/>
      <c r="B522" s="29"/>
      <c r="D522" s="29"/>
      <c r="E522" s="30"/>
      <c r="F522" s="30"/>
      <c r="X522" s="29"/>
      <c r="Y522" s="29"/>
      <c r="AA522" s="18"/>
      <c r="AC522" s="31"/>
      <c r="AE522" s="18"/>
      <c r="AG522" s="29"/>
    </row>
    <row r="523" spans="1:33">
      <c r="A523" s="29"/>
      <c r="B523" s="29"/>
      <c r="D523" s="29"/>
      <c r="E523" s="30"/>
      <c r="F523" s="30"/>
      <c r="X523" s="29"/>
      <c r="Y523" s="29"/>
      <c r="AA523" s="18"/>
      <c r="AC523" s="31"/>
      <c r="AE523" s="18"/>
      <c r="AG523" s="29"/>
    </row>
    <row r="524" spans="1:33">
      <c r="A524" s="29"/>
      <c r="B524" s="29"/>
      <c r="D524" s="29"/>
      <c r="E524" s="30"/>
      <c r="F524" s="30"/>
      <c r="X524" s="29"/>
      <c r="Y524" s="29"/>
      <c r="AA524" s="18"/>
      <c r="AC524" s="31"/>
      <c r="AE524" s="18"/>
      <c r="AG524" s="29"/>
    </row>
    <row r="525" spans="1:33">
      <c r="A525" s="29"/>
      <c r="B525" s="29"/>
      <c r="D525" s="29"/>
      <c r="E525" s="30"/>
      <c r="F525" s="30"/>
      <c r="X525" s="29"/>
      <c r="Y525" s="29"/>
      <c r="AA525" s="18"/>
      <c r="AC525" s="31"/>
      <c r="AE525" s="18"/>
      <c r="AG525" s="29"/>
    </row>
    <row r="526" spans="1:33">
      <c r="A526" s="29"/>
      <c r="B526" s="29"/>
      <c r="D526" s="29"/>
      <c r="E526" s="30"/>
      <c r="F526" s="30"/>
      <c r="X526" s="29"/>
      <c r="Y526" s="29"/>
      <c r="AA526" s="18"/>
      <c r="AC526" s="31"/>
      <c r="AE526" s="18"/>
      <c r="AG526" s="29"/>
    </row>
    <row r="527" spans="1:33">
      <c r="A527" s="29"/>
      <c r="B527" s="29"/>
      <c r="D527" s="29"/>
      <c r="E527" s="30"/>
      <c r="F527" s="30"/>
      <c r="X527" s="29"/>
      <c r="Y527" s="29"/>
      <c r="AA527" s="18"/>
      <c r="AC527" s="31"/>
      <c r="AE527" s="18"/>
      <c r="AG527" s="29"/>
    </row>
    <row r="528" spans="1:33">
      <c r="A528" s="29"/>
      <c r="B528" s="29"/>
      <c r="D528" s="29"/>
      <c r="E528" s="30"/>
      <c r="F528" s="30"/>
      <c r="X528" s="29"/>
      <c r="Y528" s="29"/>
      <c r="AA528" s="18"/>
      <c r="AC528" s="31"/>
      <c r="AE528" s="18"/>
      <c r="AG528" s="29"/>
    </row>
    <row r="529" spans="1:33">
      <c r="A529" s="29"/>
      <c r="B529" s="29"/>
      <c r="D529" s="29"/>
      <c r="E529" s="30"/>
      <c r="F529" s="30"/>
      <c r="X529" s="29"/>
      <c r="Y529" s="29"/>
      <c r="AA529" s="18"/>
      <c r="AC529" s="31"/>
      <c r="AE529" s="18"/>
      <c r="AG529" s="29"/>
    </row>
    <row r="530" spans="1:33">
      <c r="A530" s="29"/>
      <c r="B530" s="29"/>
      <c r="D530" s="29"/>
      <c r="E530" s="30"/>
      <c r="F530" s="30"/>
      <c r="X530" s="29"/>
      <c r="Y530" s="29"/>
      <c r="AA530" s="18"/>
      <c r="AC530" s="31"/>
      <c r="AE530" s="18"/>
      <c r="AG530" s="29"/>
    </row>
    <row r="531" spans="1:33">
      <c r="A531" s="29"/>
      <c r="B531" s="29"/>
      <c r="D531" s="29"/>
      <c r="E531" s="30"/>
      <c r="F531" s="30"/>
      <c r="X531" s="29"/>
      <c r="Y531" s="29"/>
      <c r="AA531" s="18"/>
      <c r="AC531" s="30"/>
      <c r="AE531" s="18"/>
      <c r="AG531" s="29"/>
    </row>
    <row r="532" spans="1:33">
      <c r="A532" s="29"/>
      <c r="B532" s="29"/>
      <c r="D532" s="29"/>
      <c r="E532" s="30"/>
      <c r="F532" s="30"/>
      <c r="X532" s="29"/>
      <c r="Y532" s="29"/>
      <c r="AA532" s="18"/>
      <c r="AC532" s="30"/>
      <c r="AE532" s="18"/>
      <c r="AG532" s="29"/>
    </row>
    <row r="533" spans="1:33">
      <c r="A533" s="29"/>
      <c r="B533" s="29"/>
      <c r="D533" s="29"/>
      <c r="E533" s="30"/>
      <c r="F533" s="30"/>
      <c r="X533" s="29"/>
      <c r="Y533" s="29"/>
      <c r="AA533" s="18"/>
      <c r="AC533" s="31"/>
      <c r="AE533" s="18"/>
      <c r="AG533" s="29"/>
    </row>
    <row r="534" spans="1:33">
      <c r="A534" s="29"/>
      <c r="B534" s="29"/>
      <c r="D534" s="29"/>
      <c r="E534" s="30"/>
      <c r="F534" s="30"/>
      <c r="X534" s="29"/>
      <c r="Y534" s="29"/>
      <c r="AA534" s="18"/>
      <c r="AC534" s="31"/>
      <c r="AE534" s="18"/>
      <c r="AG534" s="29"/>
    </row>
    <row r="535" spans="1:33">
      <c r="A535" s="29"/>
      <c r="B535" s="29"/>
      <c r="D535" s="29"/>
      <c r="E535" s="30"/>
      <c r="F535" s="30"/>
      <c r="X535" s="29"/>
      <c r="Y535" s="29"/>
      <c r="AA535" s="18"/>
      <c r="AC535" s="31"/>
      <c r="AE535" s="18"/>
      <c r="AG535" s="29"/>
    </row>
    <row r="536" spans="1:33">
      <c r="A536" s="29"/>
      <c r="B536" s="29"/>
      <c r="D536" s="29"/>
      <c r="E536" s="30"/>
      <c r="F536" s="30"/>
      <c r="X536" s="29"/>
      <c r="Y536" s="29"/>
      <c r="AA536" s="18"/>
      <c r="AC536" s="31"/>
      <c r="AE536" s="18"/>
      <c r="AG536" s="29"/>
    </row>
    <row r="537" spans="1:33">
      <c r="A537" s="29"/>
      <c r="B537" s="29"/>
      <c r="D537" s="29"/>
      <c r="E537" s="30"/>
      <c r="F537" s="30"/>
      <c r="X537" s="29"/>
      <c r="Y537" s="29"/>
      <c r="AA537" s="18"/>
      <c r="AC537" s="31"/>
      <c r="AE537" s="18"/>
      <c r="AG537" s="29"/>
    </row>
    <row r="538" spans="1:33">
      <c r="A538" s="29"/>
      <c r="B538" s="29"/>
      <c r="D538" s="29"/>
      <c r="E538" s="30"/>
      <c r="F538" s="30"/>
      <c r="X538" s="29"/>
      <c r="Y538" s="29"/>
      <c r="AA538" s="18"/>
      <c r="AC538" s="31"/>
      <c r="AE538" s="18"/>
      <c r="AG538" s="29"/>
    </row>
    <row r="539" spans="1:33">
      <c r="A539" s="29"/>
      <c r="B539" s="29"/>
      <c r="D539" s="29"/>
      <c r="E539" s="30"/>
      <c r="F539" s="30"/>
      <c r="X539" s="29"/>
      <c r="Y539" s="29"/>
      <c r="AA539" s="18"/>
      <c r="AC539" s="31"/>
      <c r="AE539" s="18"/>
      <c r="AG539" s="29"/>
    </row>
    <row r="540" spans="1:33">
      <c r="A540" s="29"/>
      <c r="B540" s="29"/>
      <c r="D540" s="29"/>
      <c r="E540" s="30"/>
      <c r="F540" s="30"/>
      <c r="X540" s="29"/>
      <c r="Y540" s="29"/>
      <c r="AA540" s="18"/>
      <c r="AC540" s="31"/>
      <c r="AE540" s="18"/>
      <c r="AG540" s="29"/>
    </row>
    <row r="541" spans="1:33">
      <c r="A541" s="29"/>
      <c r="B541" s="29"/>
      <c r="D541" s="29"/>
      <c r="E541" s="30"/>
      <c r="F541" s="30"/>
      <c r="X541" s="29"/>
      <c r="Y541" s="29"/>
      <c r="AA541" s="18"/>
      <c r="AC541" s="31"/>
      <c r="AE541" s="18"/>
      <c r="AG541" s="29"/>
    </row>
    <row r="542" spans="1:33">
      <c r="A542" s="29"/>
      <c r="B542" s="29"/>
      <c r="D542" s="29"/>
      <c r="E542" s="30"/>
      <c r="F542" s="30"/>
      <c r="X542" s="29"/>
      <c r="Y542" s="29"/>
      <c r="AA542" s="18"/>
      <c r="AC542" s="31"/>
      <c r="AE542" s="18"/>
      <c r="AG542" s="29"/>
    </row>
    <row r="543" spans="1:33">
      <c r="A543" s="29"/>
      <c r="B543" s="29"/>
      <c r="D543" s="29"/>
      <c r="E543" s="30"/>
      <c r="F543" s="30"/>
      <c r="X543" s="29"/>
      <c r="Y543" s="29"/>
      <c r="AA543" s="18"/>
      <c r="AC543" s="30"/>
      <c r="AE543" s="18"/>
      <c r="AG543" s="29"/>
    </row>
    <row r="544" spans="1:33">
      <c r="A544" s="29"/>
      <c r="B544" s="29"/>
      <c r="D544" s="29"/>
      <c r="E544" s="30"/>
      <c r="F544" s="30"/>
      <c r="X544" s="29"/>
      <c r="Y544" s="29"/>
      <c r="AA544" s="18"/>
      <c r="AC544" s="30"/>
      <c r="AE544" s="18"/>
      <c r="AG544" s="29"/>
    </row>
    <row r="545" spans="1:33">
      <c r="A545" s="29"/>
      <c r="B545" s="29"/>
      <c r="D545" s="29"/>
      <c r="E545" s="30"/>
      <c r="F545" s="30"/>
      <c r="X545" s="29"/>
      <c r="Y545" s="29"/>
      <c r="AA545" s="18"/>
      <c r="AC545" s="31"/>
      <c r="AE545" s="18"/>
      <c r="AG545" s="29"/>
    </row>
    <row r="546" spans="1:33">
      <c r="A546" s="29"/>
      <c r="B546" s="29"/>
      <c r="D546" s="29"/>
      <c r="E546" s="30"/>
      <c r="F546" s="30"/>
      <c r="X546" s="29"/>
      <c r="Y546" s="29"/>
      <c r="AA546" s="18"/>
      <c r="AC546" s="31"/>
      <c r="AE546" s="18"/>
      <c r="AG546" s="29"/>
    </row>
    <row r="547" spans="1:33">
      <c r="A547" s="29"/>
      <c r="B547" s="29"/>
      <c r="D547" s="29"/>
      <c r="E547" s="30"/>
      <c r="F547" s="30"/>
      <c r="X547" s="29"/>
      <c r="Y547" s="29"/>
      <c r="AA547" s="18"/>
      <c r="AC547" s="31"/>
      <c r="AE547" s="18"/>
      <c r="AG547" s="29"/>
    </row>
    <row r="548" spans="1:33">
      <c r="A548" s="29"/>
      <c r="B548" s="29"/>
      <c r="C548" s="29"/>
      <c r="D548" s="29"/>
      <c r="E548" s="30"/>
      <c r="F548" s="30"/>
      <c r="X548" s="29"/>
      <c r="Y548" s="29"/>
      <c r="AA548" s="18"/>
      <c r="AC548" s="31"/>
      <c r="AE548" s="18"/>
      <c r="AG548" s="29"/>
    </row>
    <row r="549" spans="1:33">
      <c r="A549" s="29"/>
      <c r="B549" s="29"/>
      <c r="C549" s="29"/>
      <c r="D549" s="29"/>
      <c r="E549" s="30"/>
      <c r="F549" s="30"/>
      <c r="X549" s="29"/>
      <c r="Y549" s="29"/>
      <c r="AA549" s="18"/>
      <c r="AC549" s="30"/>
      <c r="AE549" s="18"/>
      <c r="AG549" s="29"/>
    </row>
    <row r="550" spans="1:33">
      <c r="A550" s="29"/>
      <c r="B550" s="29"/>
      <c r="C550" s="29"/>
      <c r="D550" s="29"/>
      <c r="E550" s="30"/>
      <c r="F550" s="30"/>
      <c r="X550" s="29"/>
      <c r="Y550" s="29"/>
      <c r="AA550" s="18"/>
      <c r="AC550" s="30"/>
      <c r="AE550" s="18"/>
      <c r="AG550" s="29"/>
    </row>
    <row r="551" spans="1:33">
      <c r="A551" s="29"/>
      <c r="B551" s="29"/>
      <c r="C551" s="29"/>
      <c r="D551" s="29"/>
      <c r="E551" s="30"/>
      <c r="F551" s="30"/>
      <c r="X551" s="29"/>
      <c r="Y551" s="29"/>
      <c r="AA551" s="18"/>
      <c r="AC551" s="31"/>
      <c r="AE551" s="18"/>
      <c r="AG551" s="29"/>
    </row>
    <row r="552" spans="1:33">
      <c r="A552" s="29"/>
      <c r="B552" s="29"/>
      <c r="C552" s="29"/>
      <c r="D552" s="29"/>
      <c r="E552" s="30"/>
      <c r="F552" s="30"/>
      <c r="X552" s="29"/>
      <c r="Y552" s="29"/>
      <c r="AA552" s="18"/>
      <c r="AC552" s="30"/>
      <c r="AE552" s="18"/>
      <c r="AG552" s="29"/>
    </row>
    <row r="553" spans="1:33">
      <c r="A553" s="29"/>
      <c r="B553" s="29"/>
      <c r="C553" s="29"/>
      <c r="D553" s="29"/>
      <c r="E553" s="30"/>
      <c r="F553" s="30"/>
      <c r="X553" s="29"/>
      <c r="Y553" s="29"/>
      <c r="AA553" s="18"/>
      <c r="AC553" s="31"/>
      <c r="AE553" s="18"/>
      <c r="AG553" s="29"/>
    </row>
    <row r="554" spans="1:33">
      <c r="A554" s="29"/>
      <c r="B554" s="29"/>
      <c r="C554" s="29"/>
      <c r="D554" s="29"/>
      <c r="E554" s="30"/>
      <c r="F554" s="30"/>
      <c r="X554" s="29"/>
      <c r="Y554" s="29"/>
      <c r="AA554" s="18"/>
      <c r="AC554" s="31"/>
      <c r="AE554" s="18"/>
      <c r="AG554" s="29"/>
    </row>
    <row r="555" spans="1:33">
      <c r="A555" s="29"/>
      <c r="B555" s="29"/>
      <c r="C555" s="29"/>
      <c r="D555" s="29"/>
      <c r="E555" s="30"/>
      <c r="F555" s="30"/>
      <c r="X555" s="29"/>
      <c r="Y555" s="29"/>
      <c r="AA555" s="18"/>
      <c r="AC555" s="31"/>
      <c r="AE555" s="18"/>
      <c r="AG555" s="29"/>
    </row>
    <row r="556" spans="1:33">
      <c r="A556" s="29"/>
      <c r="B556" s="29"/>
      <c r="C556" s="29"/>
      <c r="D556" s="29"/>
      <c r="E556" s="30"/>
      <c r="F556" s="30"/>
      <c r="X556" s="29"/>
      <c r="Y556" s="29"/>
      <c r="AA556" s="18"/>
      <c r="AC556" s="31"/>
      <c r="AE556" s="18"/>
      <c r="AG556" s="29"/>
    </row>
    <row r="557" spans="1:33">
      <c r="A557" s="29"/>
      <c r="B557" s="29"/>
      <c r="C557" s="29"/>
      <c r="D557" s="29"/>
      <c r="E557" s="30"/>
      <c r="F557" s="30"/>
      <c r="X557" s="29"/>
      <c r="Y557" s="29"/>
      <c r="AA557" s="18"/>
      <c r="AC557" s="31"/>
      <c r="AE557" s="18"/>
      <c r="AG557" s="29"/>
    </row>
    <row r="558" spans="1:33">
      <c r="A558" s="29"/>
      <c r="B558" s="29"/>
      <c r="C558" s="29"/>
      <c r="D558" s="29"/>
      <c r="E558" s="30"/>
      <c r="F558" s="30"/>
      <c r="X558" s="29"/>
      <c r="Y558" s="29"/>
      <c r="AA558" s="18"/>
      <c r="AC558" s="31"/>
      <c r="AE558" s="18"/>
      <c r="AG558" s="29"/>
    </row>
    <row r="559" spans="1:33">
      <c r="A559" s="29"/>
      <c r="B559" s="29"/>
      <c r="C559" s="29"/>
      <c r="D559" s="29"/>
      <c r="E559" s="30"/>
      <c r="F559" s="30"/>
      <c r="X559" s="29"/>
      <c r="Y559" s="29"/>
      <c r="AA559" s="18"/>
      <c r="AC559" s="31"/>
      <c r="AE559" s="18"/>
      <c r="AG559" s="29"/>
    </row>
    <row r="560" spans="1:33">
      <c r="A560" s="29"/>
      <c r="B560" s="29"/>
      <c r="C560" s="29"/>
      <c r="D560" s="29"/>
      <c r="E560" s="30"/>
      <c r="F560" s="30"/>
      <c r="X560" s="29"/>
      <c r="Y560" s="29"/>
      <c r="AA560" s="18"/>
      <c r="AC560" s="31"/>
      <c r="AE560" s="18"/>
      <c r="AG560" s="29"/>
    </row>
    <row r="561" spans="1:33">
      <c r="A561" s="29"/>
      <c r="B561" s="29"/>
      <c r="C561" s="29"/>
      <c r="D561" s="29"/>
      <c r="E561" s="30"/>
      <c r="F561" s="30"/>
      <c r="X561" s="29"/>
      <c r="Y561" s="29"/>
      <c r="AA561" s="18"/>
      <c r="AC561" s="31"/>
      <c r="AE561" s="18"/>
      <c r="AG561" s="29"/>
    </row>
    <row r="562" spans="1:33">
      <c r="A562" s="29"/>
      <c r="B562" s="29"/>
      <c r="C562" s="29"/>
      <c r="D562" s="29"/>
      <c r="E562" s="30"/>
      <c r="F562" s="30"/>
      <c r="X562" s="29"/>
      <c r="Y562" s="29"/>
      <c r="AA562" s="18"/>
      <c r="AC562" s="31"/>
      <c r="AE562" s="18"/>
      <c r="AG562" s="29"/>
    </row>
    <row r="563" spans="1:33">
      <c r="A563" s="29"/>
      <c r="B563" s="29"/>
      <c r="C563" s="29"/>
      <c r="D563" s="29"/>
      <c r="E563" s="30"/>
      <c r="F563" s="30"/>
      <c r="X563" s="29"/>
      <c r="Y563" s="29"/>
      <c r="AA563" s="18"/>
      <c r="AC563" s="30"/>
      <c r="AE563" s="18"/>
      <c r="AG563" s="29"/>
    </row>
    <row r="564" spans="1:33">
      <c r="A564" s="29"/>
      <c r="B564" s="29"/>
      <c r="C564" s="29"/>
      <c r="D564" s="29"/>
      <c r="E564" s="30"/>
      <c r="F564" s="30"/>
      <c r="X564" s="29"/>
      <c r="Y564" s="29"/>
      <c r="AA564" s="18"/>
      <c r="AC564" s="30"/>
      <c r="AE564" s="18"/>
      <c r="AG564" s="29"/>
    </row>
    <row r="565" spans="1:33">
      <c r="A565" s="29"/>
      <c r="B565" s="29"/>
      <c r="C565" s="29"/>
      <c r="D565" s="29"/>
      <c r="E565" s="30"/>
      <c r="F565" s="30"/>
      <c r="X565" s="29"/>
      <c r="Y565" s="29"/>
      <c r="AA565" s="18"/>
      <c r="AC565" s="31"/>
      <c r="AE565" s="18"/>
      <c r="AG565" s="29"/>
    </row>
    <row r="566" spans="1:33">
      <c r="A566" s="29"/>
      <c r="B566" s="29"/>
      <c r="C566" s="29"/>
      <c r="D566" s="29"/>
      <c r="E566" s="30"/>
      <c r="F566" s="30"/>
      <c r="X566" s="29"/>
      <c r="Y566" s="29"/>
      <c r="AA566" s="18"/>
      <c r="AC566" s="30"/>
      <c r="AE566" s="18"/>
      <c r="AG566" s="29"/>
    </row>
    <row r="567" spans="1:33">
      <c r="A567" s="29"/>
      <c r="B567" s="29"/>
      <c r="C567" s="29"/>
      <c r="D567" s="29"/>
      <c r="E567" s="30"/>
      <c r="F567" s="30"/>
      <c r="X567" s="29"/>
      <c r="Y567" s="29"/>
      <c r="AA567" s="18"/>
      <c r="AC567" s="31"/>
      <c r="AE567" s="18"/>
      <c r="AG567" s="29"/>
    </row>
    <row r="568" spans="1:33">
      <c r="A568" s="29"/>
      <c r="B568" s="29"/>
      <c r="C568" s="29"/>
      <c r="D568" s="29"/>
      <c r="E568" s="30"/>
      <c r="F568" s="30"/>
      <c r="X568" s="29"/>
      <c r="Y568" s="29"/>
      <c r="AA568" s="18"/>
      <c r="AC568" s="31"/>
      <c r="AE568" s="18"/>
      <c r="AG568" s="29"/>
    </row>
    <row r="569" spans="1:33">
      <c r="A569" s="29"/>
      <c r="B569" s="29"/>
      <c r="C569" s="29"/>
      <c r="D569" s="29"/>
      <c r="E569" s="30"/>
      <c r="F569" s="30"/>
      <c r="X569" s="29"/>
      <c r="Y569" s="29"/>
      <c r="AA569" s="18"/>
      <c r="AC569" s="31"/>
      <c r="AE569" s="18"/>
      <c r="AG569" s="29"/>
    </row>
    <row r="570" spans="1:33">
      <c r="A570" s="29"/>
      <c r="B570" s="29"/>
      <c r="C570" s="29"/>
      <c r="D570" s="29"/>
      <c r="E570" s="30"/>
      <c r="F570" s="30"/>
      <c r="X570" s="29"/>
      <c r="Y570" s="29"/>
      <c r="AA570" s="18"/>
      <c r="AC570" s="31"/>
      <c r="AE570" s="18"/>
      <c r="AG570" s="29"/>
    </row>
    <row r="571" spans="1:33">
      <c r="A571" s="29"/>
      <c r="B571" s="29"/>
      <c r="C571" s="29"/>
      <c r="D571" s="29"/>
      <c r="E571" s="30"/>
      <c r="F571" s="30"/>
      <c r="X571" s="29"/>
      <c r="Y571" s="29"/>
      <c r="AA571" s="18"/>
      <c r="AC571" s="31"/>
      <c r="AE571" s="18"/>
      <c r="AG571" s="29"/>
    </row>
    <row r="572" spans="1:33">
      <c r="A572" s="29"/>
      <c r="B572" s="29"/>
      <c r="C572" s="29"/>
      <c r="D572" s="29"/>
      <c r="E572" s="30"/>
      <c r="F572" s="30"/>
      <c r="X572" s="29"/>
      <c r="Y572" s="29"/>
      <c r="AA572" s="18"/>
      <c r="AC572" s="31"/>
      <c r="AE572" s="18"/>
      <c r="AG572" s="29"/>
    </row>
    <row r="573" spans="1:33">
      <c r="A573" s="29"/>
      <c r="B573" s="29"/>
      <c r="C573" s="29"/>
      <c r="D573" s="29"/>
      <c r="E573" s="30"/>
      <c r="F573" s="30"/>
      <c r="X573" s="29"/>
      <c r="Y573" s="29"/>
      <c r="AA573" s="18"/>
      <c r="AC573" s="31"/>
      <c r="AE573" s="18"/>
      <c r="AG573" s="29"/>
    </row>
    <row r="574" spans="1:33">
      <c r="A574" s="29"/>
      <c r="B574" s="29"/>
      <c r="C574" s="29"/>
      <c r="D574" s="29"/>
      <c r="E574" s="30"/>
      <c r="F574" s="30"/>
      <c r="X574" s="29"/>
      <c r="Y574" s="29"/>
      <c r="AA574" s="18"/>
      <c r="AC574" s="31"/>
      <c r="AE574" s="18"/>
      <c r="AG574" s="29"/>
    </row>
    <row r="575" spans="1:33">
      <c r="A575" s="29"/>
      <c r="B575" s="29"/>
      <c r="C575" s="29"/>
      <c r="D575" s="29"/>
      <c r="E575" s="30"/>
      <c r="F575" s="30"/>
      <c r="X575" s="29"/>
      <c r="Y575" s="29"/>
      <c r="AA575" s="18"/>
      <c r="AC575" s="31"/>
      <c r="AE575" s="18"/>
      <c r="AG575" s="29"/>
    </row>
    <row r="576" spans="1:33">
      <c r="A576" s="29"/>
      <c r="B576" s="29"/>
      <c r="C576" s="29"/>
      <c r="D576" s="29"/>
      <c r="E576" s="30"/>
      <c r="F576" s="30"/>
      <c r="X576" s="29"/>
      <c r="Y576" s="29"/>
      <c r="AA576" s="18"/>
      <c r="AC576" s="31"/>
      <c r="AE576" s="18"/>
      <c r="AG576" s="29"/>
    </row>
    <row r="577" spans="1:33">
      <c r="A577" s="29"/>
      <c r="B577" s="29"/>
      <c r="C577" s="29"/>
      <c r="D577" s="29"/>
      <c r="E577" s="30"/>
      <c r="F577" s="30"/>
      <c r="X577" s="29"/>
      <c r="Y577" s="29"/>
      <c r="AA577" s="18"/>
      <c r="AC577" s="31"/>
      <c r="AE577" s="18"/>
      <c r="AG577" s="29"/>
    </row>
    <row r="578" spans="1:33">
      <c r="A578" s="29"/>
      <c r="B578" s="29"/>
      <c r="C578" s="29"/>
      <c r="D578" s="29"/>
      <c r="E578" s="30"/>
      <c r="F578" s="30"/>
      <c r="X578" s="29"/>
      <c r="Y578" s="29"/>
      <c r="AA578" s="18"/>
      <c r="AC578" s="31"/>
      <c r="AE578" s="18"/>
      <c r="AG578" s="29"/>
    </row>
    <row r="579" spans="1:33">
      <c r="A579" s="29"/>
      <c r="B579" s="29"/>
      <c r="C579" s="29"/>
      <c r="D579" s="29"/>
      <c r="E579" s="30"/>
      <c r="F579" s="30"/>
      <c r="X579" s="29"/>
      <c r="Y579" s="29"/>
      <c r="AA579" s="18"/>
      <c r="AC579" s="31"/>
      <c r="AE579" s="18"/>
      <c r="AG579" s="29"/>
    </row>
    <row r="580" spans="1:33">
      <c r="A580" s="29"/>
      <c r="B580" s="29"/>
      <c r="C580" s="29"/>
      <c r="D580" s="29"/>
      <c r="E580" s="30"/>
      <c r="F580" s="30"/>
      <c r="X580" s="29"/>
      <c r="Y580" s="29"/>
      <c r="AA580" s="18"/>
      <c r="AC580" s="31"/>
      <c r="AE580" s="18"/>
      <c r="AG580" s="29"/>
    </row>
    <row r="581" spans="1:33">
      <c r="A581" s="29"/>
      <c r="B581" s="29"/>
      <c r="C581" s="29"/>
      <c r="D581" s="29"/>
      <c r="E581" s="30"/>
      <c r="F581" s="30"/>
      <c r="X581" s="29"/>
      <c r="Y581" s="29"/>
      <c r="AA581" s="18"/>
      <c r="AC581" s="31"/>
      <c r="AE581" s="18"/>
      <c r="AG581" s="29"/>
    </row>
    <row r="582" spans="1:33">
      <c r="A582" s="29"/>
      <c r="B582" s="29"/>
      <c r="C582" s="29"/>
      <c r="D582" s="29"/>
      <c r="E582" s="30"/>
      <c r="F582" s="30"/>
      <c r="X582" s="29"/>
      <c r="Y582" s="29"/>
      <c r="AA582" s="18"/>
      <c r="AC582" s="31"/>
      <c r="AE582" s="18"/>
      <c r="AG582" s="29"/>
    </row>
    <row r="583" spans="1:33">
      <c r="A583" s="29"/>
      <c r="B583" s="29"/>
      <c r="C583" s="29"/>
      <c r="D583" s="29"/>
      <c r="E583" s="30"/>
      <c r="F583" s="30"/>
      <c r="X583" s="29"/>
      <c r="Y583" s="29"/>
      <c r="AA583" s="18"/>
      <c r="AC583" s="31"/>
      <c r="AE583" s="18"/>
      <c r="AG583" s="29"/>
    </row>
    <row r="584" spans="1:33">
      <c r="A584" s="29"/>
      <c r="B584" s="29"/>
      <c r="C584" s="29"/>
      <c r="D584" s="29"/>
      <c r="E584" s="30"/>
      <c r="F584" s="30"/>
      <c r="X584" s="29"/>
      <c r="Y584" s="29"/>
      <c r="AA584" s="18"/>
      <c r="AC584" s="30"/>
      <c r="AE584" s="18"/>
      <c r="AG584" s="29"/>
    </row>
    <row r="585" spans="1:33">
      <c r="A585" s="29"/>
      <c r="B585" s="29"/>
      <c r="C585" s="29"/>
      <c r="D585" s="29"/>
      <c r="E585" s="30"/>
      <c r="F585" s="30"/>
      <c r="X585" s="29"/>
      <c r="Y585" s="29"/>
      <c r="AA585" s="18"/>
      <c r="AC585" s="30"/>
      <c r="AE585" s="18"/>
      <c r="AG585" s="29"/>
    </row>
    <row r="586" spans="1:33">
      <c r="A586" s="29"/>
      <c r="B586" s="29"/>
      <c r="C586" s="29"/>
      <c r="D586" s="29"/>
      <c r="E586" s="30"/>
      <c r="F586" s="30"/>
      <c r="X586" s="29"/>
      <c r="Y586" s="29"/>
      <c r="AA586" s="18"/>
      <c r="AC586" s="31"/>
      <c r="AE586" s="18"/>
      <c r="AG586" s="29"/>
    </row>
    <row r="587" spans="1:33">
      <c r="A587" s="29"/>
      <c r="B587" s="29"/>
      <c r="C587" s="29"/>
      <c r="D587" s="29"/>
      <c r="E587" s="30"/>
      <c r="F587" s="30"/>
      <c r="X587" s="29"/>
      <c r="Y587" s="29"/>
      <c r="AA587" s="18"/>
      <c r="AC587" s="31"/>
      <c r="AE587" s="18"/>
      <c r="AG587" s="29"/>
    </row>
    <row r="588" spans="1:33">
      <c r="A588" s="29"/>
      <c r="B588" s="29"/>
      <c r="C588" s="29"/>
      <c r="D588" s="29"/>
      <c r="E588" s="30"/>
      <c r="F588" s="30"/>
      <c r="X588" s="29"/>
      <c r="Y588" s="29"/>
      <c r="AA588" s="18"/>
      <c r="AC588" s="31"/>
      <c r="AE588" s="18"/>
      <c r="AG588" s="29"/>
    </row>
    <row r="589" spans="1:33">
      <c r="A589" s="29"/>
      <c r="B589" s="29"/>
      <c r="C589" s="29"/>
      <c r="D589" s="29"/>
      <c r="E589" s="30"/>
      <c r="F589" s="30"/>
      <c r="X589" s="29"/>
      <c r="Y589" s="29"/>
      <c r="AA589" s="18"/>
      <c r="AC589" s="31"/>
      <c r="AE589" s="18"/>
      <c r="AG589" s="29"/>
    </row>
    <row r="590" spans="1:33">
      <c r="A590" s="29"/>
      <c r="B590" s="29"/>
      <c r="C590" s="29"/>
      <c r="D590" s="29"/>
      <c r="E590" s="30"/>
      <c r="F590" s="30"/>
      <c r="X590" s="29"/>
      <c r="Y590" s="29"/>
      <c r="AA590" s="18"/>
      <c r="AC590" s="31"/>
      <c r="AE590" s="18"/>
      <c r="AG590" s="29"/>
    </row>
    <row r="591" spans="1:33">
      <c r="A591" s="29"/>
      <c r="B591" s="29"/>
      <c r="C591" s="29"/>
      <c r="D591" s="29"/>
      <c r="E591" s="30"/>
      <c r="F591" s="30"/>
      <c r="X591" s="29"/>
      <c r="Y591" s="29"/>
      <c r="AA591" s="18"/>
      <c r="AC591" s="31"/>
      <c r="AE591" s="18"/>
      <c r="AG591" s="29"/>
    </row>
    <row r="592" spans="1:33">
      <c r="A592" s="29"/>
      <c r="B592" s="29"/>
      <c r="C592" s="29"/>
      <c r="D592" s="29"/>
      <c r="E592" s="30"/>
      <c r="F592" s="30"/>
      <c r="X592" s="29"/>
      <c r="Y592" s="29"/>
      <c r="AA592" s="18"/>
      <c r="AC592" s="31"/>
      <c r="AE592" s="18"/>
      <c r="AG592" s="29"/>
    </row>
    <row r="593" spans="1:33">
      <c r="A593" s="29"/>
      <c r="B593" s="29"/>
      <c r="C593" s="29"/>
      <c r="D593" s="29"/>
      <c r="E593" s="30"/>
      <c r="F593" s="30"/>
      <c r="X593" s="29"/>
      <c r="Y593" s="29"/>
      <c r="AA593" s="18"/>
      <c r="AC593" s="30"/>
      <c r="AE593" s="18"/>
      <c r="AG593" s="29"/>
    </row>
    <row r="594" spans="1:33">
      <c r="A594" s="29"/>
      <c r="B594" s="29"/>
      <c r="C594" s="29"/>
      <c r="D594" s="29"/>
      <c r="E594" s="30"/>
      <c r="F594" s="30"/>
      <c r="X594" s="29"/>
      <c r="Y594" s="29"/>
      <c r="AA594" s="18"/>
      <c r="AC594" s="30"/>
      <c r="AE594" s="18"/>
      <c r="AG594" s="29"/>
    </row>
    <row r="595" spans="1:33">
      <c r="A595" s="29"/>
      <c r="B595" s="29"/>
      <c r="C595" s="29"/>
      <c r="D595" s="29"/>
      <c r="E595" s="30"/>
      <c r="F595" s="30"/>
      <c r="X595" s="29"/>
      <c r="Y595" s="29"/>
      <c r="AA595" s="18"/>
      <c r="AC595" s="31"/>
      <c r="AE595" s="18"/>
      <c r="AG595" s="29"/>
    </row>
    <row r="596" spans="1:33">
      <c r="A596" s="29"/>
      <c r="B596" s="29"/>
      <c r="C596" s="29"/>
      <c r="D596" s="29"/>
      <c r="E596" s="30"/>
      <c r="F596" s="30"/>
      <c r="X596" s="29"/>
      <c r="Y596" s="29"/>
      <c r="AA596" s="18"/>
      <c r="AC596" s="31"/>
      <c r="AE596" s="18"/>
      <c r="AG596" s="29"/>
    </row>
    <row r="597" spans="1:33">
      <c r="A597" s="29"/>
      <c r="B597" s="29"/>
      <c r="C597" s="29"/>
      <c r="D597" s="29"/>
      <c r="E597" s="30"/>
      <c r="F597" s="30"/>
      <c r="X597" s="29"/>
      <c r="Y597" s="29"/>
      <c r="AA597" s="18"/>
      <c r="AC597" s="31"/>
      <c r="AE597" s="18"/>
      <c r="AG597" s="29"/>
    </row>
    <row r="598" spans="1:33">
      <c r="A598" s="29"/>
      <c r="B598" s="29"/>
      <c r="C598" s="29"/>
      <c r="D598" s="29"/>
      <c r="E598" s="30"/>
      <c r="F598" s="30"/>
      <c r="X598" s="29"/>
      <c r="Y598" s="29"/>
      <c r="AA598" s="18"/>
      <c r="AC598" s="31"/>
      <c r="AE598" s="18"/>
      <c r="AG598" s="29"/>
    </row>
    <row r="599" spans="1:33">
      <c r="A599" s="29"/>
      <c r="B599" s="29"/>
      <c r="C599" s="29"/>
      <c r="D599" s="29"/>
      <c r="E599" s="30"/>
      <c r="F599" s="30"/>
      <c r="X599" s="29"/>
      <c r="Y599" s="29"/>
      <c r="AA599" s="18"/>
      <c r="AC599" s="31"/>
      <c r="AE599" s="18"/>
      <c r="AG599" s="29"/>
    </row>
    <row r="600" spans="1:33">
      <c r="A600" s="29"/>
      <c r="B600" s="29"/>
      <c r="C600" s="29"/>
      <c r="D600" s="29"/>
      <c r="E600" s="30"/>
      <c r="F600" s="30"/>
      <c r="X600" s="29"/>
      <c r="Y600" s="29"/>
      <c r="AA600" s="18"/>
      <c r="AC600" s="31"/>
      <c r="AE600" s="18"/>
      <c r="AG600" s="29"/>
    </row>
    <row r="601" spans="1:33">
      <c r="A601" s="29"/>
      <c r="B601" s="29"/>
      <c r="C601" s="29"/>
      <c r="D601" s="29"/>
      <c r="E601" s="30"/>
      <c r="F601" s="30"/>
      <c r="X601" s="29"/>
      <c r="Y601" s="29"/>
      <c r="AA601" s="18"/>
      <c r="AC601" s="31"/>
      <c r="AE601" s="18"/>
      <c r="AG601" s="29"/>
    </row>
    <row r="602" spans="1:33">
      <c r="A602" s="29"/>
      <c r="B602" s="29"/>
      <c r="C602" s="29"/>
      <c r="D602" s="29"/>
      <c r="E602" s="30"/>
      <c r="F602" s="30"/>
      <c r="X602" s="29"/>
      <c r="Y602" s="29"/>
      <c r="AA602" s="18"/>
      <c r="AC602" s="31"/>
      <c r="AE602" s="18"/>
      <c r="AG602" s="29"/>
    </row>
    <row r="603" spans="1:33">
      <c r="A603" s="29"/>
      <c r="B603" s="29"/>
      <c r="C603" s="29"/>
      <c r="D603" s="29"/>
      <c r="E603" s="30"/>
      <c r="F603" s="30"/>
      <c r="X603" s="29"/>
      <c r="Y603" s="29"/>
      <c r="AA603" s="18"/>
      <c r="AC603" s="30"/>
      <c r="AE603" s="18"/>
      <c r="AG603" s="29"/>
    </row>
    <row r="604" spans="1:33">
      <c r="A604" s="29"/>
      <c r="B604" s="29"/>
      <c r="C604" s="29"/>
      <c r="D604" s="29"/>
      <c r="E604" s="30"/>
      <c r="F604" s="30"/>
      <c r="X604" s="29"/>
      <c r="Y604" s="29"/>
      <c r="AA604" s="18"/>
      <c r="AC604" s="30"/>
      <c r="AE604" s="18"/>
      <c r="AG604" s="29"/>
    </row>
    <row r="605" spans="1:33">
      <c r="A605" s="29"/>
      <c r="B605" s="29"/>
      <c r="C605" s="29"/>
      <c r="D605" s="29"/>
      <c r="E605" s="30"/>
      <c r="F605" s="30"/>
      <c r="X605" s="29"/>
      <c r="Y605" s="29"/>
      <c r="AA605" s="18"/>
      <c r="AC605" s="31"/>
      <c r="AE605" s="18"/>
      <c r="AG605" s="29"/>
    </row>
    <row r="606" spans="1:33">
      <c r="A606" s="29"/>
      <c r="B606" s="29"/>
      <c r="C606" s="29"/>
      <c r="D606" s="29"/>
      <c r="E606" s="30"/>
      <c r="F606" s="30"/>
      <c r="X606" s="29"/>
      <c r="Y606" s="29"/>
      <c r="AA606" s="18"/>
      <c r="AC606" s="31"/>
      <c r="AE606" s="18"/>
      <c r="AG606" s="29"/>
    </row>
    <row r="607" spans="1:33">
      <c r="A607" s="29"/>
      <c r="B607" s="29"/>
      <c r="C607" s="29"/>
      <c r="D607" s="29"/>
      <c r="E607" s="30"/>
      <c r="F607" s="30"/>
      <c r="X607" s="29"/>
      <c r="Y607" s="29"/>
      <c r="AA607" s="18"/>
      <c r="AC607" s="31"/>
      <c r="AE607" s="18"/>
      <c r="AG607" s="29"/>
    </row>
    <row r="608" spans="1:33">
      <c r="A608" s="29"/>
      <c r="B608" s="29"/>
      <c r="C608" s="29"/>
      <c r="D608" s="29"/>
      <c r="E608" s="30"/>
      <c r="F608" s="30"/>
      <c r="X608" s="29"/>
      <c r="Y608" s="29"/>
      <c r="AA608" s="18"/>
      <c r="AC608" s="31"/>
      <c r="AE608" s="18"/>
      <c r="AG608" s="29"/>
    </row>
    <row r="609" spans="1:33">
      <c r="A609" s="29"/>
      <c r="B609" s="29"/>
      <c r="C609" s="29"/>
      <c r="D609" s="29"/>
      <c r="E609" s="30"/>
      <c r="F609" s="30"/>
      <c r="X609" s="29"/>
      <c r="Y609" s="29"/>
      <c r="AA609" s="18"/>
      <c r="AC609" s="31"/>
      <c r="AE609" s="18"/>
      <c r="AG609" s="29"/>
    </row>
    <row r="610" spans="1:33">
      <c r="A610" s="29"/>
      <c r="B610" s="29"/>
      <c r="C610" s="29"/>
      <c r="D610" s="29"/>
      <c r="E610" s="30"/>
      <c r="F610" s="30"/>
      <c r="X610" s="29"/>
      <c r="Y610" s="29"/>
      <c r="AA610" s="18"/>
      <c r="AC610" s="31"/>
      <c r="AE610" s="18"/>
      <c r="AG610" s="29"/>
    </row>
    <row r="611" spans="1:33">
      <c r="A611" s="29"/>
      <c r="B611" s="29"/>
      <c r="C611" s="29"/>
      <c r="D611" s="29"/>
      <c r="E611" s="30"/>
      <c r="F611" s="30"/>
      <c r="X611" s="29"/>
      <c r="Y611" s="29"/>
      <c r="AA611" s="18"/>
      <c r="AC611" s="31"/>
      <c r="AE611" s="18"/>
      <c r="AG611" s="29"/>
    </row>
    <row r="612" spans="1:33">
      <c r="A612" s="29"/>
      <c r="B612" s="29"/>
      <c r="C612" s="29"/>
      <c r="D612" s="29"/>
      <c r="E612" s="30"/>
      <c r="F612" s="30"/>
      <c r="X612" s="29"/>
      <c r="Y612" s="29"/>
      <c r="AA612" s="18"/>
      <c r="AC612" s="30"/>
      <c r="AE612" s="18"/>
      <c r="AG612" s="29"/>
    </row>
    <row r="613" spans="1:33">
      <c r="A613" s="29"/>
      <c r="B613" s="29"/>
      <c r="C613" s="29"/>
      <c r="D613" s="29"/>
      <c r="E613" s="30"/>
      <c r="F613" s="30"/>
      <c r="X613" s="29"/>
      <c r="Y613" s="29"/>
      <c r="AA613" s="18"/>
      <c r="AC613" s="30"/>
      <c r="AE613" s="18"/>
      <c r="AG613" s="29"/>
    </row>
    <row r="614" spans="1:33">
      <c r="A614" s="29"/>
      <c r="B614" s="29"/>
      <c r="C614" s="29"/>
      <c r="D614" s="29"/>
      <c r="E614" s="30"/>
      <c r="F614" s="30"/>
      <c r="X614" s="29"/>
      <c r="Y614" s="29"/>
      <c r="AA614" s="18"/>
      <c r="AC614" s="31"/>
      <c r="AE614" s="18"/>
      <c r="AG614" s="29"/>
    </row>
    <row r="615" spans="1:33">
      <c r="A615" s="29"/>
      <c r="B615" s="29"/>
      <c r="C615" s="29"/>
      <c r="D615" s="29"/>
      <c r="E615" s="30"/>
      <c r="F615" s="30"/>
      <c r="X615" s="29"/>
      <c r="Y615" s="29"/>
      <c r="AA615" s="18"/>
      <c r="AC615" s="31"/>
      <c r="AE615" s="18"/>
      <c r="AG615" s="29"/>
    </row>
    <row r="616" spans="1:33">
      <c r="A616" s="29"/>
      <c r="B616" s="29"/>
      <c r="C616" s="29"/>
      <c r="D616" s="29"/>
      <c r="E616" s="30"/>
      <c r="F616" s="30"/>
      <c r="X616" s="29"/>
      <c r="Y616" s="29"/>
      <c r="AA616" s="18"/>
      <c r="AC616" s="31"/>
      <c r="AE616" s="18"/>
      <c r="AG616" s="29"/>
    </row>
    <row r="617" spans="1:33">
      <c r="A617" s="29"/>
      <c r="B617" s="29"/>
      <c r="C617" s="29"/>
      <c r="D617" s="29"/>
      <c r="E617" s="30"/>
      <c r="F617" s="30"/>
      <c r="X617" s="29"/>
      <c r="Y617" s="29"/>
      <c r="AA617" s="18"/>
      <c r="AC617" s="31"/>
      <c r="AE617" s="18"/>
      <c r="AG617" s="29"/>
    </row>
    <row r="618" spans="1:33">
      <c r="A618" s="29"/>
      <c r="B618" s="29"/>
      <c r="C618" s="29"/>
      <c r="D618" s="29"/>
      <c r="E618" s="30"/>
      <c r="F618" s="30"/>
      <c r="X618" s="29"/>
      <c r="Y618" s="29"/>
      <c r="AA618" s="18"/>
      <c r="AC618" s="31"/>
      <c r="AE618" s="18"/>
      <c r="AG618" s="29"/>
    </row>
    <row r="619" spans="1:33">
      <c r="A619" s="29"/>
      <c r="B619" s="29"/>
      <c r="C619" s="29"/>
      <c r="D619" s="29"/>
      <c r="E619" s="30"/>
      <c r="F619" s="30"/>
      <c r="X619" s="29"/>
      <c r="Y619" s="29"/>
      <c r="AA619" s="18"/>
      <c r="AC619" s="30"/>
      <c r="AE619" s="18"/>
      <c r="AG619" s="29"/>
    </row>
    <row r="620" spans="1:33">
      <c r="A620" s="29"/>
      <c r="B620" s="29"/>
      <c r="C620" s="29"/>
      <c r="D620" s="29"/>
      <c r="E620" s="30"/>
      <c r="F620" s="30"/>
      <c r="X620" s="29"/>
      <c r="Y620" s="29"/>
      <c r="AA620" s="18"/>
      <c r="AC620" s="30"/>
      <c r="AE620" s="18"/>
      <c r="AG620" s="29"/>
    </row>
    <row r="621" spans="1:33">
      <c r="A621" s="29"/>
      <c r="B621" s="29"/>
      <c r="C621" s="29"/>
      <c r="D621" s="29"/>
      <c r="E621" s="30"/>
      <c r="F621" s="30"/>
      <c r="X621" s="29"/>
      <c r="Y621" s="29"/>
      <c r="AA621" s="18"/>
      <c r="AC621" s="31"/>
      <c r="AE621" s="18"/>
      <c r="AG621" s="29"/>
    </row>
    <row r="622" spans="1:33">
      <c r="A622" s="29"/>
      <c r="B622" s="29"/>
      <c r="C622" s="29"/>
      <c r="D622" s="29"/>
      <c r="E622" s="30"/>
      <c r="F622" s="30"/>
      <c r="X622" s="29"/>
      <c r="Y622" s="29"/>
      <c r="AA622" s="18"/>
      <c r="AC622" s="31"/>
      <c r="AE622" s="18"/>
      <c r="AG622" s="29"/>
    </row>
    <row r="623" spans="1:33">
      <c r="A623" s="29"/>
      <c r="B623" s="29"/>
      <c r="C623" s="29"/>
      <c r="D623" s="29"/>
      <c r="E623" s="30"/>
      <c r="F623" s="30"/>
      <c r="X623" s="29"/>
      <c r="Y623" s="29"/>
      <c r="AA623" s="18"/>
      <c r="AC623" s="31"/>
      <c r="AE623" s="18"/>
      <c r="AG623" s="29"/>
    </row>
    <row r="624" spans="1:33">
      <c r="A624" s="29"/>
      <c r="B624" s="29"/>
      <c r="C624" s="29"/>
      <c r="D624" s="29"/>
      <c r="E624" s="30"/>
      <c r="F624" s="30"/>
      <c r="X624" s="29"/>
      <c r="Y624" s="29"/>
      <c r="AA624" s="18"/>
      <c r="AC624" s="31"/>
      <c r="AE624" s="18"/>
      <c r="AG624" s="29"/>
    </row>
    <row r="625" spans="1:33">
      <c r="A625" s="29"/>
      <c r="B625" s="29"/>
      <c r="C625" s="29"/>
      <c r="D625" s="29"/>
      <c r="E625" s="30"/>
      <c r="F625" s="30"/>
      <c r="X625" s="29"/>
      <c r="Y625" s="29"/>
      <c r="AA625" s="18"/>
      <c r="AC625" s="31"/>
      <c r="AE625" s="18"/>
      <c r="AG625" s="29"/>
    </row>
    <row r="626" spans="1:33">
      <c r="A626" s="29"/>
      <c r="B626" s="29"/>
      <c r="C626" s="29"/>
      <c r="D626" s="29"/>
      <c r="E626" s="30"/>
      <c r="F626" s="30"/>
      <c r="X626" s="29"/>
      <c r="Y626" s="29"/>
      <c r="AA626" s="18"/>
      <c r="AC626" s="31"/>
      <c r="AE626" s="18"/>
      <c r="AG626" s="29"/>
    </row>
    <row r="627" spans="1:33">
      <c r="A627" s="29"/>
      <c r="B627" s="29"/>
      <c r="C627" s="29"/>
      <c r="D627" s="29"/>
      <c r="E627" s="30"/>
      <c r="F627" s="30"/>
      <c r="X627" s="29"/>
      <c r="Y627" s="29"/>
      <c r="AA627" s="18"/>
      <c r="AC627" s="31"/>
      <c r="AE627" s="18"/>
      <c r="AG627" s="29"/>
    </row>
    <row r="628" spans="1:33">
      <c r="A628" s="29"/>
      <c r="B628" s="29"/>
      <c r="C628" s="29"/>
      <c r="D628" s="29"/>
      <c r="E628" s="30"/>
      <c r="F628" s="30"/>
      <c r="X628" s="29"/>
      <c r="Y628" s="29"/>
      <c r="AA628" s="18"/>
      <c r="AC628" s="31"/>
      <c r="AE628" s="18"/>
      <c r="AG628" s="29"/>
    </row>
    <row r="629" spans="1:33">
      <c r="A629" s="29"/>
      <c r="B629" s="29"/>
      <c r="C629" s="29"/>
      <c r="D629" s="29"/>
      <c r="E629" s="30"/>
      <c r="F629" s="30"/>
      <c r="X629" s="29"/>
      <c r="Y629" s="29"/>
      <c r="AA629" s="18"/>
      <c r="AC629" s="31"/>
      <c r="AE629" s="18"/>
      <c r="AG629" s="29"/>
    </row>
    <row r="630" spans="1:33">
      <c r="A630" s="29"/>
      <c r="B630" s="29"/>
      <c r="C630" s="29"/>
      <c r="D630" s="29"/>
      <c r="E630" s="30"/>
      <c r="F630" s="30"/>
      <c r="X630" s="29"/>
      <c r="Y630" s="29"/>
      <c r="AA630" s="18"/>
      <c r="AC630" s="31"/>
      <c r="AE630" s="18"/>
      <c r="AG630" s="29"/>
    </row>
    <row r="631" spans="1:33">
      <c r="A631" s="29"/>
      <c r="B631" s="29"/>
      <c r="C631" s="29"/>
      <c r="D631" s="29"/>
      <c r="E631" s="30"/>
      <c r="F631" s="30"/>
      <c r="X631" s="29"/>
      <c r="Y631" s="29"/>
      <c r="AA631" s="18"/>
      <c r="AC631" s="31"/>
      <c r="AE631" s="18"/>
      <c r="AG631" s="29"/>
    </row>
    <row r="632" spans="1:33">
      <c r="A632" s="29"/>
      <c r="B632" s="29"/>
      <c r="C632" s="29"/>
      <c r="D632" s="29"/>
      <c r="E632" s="30"/>
      <c r="F632" s="30"/>
      <c r="X632" s="29"/>
      <c r="Y632" s="29"/>
      <c r="AA632" s="18"/>
      <c r="AC632" s="31"/>
      <c r="AE632" s="18"/>
      <c r="AG632" s="29"/>
    </row>
    <row r="633" spans="1:33">
      <c r="A633" s="29"/>
      <c r="B633" s="29"/>
      <c r="C633" s="29"/>
      <c r="D633" s="29"/>
      <c r="E633" s="30"/>
      <c r="F633" s="30"/>
      <c r="X633" s="29"/>
      <c r="Y633" s="29"/>
      <c r="AA633" s="18"/>
      <c r="AC633" s="31"/>
      <c r="AE633" s="18"/>
      <c r="AG633" s="29"/>
    </row>
    <row r="634" spans="1:33">
      <c r="A634" s="29"/>
      <c r="B634" s="29"/>
      <c r="C634" s="29"/>
      <c r="D634" s="29"/>
      <c r="E634" s="30"/>
      <c r="F634" s="30"/>
      <c r="X634" s="29"/>
      <c r="Y634" s="29"/>
      <c r="AA634" s="18"/>
      <c r="AC634" s="31"/>
      <c r="AE634" s="18"/>
      <c r="AG634" s="29"/>
    </row>
    <row r="635" spans="1:33">
      <c r="A635" s="29"/>
      <c r="B635" s="29"/>
      <c r="C635" s="29"/>
      <c r="D635" s="29"/>
      <c r="E635" s="30"/>
      <c r="F635" s="30"/>
      <c r="X635" s="29"/>
      <c r="Y635" s="29"/>
      <c r="AA635" s="18"/>
      <c r="AC635" s="31"/>
      <c r="AE635" s="18"/>
      <c r="AG635" s="29"/>
    </row>
    <row r="636" spans="1:33">
      <c r="A636" s="29"/>
      <c r="B636" s="29"/>
      <c r="C636" s="29"/>
      <c r="D636" s="29"/>
      <c r="E636" s="30"/>
      <c r="F636" s="30"/>
      <c r="X636" s="29"/>
      <c r="Y636" s="29"/>
      <c r="AA636" s="18"/>
      <c r="AC636" s="31"/>
      <c r="AE636" s="18"/>
      <c r="AG636" s="29"/>
    </row>
    <row r="637" spans="1:33">
      <c r="A637" s="29"/>
      <c r="B637" s="29"/>
      <c r="C637" s="29"/>
      <c r="D637" s="29"/>
      <c r="E637" s="30"/>
      <c r="F637" s="30"/>
      <c r="X637" s="29"/>
      <c r="Y637" s="29"/>
      <c r="AA637" s="18"/>
      <c r="AC637" s="31"/>
      <c r="AE637" s="18"/>
      <c r="AG637" s="29"/>
    </row>
    <row r="638" spans="1:33">
      <c r="A638" s="29"/>
      <c r="B638" s="29"/>
      <c r="C638" s="29"/>
      <c r="D638" s="29"/>
      <c r="E638" s="30"/>
      <c r="F638" s="30"/>
      <c r="X638" s="29"/>
      <c r="Y638" s="29"/>
      <c r="AA638" s="18"/>
      <c r="AC638" s="31"/>
      <c r="AE638" s="18"/>
      <c r="AG638" s="29"/>
    </row>
    <row r="639" spans="1:33">
      <c r="A639" s="29"/>
      <c r="B639" s="29"/>
      <c r="C639" s="29"/>
      <c r="D639" s="29"/>
      <c r="E639" s="30"/>
      <c r="F639" s="30"/>
      <c r="X639" s="29"/>
      <c r="Y639" s="29"/>
      <c r="AA639" s="18"/>
      <c r="AC639" s="31"/>
      <c r="AE639" s="18"/>
      <c r="AG639" s="29"/>
    </row>
    <row r="640" spans="1:33">
      <c r="A640" s="29"/>
      <c r="B640" s="29"/>
      <c r="C640" s="29"/>
      <c r="D640" s="29"/>
      <c r="E640" s="30"/>
      <c r="F640" s="30"/>
      <c r="X640" s="29"/>
      <c r="Y640" s="29"/>
      <c r="AA640" s="18"/>
      <c r="AC640" s="31"/>
      <c r="AE640" s="18"/>
      <c r="AG640" s="29"/>
    </row>
    <row r="641" spans="1:33">
      <c r="A641" s="29"/>
      <c r="B641" s="29"/>
      <c r="C641" s="29"/>
      <c r="D641" s="29"/>
      <c r="E641" s="30"/>
      <c r="F641" s="30"/>
      <c r="X641" s="29"/>
      <c r="Y641" s="29"/>
      <c r="AA641" s="18"/>
      <c r="AC641" s="30"/>
      <c r="AE641" s="18"/>
      <c r="AG641" s="29"/>
    </row>
    <row r="642" spans="1:33">
      <c r="A642" s="29"/>
      <c r="B642" s="29"/>
      <c r="C642" s="29"/>
      <c r="D642" s="29"/>
      <c r="E642" s="30"/>
      <c r="F642" s="30"/>
      <c r="X642" s="29"/>
      <c r="Y642" s="29"/>
      <c r="AA642" s="18"/>
      <c r="AC642" s="31"/>
      <c r="AE642" s="18"/>
      <c r="AG642" s="29"/>
    </row>
    <row r="643" spans="1:33">
      <c r="A643" s="29"/>
      <c r="B643" s="29"/>
      <c r="C643" s="29"/>
      <c r="D643" s="29"/>
      <c r="E643" s="30"/>
      <c r="F643" s="30"/>
      <c r="X643" s="29"/>
      <c r="Y643" s="29"/>
      <c r="AA643" s="18"/>
      <c r="AC643" s="30"/>
      <c r="AE643" s="18"/>
      <c r="AG643" s="29"/>
    </row>
    <row r="644" spans="1:33">
      <c r="A644" s="29"/>
      <c r="B644" s="29"/>
      <c r="C644" s="29"/>
      <c r="D644" s="29"/>
      <c r="E644" s="30"/>
      <c r="F644" s="30"/>
      <c r="X644" s="29"/>
      <c r="Y644" s="29"/>
      <c r="AA644" s="18"/>
      <c r="AC644" s="31"/>
      <c r="AE644" s="18"/>
      <c r="AG644" s="29"/>
    </row>
    <row r="645" spans="1:33">
      <c r="A645" s="29"/>
      <c r="B645" s="29"/>
      <c r="C645" s="29"/>
      <c r="D645" s="29"/>
      <c r="E645" s="30"/>
      <c r="F645" s="30"/>
      <c r="X645" s="29"/>
      <c r="Y645" s="29"/>
      <c r="AA645" s="18"/>
      <c r="AC645" s="31"/>
      <c r="AE645" s="18"/>
      <c r="AG645" s="29"/>
    </row>
    <row r="646" spans="1:33">
      <c r="A646" s="29"/>
      <c r="B646" s="29"/>
      <c r="C646" s="29"/>
      <c r="D646" s="29"/>
      <c r="E646" s="30"/>
      <c r="F646" s="30"/>
      <c r="X646" s="29"/>
      <c r="Y646" s="29"/>
      <c r="AA646" s="18"/>
      <c r="AC646" s="31"/>
      <c r="AE646" s="18"/>
      <c r="AG646" s="29"/>
    </row>
    <row r="647" spans="1:33">
      <c r="A647" s="29"/>
      <c r="B647" s="29"/>
      <c r="C647" s="29"/>
      <c r="D647" s="29"/>
      <c r="E647" s="30"/>
      <c r="F647" s="30"/>
      <c r="X647" s="29"/>
      <c r="Y647" s="29"/>
      <c r="AA647" s="18"/>
      <c r="AC647" s="31"/>
      <c r="AE647" s="18"/>
      <c r="AG647" s="29"/>
    </row>
    <row r="648" spans="1:33">
      <c r="A648" s="29"/>
      <c r="B648" s="29"/>
      <c r="C648" s="29"/>
      <c r="D648" s="29"/>
      <c r="E648" s="30"/>
      <c r="F648" s="30"/>
      <c r="X648" s="29"/>
      <c r="Y648" s="29"/>
      <c r="AA648" s="18"/>
      <c r="AC648" s="31"/>
      <c r="AE648" s="18"/>
      <c r="AG648" s="29"/>
    </row>
    <row r="649" spans="1:33">
      <c r="A649" s="29"/>
      <c r="B649" s="29"/>
      <c r="C649" s="29"/>
      <c r="D649" s="29"/>
      <c r="E649" s="30"/>
      <c r="F649" s="30"/>
      <c r="X649" s="29"/>
      <c r="Y649" s="29"/>
      <c r="AA649" s="18"/>
      <c r="AC649" s="31"/>
      <c r="AE649" s="18"/>
      <c r="AG649" s="29"/>
    </row>
    <row r="650" spans="1:33">
      <c r="A650" s="29"/>
      <c r="B650" s="29"/>
      <c r="C650" s="29"/>
      <c r="D650" s="29"/>
      <c r="E650" s="30"/>
      <c r="F650" s="30"/>
      <c r="X650" s="29"/>
      <c r="Y650" s="29"/>
      <c r="AA650" s="18"/>
      <c r="AC650" s="31"/>
      <c r="AE650" s="18"/>
      <c r="AG650" s="29"/>
    </row>
    <row r="651" spans="1:33">
      <c r="A651" s="29"/>
      <c r="B651" s="29"/>
      <c r="C651" s="29"/>
      <c r="D651" s="29"/>
      <c r="E651" s="30"/>
      <c r="F651" s="30"/>
      <c r="X651" s="29"/>
      <c r="Y651" s="29"/>
      <c r="AA651" s="18"/>
      <c r="AC651" s="31"/>
      <c r="AE651" s="18"/>
      <c r="AG651" s="29"/>
    </row>
    <row r="652" spans="1:33">
      <c r="A652" s="29"/>
      <c r="B652" s="29"/>
      <c r="C652" s="29"/>
      <c r="D652" s="29"/>
      <c r="E652" s="30"/>
      <c r="F652" s="30"/>
      <c r="X652" s="29"/>
      <c r="Y652" s="29"/>
      <c r="AA652" s="18"/>
      <c r="AC652" s="31"/>
      <c r="AE652" s="18"/>
      <c r="AG652" s="29"/>
    </row>
    <row r="653" spans="1:33">
      <c r="A653" s="29"/>
      <c r="B653" s="29"/>
      <c r="C653" s="29"/>
      <c r="D653" s="29"/>
      <c r="E653" s="30"/>
      <c r="F653" s="30"/>
      <c r="X653" s="29"/>
      <c r="Y653" s="29"/>
      <c r="AA653" s="18"/>
      <c r="AC653" s="31"/>
      <c r="AE653" s="18"/>
      <c r="AG653" s="29"/>
    </row>
    <row r="654" spans="1:33">
      <c r="A654" s="29"/>
      <c r="B654" s="29"/>
      <c r="C654" s="29"/>
      <c r="D654" s="29"/>
      <c r="E654" s="30"/>
      <c r="F654" s="30"/>
      <c r="X654" s="29"/>
      <c r="Y654" s="29"/>
      <c r="AA654" s="18"/>
      <c r="AC654" s="31"/>
      <c r="AE654" s="18"/>
      <c r="AG654" s="29"/>
    </row>
    <row r="655" spans="1:33">
      <c r="A655" s="29"/>
      <c r="B655" s="29"/>
      <c r="C655" s="29"/>
      <c r="D655" s="29"/>
      <c r="E655" s="30"/>
      <c r="F655" s="30"/>
      <c r="X655" s="29"/>
      <c r="Y655" s="29"/>
      <c r="AA655" s="18"/>
      <c r="AC655" s="31"/>
      <c r="AE655" s="18"/>
      <c r="AG655" s="29"/>
    </row>
    <row r="656" spans="1:33">
      <c r="A656" s="29"/>
      <c r="B656" s="29"/>
      <c r="C656" s="29"/>
      <c r="D656" s="29"/>
      <c r="E656" s="30"/>
      <c r="F656" s="30"/>
      <c r="X656" s="29"/>
      <c r="Y656" s="29"/>
      <c r="AA656" s="18"/>
      <c r="AC656" s="31"/>
      <c r="AE656" s="18"/>
      <c r="AG656" s="29"/>
    </row>
    <row r="657" spans="1:33">
      <c r="A657" s="29"/>
      <c r="B657" s="29"/>
      <c r="C657" s="29"/>
      <c r="D657" s="29"/>
      <c r="E657" s="30"/>
      <c r="F657" s="30"/>
      <c r="X657" s="29"/>
      <c r="Y657" s="29"/>
      <c r="AA657" s="18"/>
      <c r="AC657" s="31"/>
      <c r="AE657" s="18"/>
      <c r="AG657" s="29"/>
    </row>
    <row r="658" spans="1:33">
      <c r="A658" s="29"/>
      <c r="B658" s="29"/>
      <c r="C658" s="29"/>
      <c r="D658" s="29"/>
      <c r="E658" s="30"/>
      <c r="F658" s="30"/>
      <c r="X658" s="29"/>
      <c r="Y658" s="29"/>
      <c r="AA658" s="18"/>
      <c r="AC658" s="31"/>
      <c r="AE658" s="18"/>
      <c r="AG658" s="29"/>
    </row>
    <row r="659" spans="1:33">
      <c r="A659" s="29"/>
      <c r="B659" s="29"/>
      <c r="C659" s="29"/>
      <c r="D659" s="29"/>
      <c r="E659" s="30"/>
      <c r="F659" s="30"/>
      <c r="X659" s="29"/>
      <c r="Y659" s="29"/>
      <c r="AA659" s="18"/>
      <c r="AC659" s="30"/>
      <c r="AE659" s="18"/>
      <c r="AG659" s="29"/>
    </row>
    <row r="660" spans="1:33">
      <c r="A660" s="29"/>
      <c r="B660" s="29"/>
      <c r="C660" s="29"/>
      <c r="D660" s="29"/>
      <c r="E660" s="30"/>
      <c r="F660" s="30"/>
      <c r="X660" s="29"/>
      <c r="Y660" s="29"/>
      <c r="AA660" s="18"/>
      <c r="AC660" s="30"/>
      <c r="AE660" s="18"/>
      <c r="AG660" s="29"/>
    </row>
    <row r="661" spans="1:33">
      <c r="A661" s="29"/>
      <c r="B661" s="29"/>
      <c r="C661" s="29"/>
      <c r="D661" s="29"/>
      <c r="E661" s="30"/>
      <c r="F661" s="30"/>
      <c r="X661" s="29"/>
      <c r="Y661" s="29"/>
      <c r="AA661" s="18"/>
      <c r="AC661" s="31"/>
      <c r="AE661" s="18"/>
      <c r="AG661" s="29"/>
    </row>
    <row r="662" spans="1:33">
      <c r="A662" s="29"/>
      <c r="B662" s="29"/>
      <c r="C662" s="29"/>
      <c r="D662" s="29"/>
      <c r="E662" s="30"/>
      <c r="F662" s="30"/>
      <c r="X662" s="29"/>
      <c r="Y662" s="29"/>
      <c r="AA662" s="18"/>
      <c r="AC662" s="30"/>
      <c r="AE662" s="18"/>
      <c r="AG662" s="29"/>
    </row>
    <row r="663" spans="1:33">
      <c r="A663" s="29"/>
      <c r="B663" s="29"/>
      <c r="C663" s="29"/>
      <c r="D663" s="29"/>
      <c r="E663" s="30"/>
      <c r="F663" s="30"/>
      <c r="X663" s="29"/>
      <c r="Y663" s="29"/>
      <c r="AA663" s="18"/>
      <c r="AC663" s="30"/>
      <c r="AE663" s="18"/>
      <c r="AG663" s="29"/>
    </row>
    <row r="664" spans="1:33">
      <c r="A664" s="29"/>
      <c r="B664" s="29"/>
      <c r="C664" s="29"/>
      <c r="D664" s="29"/>
      <c r="E664" s="30"/>
      <c r="F664" s="30"/>
      <c r="X664" s="29"/>
      <c r="Y664" s="29"/>
      <c r="AA664" s="18"/>
      <c r="AC664" s="31"/>
      <c r="AE664" s="18"/>
      <c r="AG664" s="29"/>
    </row>
    <row r="665" spans="1:33">
      <c r="A665" s="29"/>
      <c r="B665" s="29"/>
      <c r="C665" s="29"/>
      <c r="D665" s="29"/>
      <c r="E665" s="30"/>
      <c r="F665" s="30"/>
      <c r="X665" s="29"/>
      <c r="Y665" s="29"/>
      <c r="AA665" s="18"/>
      <c r="AC665" s="31"/>
      <c r="AE665" s="18"/>
      <c r="AG665" s="29"/>
    </row>
    <row r="666" spans="1:33">
      <c r="A666" s="29"/>
      <c r="B666" s="29"/>
      <c r="C666" s="29"/>
      <c r="D666" s="29"/>
      <c r="E666" s="30"/>
      <c r="F666" s="30"/>
      <c r="X666" s="29"/>
      <c r="Y666" s="29"/>
      <c r="AA666" s="18"/>
      <c r="AC666" s="31"/>
      <c r="AE666" s="18"/>
      <c r="AG666" s="29"/>
    </row>
    <row r="667" spans="1:33">
      <c r="A667" s="29"/>
      <c r="B667" s="29"/>
      <c r="C667" s="29"/>
      <c r="D667" s="29"/>
      <c r="E667" s="30"/>
      <c r="F667" s="30"/>
      <c r="X667" s="29"/>
      <c r="Y667" s="29"/>
      <c r="AA667" s="18"/>
      <c r="AC667" s="31"/>
      <c r="AE667" s="18"/>
      <c r="AG667" s="29"/>
    </row>
    <row r="668" spans="1:33">
      <c r="A668" s="29"/>
      <c r="B668" s="29"/>
      <c r="C668" s="29"/>
      <c r="D668" s="29"/>
      <c r="E668" s="30"/>
      <c r="F668" s="30"/>
      <c r="X668" s="29"/>
      <c r="Y668" s="29"/>
      <c r="AA668" s="18"/>
      <c r="AC668" s="31"/>
      <c r="AE668" s="18"/>
      <c r="AG668" s="29"/>
    </row>
    <row r="669" spans="1:33">
      <c r="A669" s="29"/>
      <c r="B669" s="29"/>
      <c r="C669" s="29"/>
      <c r="D669" s="29"/>
      <c r="E669" s="30"/>
      <c r="F669" s="30"/>
      <c r="X669" s="29"/>
      <c r="Y669" s="29"/>
      <c r="AA669" s="18"/>
      <c r="AC669" s="31"/>
      <c r="AE669" s="18"/>
      <c r="AG669" s="29"/>
    </row>
    <row r="670" spans="1:33">
      <c r="A670" s="29"/>
      <c r="B670" s="29"/>
      <c r="C670" s="29"/>
      <c r="D670" s="29"/>
      <c r="E670" s="30"/>
      <c r="F670" s="30"/>
      <c r="X670" s="29"/>
      <c r="Y670" s="29"/>
      <c r="AA670" s="18"/>
      <c r="AC670" s="31"/>
      <c r="AE670" s="18"/>
      <c r="AG670" s="29"/>
    </row>
    <row r="671" spans="1:33">
      <c r="A671" s="29"/>
      <c r="B671" s="29"/>
      <c r="C671" s="29"/>
      <c r="D671" s="29"/>
      <c r="E671" s="30"/>
      <c r="F671" s="30"/>
      <c r="X671" s="29"/>
      <c r="Y671" s="29"/>
      <c r="AA671" s="18"/>
      <c r="AC671" s="31"/>
      <c r="AE671" s="18"/>
      <c r="AG671" s="29"/>
    </row>
    <row r="672" spans="1:33">
      <c r="A672" s="29"/>
      <c r="B672" s="29"/>
      <c r="C672" s="29"/>
      <c r="D672" s="29"/>
      <c r="E672" s="30"/>
      <c r="F672" s="30"/>
      <c r="X672" s="29"/>
      <c r="Y672" s="29"/>
      <c r="AA672" s="18"/>
      <c r="AC672" s="31"/>
      <c r="AE672" s="18"/>
      <c r="AG672" s="29"/>
    </row>
    <row r="673" spans="1:33">
      <c r="A673" s="29"/>
      <c r="B673" s="29"/>
      <c r="C673" s="29"/>
      <c r="D673" s="29"/>
      <c r="E673" s="30"/>
      <c r="F673" s="30"/>
      <c r="X673" s="29"/>
      <c r="Y673" s="29"/>
      <c r="AA673" s="18"/>
      <c r="AC673" s="31"/>
      <c r="AE673" s="18"/>
      <c r="AG673" s="29"/>
    </row>
    <row r="674" spans="1:33">
      <c r="A674" s="29"/>
      <c r="B674" s="29"/>
      <c r="C674" s="29"/>
      <c r="D674" s="29"/>
      <c r="E674" s="30"/>
      <c r="F674" s="30"/>
      <c r="X674" s="29"/>
      <c r="Y674" s="29"/>
      <c r="AA674" s="18"/>
      <c r="AC674" s="31"/>
      <c r="AE674" s="18"/>
      <c r="AG674" s="29"/>
    </row>
    <row r="675" spans="1:33">
      <c r="A675" s="29"/>
      <c r="B675" s="29"/>
      <c r="C675" s="29"/>
      <c r="D675" s="29"/>
      <c r="E675" s="30"/>
      <c r="F675" s="30"/>
      <c r="X675" s="29"/>
      <c r="Y675" s="29"/>
      <c r="AA675" s="18"/>
      <c r="AC675" s="31"/>
      <c r="AE675" s="18"/>
      <c r="AG675" s="29"/>
    </row>
    <row r="676" spans="1:33">
      <c r="A676" s="29"/>
      <c r="B676" s="29"/>
      <c r="C676" s="29"/>
      <c r="D676" s="29"/>
      <c r="E676" s="30"/>
      <c r="F676" s="30"/>
      <c r="X676" s="29"/>
      <c r="Y676" s="29"/>
      <c r="AA676" s="18"/>
      <c r="AC676" s="31"/>
      <c r="AE676" s="18"/>
      <c r="AG676" s="29"/>
    </row>
    <row r="677" spans="1:33">
      <c r="A677" s="29"/>
      <c r="B677" s="29"/>
      <c r="C677" s="29"/>
      <c r="D677" s="29"/>
      <c r="E677" s="30"/>
      <c r="F677" s="30"/>
      <c r="X677" s="29"/>
      <c r="Y677" s="29"/>
      <c r="AA677" s="18"/>
      <c r="AC677" s="31"/>
      <c r="AE677" s="18"/>
      <c r="AG677" s="29"/>
    </row>
    <row r="678" spans="1:33">
      <c r="A678" s="29"/>
      <c r="B678" s="29"/>
      <c r="C678" s="29"/>
      <c r="D678" s="29"/>
      <c r="E678" s="30"/>
      <c r="F678" s="30"/>
      <c r="X678" s="29"/>
      <c r="Y678" s="29"/>
      <c r="AA678" s="18"/>
      <c r="AC678" s="31"/>
      <c r="AE678" s="18"/>
      <c r="AG678" s="29"/>
    </row>
    <row r="679" spans="1:33">
      <c r="A679" s="29"/>
      <c r="B679" s="29"/>
      <c r="C679" s="29"/>
      <c r="D679" s="29"/>
      <c r="E679" s="30"/>
      <c r="F679" s="30"/>
      <c r="X679" s="29"/>
      <c r="Y679" s="29"/>
      <c r="AA679" s="18"/>
      <c r="AC679" s="31"/>
      <c r="AE679" s="18"/>
      <c r="AG679" s="29"/>
    </row>
    <row r="680" spans="1:33">
      <c r="A680" s="29"/>
      <c r="B680" s="29"/>
      <c r="C680" s="29"/>
      <c r="D680" s="29"/>
      <c r="E680" s="30"/>
      <c r="F680" s="30"/>
      <c r="X680" s="29"/>
      <c r="Y680" s="29"/>
      <c r="AA680" s="18"/>
      <c r="AC680" s="31"/>
      <c r="AE680" s="18"/>
      <c r="AG680" s="29"/>
    </row>
    <row r="681" spans="1:33">
      <c r="A681" s="29"/>
      <c r="B681" s="29"/>
      <c r="C681" s="29"/>
      <c r="D681" s="29"/>
      <c r="E681" s="30"/>
      <c r="F681" s="30"/>
      <c r="X681" s="29"/>
      <c r="Y681" s="29"/>
      <c r="AA681" s="18"/>
      <c r="AC681" s="31"/>
      <c r="AE681" s="18"/>
      <c r="AG681" s="29"/>
    </row>
    <row r="682" spans="1:33">
      <c r="A682" s="29"/>
      <c r="B682" s="29"/>
      <c r="C682" s="29"/>
      <c r="D682" s="29"/>
      <c r="E682" s="30"/>
      <c r="F682" s="30"/>
      <c r="X682" s="29"/>
      <c r="Y682" s="29"/>
      <c r="AA682" s="18"/>
      <c r="AC682" s="30"/>
      <c r="AE682" s="18"/>
      <c r="AG682" s="29"/>
    </row>
    <row r="683" spans="1:33">
      <c r="A683" s="29"/>
      <c r="B683" s="29"/>
      <c r="C683" s="29"/>
      <c r="D683" s="29"/>
      <c r="E683" s="30"/>
      <c r="F683" s="30"/>
      <c r="X683" s="29"/>
      <c r="Y683" s="29"/>
      <c r="AA683" s="18"/>
      <c r="AC683" s="30"/>
      <c r="AE683" s="18"/>
      <c r="AG683" s="29"/>
    </row>
    <row r="684" spans="1:33">
      <c r="A684" s="29"/>
      <c r="B684" s="29"/>
      <c r="C684" s="29"/>
      <c r="D684" s="29"/>
      <c r="E684" s="30"/>
      <c r="F684" s="30"/>
      <c r="X684" s="29"/>
      <c r="Y684" s="29"/>
      <c r="AA684" s="18"/>
      <c r="AC684" s="31"/>
      <c r="AE684" s="18"/>
      <c r="AG684" s="29"/>
    </row>
    <row r="685" spans="1:33">
      <c r="A685" s="29"/>
      <c r="B685" s="29"/>
      <c r="C685" s="29"/>
      <c r="D685" s="29"/>
      <c r="E685" s="30"/>
      <c r="F685" s="30"/>
      <c r="X685" s="29"/>
      <c r="Y685" s="29"/>
      <c r="AA685" s="18"/>
      <c r="AC685" s="30"/>
      <c r="AE685" s="18"/>
      <c r="AG685" s="29"/>
    </row>
    <row r="686" spans="1:33">
      <c r="A686" s="29"/>
      <c r="B686" s="29"/>
      <c r="C686" s="29"/>
      <c r="D686" s="29"/>
      <c r="E686" s="30"/>
      <c r="F686" s="30"/>
      <c r="X686" s="29"/>
      <c r="Y686" s="29"/>
      <c r="AA686" s="18"/>
      <c r="AC686" s="30"/>
      <c r="AE686" s="18"/>
      <c r="AG686" s="29"/>
    </row>
    <row r="687" spans="1:33">
      <c r="A687" s="29"/>
      <c r="B687" s="29"/>
      <c r="C687" s="29"/>
      <c r="D687" s="29"/>
      <c r="E687" s="30"/>
      <c r="F687" s="30"/>
      <c r="X687" s="29"/>
      <c r="Y687" s="29"/>
      <c r="AA687" s="18"/>
      <c r="AC687" s="31"/>
      <c r="AE687" s="18"/>
      <c r="AG687" s="29"/>
    </row>
    <row r="688" spans="1:33">
      <c r="A688" s="29"/>
      <c r="B688" s="29"/>
      <c r="C688" s="29"/>
      <c r="D688" s="29"/>
      <c r="E688" s="30"/>
      <c r="F688" s="30"/>
      <c r="X688" s="29"/>
      <c r="Y688" s="29"/>
      <c r="AA688" s="18"/>
      <c r="AC688" s="31"/>
      <c r="AE688" s="18"/>
      <c r="AG688" s="29"/>
    </row>
    <row r="689" spans="1:33">
      <c r="A689" s="29"/>
      <c r="B689" s="29"/>
      <c r="C689" s="29"/>
      <c r="D689" s="29"/>
      <c r="E689" s="30"/>
      <c r="F689" s="30"/>
      <c r="X689" s="29"/>
      <c r="Y689" s="29"/>
      <c r="AA689" s="18"/>
      <c r="AC689" s="31"/>
      <c r="AE689" s="18"/>
      <c r="AG689" s="29"/>
    </row>
    <row r="690" spans="1:33">
      <c r="A690" s="29"/>
      <c r="B690" s="29"/>
      <c r="C690" s="29"/>
      <c r="D690" s="29"/>
      <c r="E690" s="30"/>
      <c r="F690" s="30"/>
      <c r="X690" s="29"/>
      <c r="Y690" s="29"/>
      <c r="AA690" s="18"/>
      <c r="AC690" s="30"/>
      <c r="AE690" s="18"/>
      <c r="AG690" s="29"/>
    </row>
    <row r="691" spans="1:33">
      <c r="A691" s="29"/>
      <c r="B691" s="29"/>
      <c r="C691" s="29"/>
      <c r="D691" s="29"/>
      <c r="E691" s="30"/>
      <c r="F691" s="30"/>
      <c r="X691" s="29"/>
      <c r="Y691" s="29"/>
      <c r="AA691" s="18"/>
      <c r="AC691" s="30"/>
      <c r="AE691" s="18"/>
      <c r="AG691" s="29"/>
    </row>
    <row r="692" spans="1:33">
      <c r="A692" s="29"/>
      <c r="B692" s="29"/>
      <c r="C692" s="29"/>
      <c r="D692" s="29"/>
      <c r="E692" s="30"/>
      <c r="F692" s="30"/>
      <c r="X692" s="29"/>
      <c r="Y692" s="29"/>
      <c r="AA692" s="18"/>
      <c r="AC692" s="30"/>
      <c r="AE692" s="18"/>
      <c r="AG692" s="29"/>
    </row>
    <row r="693" spans="1:33">
      <c r="A693" s="29"/>
      <c r="B693" s="29"/>
      <c r="C693" s="29"/>
      <c r="D693" s="29"/>
      <c r="E693" s="30"/>
      <c r="F693" s="30"/>
      <c r="X693" s="29"/>
      <c r="Y693" s="29"/>
      <c r="AA693" s="18"/>
      <c r="AC693" s="31"/>
      <c r="AE693" s="18"/>
      <c r="AG693" s="29"/>
    </row>
    <row r="694" spans="1:33">
      <c r="A694" s="29"/>
      <c r="B694" s="29"/>
      <c r="C694" s="29"/>
      <c r="D694" s="29"/>
      <c r="E694" s="30"/>
      <c r="F694" s="30"/>
      <c r="X694" s="29"/>
      <c r="Y694" s="29"/>
      <c r="AA694" s="18"/>
      <c r="AC694" s="30"/>
      <c r="AE694" s="18"/>
      <c r="AG694" s="29"/>
    </row>
    <row r="695" spans="1:33">
      <c r="A695" s="29"/>
      <c r="B695" s="29"/>
      <c r="C695" s="29"/>
      <c r="D695" s="29"/>
      <c r="E695" s="30"/>
      <c r="F695" s="30"/>
      <c r="X695" s="29"/>
      <c r="Y695" s="29"/>
      <c r="AA695" s="18"/>
      <c r="AC695" s="30"/>
      <c r="AE695" s="18"/>
      <c r="AG695" s="29"/>
    </row>
    <row r="696" spans="1:33">
      <c r="A696" s="29"/>
      <c r="B696" s="29"/>
      <c r="C696" s="29"/>
      <c r="D696" s="29"/>
      <c r="E696" s="30"/>
      <c r="F696" s="30"/>
      <c r="X696" s="29"/>
      <c r="Y696" s="29"/>
      <c r="AA696" s="18"/>
      <c r="AC696" s="31"/>
      <c r="AE696" s="18"/>
      <c r="AG696" s="29"/>
    </row>
    <row r="697" spans="1:33">
      <c r="A697" s="29"/>
      <c r="B697" s="29"/>
      <c r="C697" s="29"/>
      <c r="D697" s="29"/>
      <c r="E697" s="30"/>
      <c r="F697" s="30"/>
      <c r="X697" s="29"/>
      <c r="Y697" s="29"/>
      <c r="AA697" s="18"/>
      <c r="AC697" s="31"/>
      <c r="AE697" s="18"/>
      <c r="AG697" s="29"/>
    </row>
    <row r="698" spans="1:33">
      <c r="A698" s="29"/>
      <c r="B698" s="29"/>
      <c r="C698" s="29"/>
      <c r="D698" s="29"/>
      <c r="E698" s="30"/>
      <c r="F698" s="30"/>
      <c r="X698" s="29"/>
      <c r="Y698" s="29"/>
      <c r="AA698" s="18"/>
      <c r="AC698" s="31"/>
      <c r="AE698" s="18"/>
      <c r="AG698" s="29"/>
    </row>
    <row r="699" spans="1:33">
      <c r="A699" s="29"/>
      <c r="B699" s="29"/>
      <c r="C699" s="29"/>
      <c r="D699" s="29"/>
      <c r="E699" s="30"/>
      <c r="F699" s="30"/>
      <c r="X699" s="29"/>
      <c r="Y699" s="29"/>
      <c r="AA699" s="18"/>
      <c r="AC699" s="31"/>
      <c r="AE699" s="18"/>
      <c r="AG699" s="29"/>
    </row>
    <row r="700" spans="1:33">
      <c r="A700" s="29"/>
      <c r="B700" s="29"/>
      <c r="C700" s="29"/>
      <c r="D700" s="29"/>
      <c r="E700" s="30"/>
      <c r="F700" s="30"/>
      <c r="X700" s="29"/>
      <c r="Y700" s="29"/>
      <c r="AA700" s="18"/>
      <c r="AC700" s="31"/>
      <c r="AE700" s="18"/>
      <c r="AG700" s="29"/>
    </row>
    <row r="701" spans="1:33">
      <c r="A701" s="29"/>
      <c r="B701" s="29"/>
      <c r="C701" s="29"/>
      <c r="D701" s="29"/>
      <c r="E701" s="30"/>
      <c r="F701" s="30"/>
      <c r="X701" s="29"/>
      <c r="Y701" s="29"/>
      <c r="AA701" s="18"/>
      <c r="AC701" s="31"/>
      <c r="AE701" s="18"/>
      <c r="AG701" s="29"/>
    </row>
    <row r="702" spans="1:33">
      <c r="A702" s="29"/>
      <c r="B702" s="29"/>
      <c r="C702" s="29"/>
      <c r="D702" s="29"/>
      <c r="E702" s="30"/>
      <c r="F702" s="30"/>
      <c r="X702" s="29"/>
      <c r="Y702" s="29"/>
      <c r="AA702" s="18"/>
      <c r="AC702" s="31"/>
      <c r="AE702" s="18"/>
      <c r="AG702" s="29"/>
    </row>
    <row r="703" spans="1:33">
      <c r="A703" s="29"/>
      <c r="B703" s="29"/>
      <c r="C703" s="29"/>
      <c r="D703" s="29"/>
      <c r="E703" s="30"/>
      <c r="F703" s="30"/>
      <c r="X703" s="29"/>
      <c r="Y703" s="29"/>
      <c r="AA703" s="18"/>
      <c r="AC703" s="31"/>
      <c r="AE703" s="18"/>
      <c r="AG703" s="29"/>
    </row>
    <row r="704" spans="1:33">
      <c r="A704" s="29"/>
      <c r="B704" s="29"/>
      <c r="C704" s="29"/>
      <c r="D704" s="29"/>
      <c r="E704" s="30"/>
      <c r="F704" s="30"/>
      <c r="X704" s="29"/>
      <c r="Y704" s="29"/>
      <c r="AA704" s="18"/>
      <c r="AC704" s="31"/>
      <c r="AE704" s="18"/>
      <c r="AG704" s="29"/>
    </row>
    <row r="705" spans="1:33">
      <c r="A705" s="29"/>
      <c r="B705" s="29"/>
      <c r="C705" s="29"/>
      <c r="D705" s="29"/>
      <c r="E705" s="30"/>
      <c r="F705" s="30"/>
      <c r="X705" s="29"/>
      <c r="Y705" s="29"/>
      <c r="AA705" s="18"/>
      <c r="AC705" s="31"/>
      <c r="AE705" s="18"/>
      <c r="AG705" s="29"/>
    </row>
    <row r="706" spans="1:33">
      <c r="A706" s="29"/>
      <c r="B706" s="29"/>
      <c r="C706" s="29"/>
      <c r="D706" s="29"/>
      <c r="E706" s="30"/>
      <c r="F706" s="30"/>
      <c r="X706" s="29"/>
      <c r="Y706" s="29"/>
      <c r="AA706" s="18"/>
      <c r="AC706" s="31"/>
      <c r="AE706" s="18"/>
      <c r="AG706" s="29"/>
    </row>
    <row r="707" spans="1:33">
      <c r="A707" s="29"/>
      <c r="B707" s="29"/>
      <c r="C707" s="29"/>
      <c r="D707" s="29"/>
      <c r="E707" s="30"/>
      <c r="F707" s="30"/>
      <c r="X707" s="29"/>
      <c r="Y707" s="29"/>
      <c r="AA707" s="18"/>
      <c r="AC707" s="31"/>
      <c r="AE707" s="18"/>
      <c r="AG707" s="29"/>
    </row>
    <row r="708" spans="1:33">
      <c r="A708" s="29"/>
      <c r="B708" s="29"/>
      <c r="C708" s="29"/>
      <c r="D708" s="29"/>
      <c r="E708" s="30"/>
      <c r="F708" s="30"/>
      <c r="X708" s="29"/>
      <c r="Y708" s="29"/>
      <c r="AA708" s="18"/>
      <c r="AC708" s="31"/>
      <c r="AE708" s="18"/>
      <c r="AG708" s="29"/>
    </row>
    <row r="709" spans="1:33">
      <c r="A709" s="29"/>
      <c r="B709" s="29"/>
      <c r="C709" s="29"/>
      <c r="D709" s="29"/>
      <c r="E709" s="30"/>
      <c r="F709" s="30"/>
      <c r="X709" s="29"/>
      <c r="Y709" s="29"/>
      <c r="AA709" s="18"/>
      <c r="AC709" s="30"/>
      <c r="AE709" s="18"/>
      <c r="AG709" s="29"/>
    </row>
    <row r="710" spans="1:33">
      <c r="A710" s="29"/>
      <c r="B710" s="29"/>
      <c r="C710" s="29"/>
      <c r="D710" s="29"/>
      <c r="E710" s="30"/>
      <c r="F710" s="30"/>
      <c r="X710" s="29"/>
      <c r="Y710" s="29"/>
      <c r="AA710" s="18"/>
      <c r="AC710" s="31"/>
      <c r="AE710" s="18"/>
      <c r="AG710" s="29"/>
    </row>
    <row r="711" spans="1:33">
      <c r="A711" s="29"/>
      <c r="B711" s="29"/>
      <c r="C711" s="29"/>
      <c r="D711" s="29"/>
      <c r="E711" s="30"/>
      <c r="F711" s="30"/>
      <c r="X711" s="29"/>
      <c r="Y711" s="29"/>
      <c r="AA711" s="18"/>
      <c r="AC711" s="31"/>
      <c r="AE711" s="18"/>
      <c r="AG711" s="29"/>
    </row>
    <row r="712" spans="1:33">
      <c r="A712" s="29"/>
      <c r="B712" s="29"/>
      <c r="C712" s="29"/>
      <c r="D712" s="29"/>
      <c r="E712" s="30"/>
      <c r="F712" s="30"/>
      <c r="X712" s="29"/>
      <c r="Y712" s="29"/>
      <c r="AA712" s="18"/>
      <c r="AC712" s="30"/>
      <c r="AE712" s="18"/>
      <c r="AG712" s="29"/>
    </row>
    <row r="713" spans="1:33">
      <c r="A713" s="29"/>
      <c r="B713" s="29"/>
      <c r="C713" s="29"/>
      <c r="D713" s="29"/>
      <c r="E713" s="30"/>
      <c r="F713" s="30"/>
      <c r="X713" s="29"/>
      <c r="Y713" s="29"/>
      <c r="AA713" s="18"/>
      <c r="AC713" s="30"/>
      <c r="AE713" s="18"/>
      <c r="AG713" s="29"/>
    </row>
    <row r="714" spans="1:33">
      <c r="A714" s="29"/>
      <c r="B714" s="29"/>
      <c r="C714" s="29"/>
      <c r="D714" s="29"/>
      <c r="E714" s="30"/>
      <c r="F714" s="30"/>
      <c r="X714" s="29"/>
      <c r="Y714" s="29"/>
      <c r="AA714" s="18"/>
      <c r="AC714" s="31"/>
      <c r="AE714" s="18"/>
      <c r="AG714" s="29"/>
    </row>
    <row r="715" spans="1:33">
      <c r="A715" s="29"/>
      <c r="B715" s="29"/>
      <c r="C715" s="29"/>
      <c r="D715" s="29"/>
      <c r="E715" s="30"/>
      <c r="F715" s="30"/>
      <c r="X715" s="29"/>
      <c r="Y715" s="29"/>
      <c r="AA715" s="18"/>
      <c r="AC715" s="30"/>
      <c r="AE715" s="18"/>
      <c r="AG715" s="29"/>
    </row>
    <row r="716" spans="1:33">
      <c r="A716" s="29"/>
      <c r="B716" s="29"/>
      <c r="C716" s="29"/>
      <c r="D716" s="29"/>
      <c r="E716" s="30"/>
      <c r="F716" s="30"/>
      <c r="X716" s="29"/>
      <c r="Y716" s="29"/>
      <c r="AA716" s="18"/>
      <c r="AC716" s="30"/>
      <c r="AE716" s="18"/>
      <c r="AG716" s="29"/>
    </row>
    <row r="717" spans="1:33">
      <c r="A717" s="29"/>
      <c r="B717" s="29"/>
      <c r="C717" s="29"/>
      <c r="D717" s="29"/>
      <c r="E717" s="30"/>
      <c r="F717" s="30"/>
      <c r="X717" s="29"/>
      <c r="Y717" s="29"/>
      <c r="AA717" s="18"/>
      <c r="AC717" s="31"/>
      <c r="AE717" s="18"/>
      <c r="AG717" s="29"/>
    </row>
    <row r="718" spans="1:33">
      <c r="A718" s="29"/>
      <c r="B718" s="29"/>
      <c r="C718" s="29"/>
      <c r="D718" s="29"/>
      <c r="E718" s="30"/>
      <c r="F718" s="30"/>
      <c r="X718" s="29"/>
      <c r="Y718" s="29"/>
      <c r="AA718" s="18"/>
      <c r="AC718" s="31"/>
      <c r="AE718" s="18"/>
      <c r="AG718" s="29"/>
    </row>
    <row r="719" spans="1:33">
      <c r="A719" s="29"/>
      <c r="B719" s="29"/>
      <c r="C719" s="29"/>
      <c r="D719" s="29"/>
      <c r="E719" s="30"/>
      <c r="F719" s="30"/>
      <c r="X719" s="29"/>
      <c r="Y719" s="29"/>
      <c r="AA719" s="18"/>
      <c r="AC719" s="31"/>
      <c r="AE719" s="18"/>
      <c r="AG719" s="29"/>
    </row>
    <row r="720" spans="1:33">
      <c r="A720" s="29"/>
      <c r="B720" s="29"/>
      <c r="C720" s="29"/>
      <c r="D720" s="29"/>
      <c r="E720" s="30"/>
      <c r="F720" s="30"/>
      <c r="X720" s="29"/>
      <c r="Y720" s="29"/>
      <c r="AA720" s="18"/>
      <c r="AC720" s="31"/>
      <c r="AE720" s="18"/>
      <c r="AG720" s="29"/>
    </row>
    <row r="721" spans="1:33">
      <c r="A721" s="29"/>
      <c r="B721" s="29"/>
      <c r="C721" s="29"/>
      <c r="D721" s="29"/>
      <c r="E721" s="30"/>
      <c r="F721" s="30"/>
      <c r="X721" s="29"/>
      <c r="Y721" s="29"/>
      <c r="AA721" s="18"/>
      <c r="AC721" s="31"/>
      <c r="AE721" s="18"/>
      <c r="AG721" s="29"/>
    </row>
    <row r="722" spans="1:33">
      <c r="A722" s="29"/>
      <c r="B722" s="29"/>
      <c r="C722" s="29"/>
      <c r="D722" s="29"/>
      <c r="E722" s="30"/>
      <c r="F722" s="30"/>
      <c r="X722" s="29"/>
      <c r="Y722" s="29"/>
      <c r="AA722" s="18"/>
      <c r="AC722" s="31"/>
      <c r="AE722" s="18"/>
      <c r="AG722" s="29"/>
    </row>
    <row r="723" spans="1:33">
      <c r="A723" s="29"/>
      <c r="B723" s="29"/>
      <c r="C723" s="29"/>
      <c r="D723" s="29"/>
      <c r="E723" s="30"/>
      <c r="F723" s="30"/>
      <c r="X723" s="29"/>
      <c r="Y723" s="29"/>
      <c r="AA723" s="18"/>
      <c r="AC723" s="31"/>
      <c r="AE723" s="18"/>
      <c r="AG723" s="29"/>
    </row>
    <row r="724" spans="1:33">
      <c r="A724" s="29"/>
      <c r="B724" s="29"/>
      <c r="C724" s="29"/>
      <c r="D724" s="29"/>
      <c r="E724" s="30"/>
      <c r="F724" s="30"/>
      <c r="X724" s="29"/>
      <c r="Y724" s="29"/>
      <c r="AA724" s="18"/>
      <c r="AC724" s="31"/>
      <c r="AE724" s="18"/>
      <c r="AG724" s="29"/>
    </row>
    <row r="725" spans="1:33">
      <c r="A725" s="29"/>
      <c r="B725" s="29"/>
      <c r="C725" s="29"/>
      <c r="D725" s="29"/>
      <c r="E725" s="30"/>
      <c r="F725" s="30"/>
      <c r="X725" s="29"/>
      <c r="Y725" s="29"/>
      <c r="AA725" s="18"/>
      <c r="AC725" s="31"/>
      <c r="AE725" s="18"/>
      <c r="AG725" s="29"/>
    </row>
    <row r="726" spans="1:33">
      <c r="A726" s="29"/>
      <c r="B726" s="29"/>
      <c r="C726" s="29"/>
      <c r="D726" s="29"/>
      <c r="E726" s="30"/>
      <c r="F726" s="30"/>
      <c r="X726" s="29"/>
      <c r="Y726" s="29"/>
      <c r="AA726" s="18"/>
      <c r="AC726" s="31"/>
      <c r="AE726" s="18"/>
      <c r="AG726" s="29"/>
    </row>
    <row r="727" spans="1:33">
      <c r="A727" s="29"/>
      <c r="B727" s="29"/>
      <c r="C727" s="29"/>
      <c r="D727" s="29"/>
      <c r="E727" s="30"/>
      <c r="F727" s="30"/>
      <c r="X727" s="29"/>
      <c r="Y727" s="29"/>
      <c r="AA727" s="18"/>
      <c r="AC727" s="31"/>
      <c r="AE727" s="18"/>
      <c r="AG727" s="29"/>
    </row>
    <row r="728" spans="1:33">
      <c r="A728" s="29"/>
      <c r="B728" s="29"/>
      <c r="C728" s="29"/>
      <c r="D728" s="29"/>
      <c r="E728" s="30"/>
      <c r="F728" s="30"/>
      <c r="X728" s="29"/>
      <c r="Y728" s="29"/>
      <c r="AA728" s="18"/>
      <c r="AC728" s="31"/>
      <c r="AE728" s="18"/>
      <c r="AG728" s="29"/>
    </row>
    <row r="729" spans="1:33">
      <c r="A729" s="29"/>
      <c r="B729" s="29"/>
      <c r="C729" s="29"/>
      <c r="D729" s="29"/>
      <c r="E729" s="30"/>
      <c r="F729" s="30"/>
      <c r="X729" s="29"/>
      <c r="Y729" s="29"/>
      <c r="AA729" s="18"/>
      <c r="AC729" s="31"/>
      <c r="AE729" s="18"/>
      <c r="AG729" s="29"/>
    </row>
    <row r="730" spans="1:33">
      <c r="A730" s="29"/>
      <c r="B730" s="29"/>
      <c r="C730" s="29"/>
      <c r="D730" s="29"/>
      <c r="E730" s="30"/>
      <c r="F730" s="30"/>
      <c r="X730" s="29"/>
      <c r="Y730" s="29"/>
      <c r="AA730" s="18"/>
      <c r="AC730" s="31"/>
      <c r="AE730" s="18"/>
      <c r="AG730" s="29"/>
    </row>
    <row r="731" spans="1:33">
      <c r="A731" s="29"/>
      <c r="B731" s="29"/>
      <c r="C731" s="29"/>
      <c r="D731" s="29"/>
      <c r="E731" s="30"/>
      <c r="F731" s="30"/>
      <c r="X731" s="29"/>
      <c r="Y731" s="29"/>
      <c r="AA731" s="18"/>
      <c r="AC731" s="31"/>
      <c r="AE731" s="18"/>
      <c r="AG731" s="29"/>
    </row>
    <row r="732" spans="1:33">
      <c r="A732" s="29"/>
      <c r="B732" s="29"/>
      <c r="C732" s="29"/>
      <c r="D732" s="29"/>
      <c r="E732" s="30"/>
      <c r="F732" s="30"/>
      <c r="X732" s="29"/>
      <c r="Y732" s="29"/>
      <c r="AA732" s="18"/>
      <c r="AC732" s="31"/>
      <c r="AE732" s="18"/>
      <c r="AG732" s="29"/>
    </row>
    <row r="733" spans="1:33">
      <c r="A733" s="29"/>
      <c r="B733" s="29"/>
      <c r="C733" s="29"/>
      <c r="D733" s="29"/>
      <c r="E733" s="30"/>
      <c r="F733" s="30"/>
      <c r="X733" s="29"/>
      <c r="Y733" s="29"/>
      <c r="AA733" s="18"/>
      <c r="AC733" s="31"/>
      <c r="AE733" s="18"/>
      <c r="AG733" s="29"/>
    </row>
    <row r="734" spans="1:33">
      <c r="A734" s="29"/>
      <c r="B734" s="29"/>
      <c r="C734" s="29"/>
      <c r="D734" s="29"/>
      <c r="E734" s="30"/>
      <c r="F734" s="30"/>
      <c r="X734" s="29"/>
      <c r="Y734" s="29"/>
      <c r="AA734" s="18"/>
      <c r="AC734" s="31"/>
      <c r="AE734" s="18"/>
      <c r="AG734" s="29"/>
    </row>
    <row r="735" spans="1:33">
      <c r="A735" s="29"/>
      <c r="B735" s="29"/>
      <c r="C735" s="29"/>
      <c r="D735" s="29"/>
      <c r="E735" s="30"/>
      <c r="F735" s="30"/>
      <c r="X735" s="29"/>
      <c r="Y735" s="29"/>
      <c r="AA735" s="18"/>
      <c r="AC735" s="31"/>
      <c r="AE735" s="18"/>
      <c r="AG735" s="29"/>
    </row>
    <row r="736" spans="1:33">
      <c r="A736" s="29"/>
      <c r="B736" s="29"/>
      <c r="C736" s="29"/>
      <c r="D736" s="29"/>
      <c r="E736" s="30"/>
      <c r="F736" s="30"/>
      <c r="X736" s="29"/>
      <c r="Y736" s="29"/>
      <c r="AA736" s="18"/>
      <c r="AC736" s="31"/>
      <c r="AE736" s="18"/>
      <c r="AG736" s="29"/>
    </row>
    <row r="737" spans="1:33">
      <c r="A737" s="29"/>
      <c r="B737" s="29"/>
      <c r="C737" s="29"/>
      <c r="D737" s="29"/>
      <c r="E737" s="30"/>
      <c r="F737" s="30"/>
      <c r="X737" s="29"/>
      <c r="Y737" s="29"/>
      <c r="AA737" s="18"/>
      <c r="AC737" s="31"/>
      <c r="AE737" s="18"/>
      <c r="AG737" s="29"/>
    </row>
    <row r="738" spans="1:33">
      <c r="A738" s="29"/>
      <c r="B738" s="29"/>
      <c r="C738" s="29"/>
      <c r="D738" s="29"/>
      <c r="E738" s="30"/>
      <c r="F738" s="30"/>
      <c r="X738" s="29"/>
      <c r="Y738" s="29"/>
      <c r="AA738" s="18"/>
      <c r="AC738" s="31"/>
      <c r="AE738" s="18"/>
      <c r="AG738" s="29"/>
    </row>
    <row r="739" spans="1:33">
      <c r="A739" s="29"/>
      <c r="B739" s="29"/>
      <c r="C739" s="29"/>
      <c r="D739" s="29"/>
      <c r="E739" s="30"/>
      <c r="F739" s="30"/>
      <c r="X739" s="29"/>
      <c r="Y739" s="29"/>
      <c r="AA739" s="18"/>
      <c r="AC739" s="31"/>
      <c r="AE739" s="18"/>
      <c r="AG739" s="29"/>
    </row>
    <row r="740" spans="1:33">
      <c r="A740" s="29"/>
      <c r="B740" s="29"/>
      <c r="C740" s="29"/>
      <c r="D740" s="29"/>
      <c r="E740" s="30"/>
      <c r="F740" s="30"/>
      <c r="X740" s="29"/>
      <c r="Y740" s="29"/>
      <c r="AA740" s="18"/>
      <c r="AC740" s="31"/>
      <c r="AE740" s="18"/>
      <c r="AG740" s="29"/>
    </row>
    <row r="741" spans="1:33">
      <c r="A741" s="29"/>
      <c r="B741" s="29"/>
      <c r="C741" s="29"/>
      <c r="D741" s="29"/>
      <c r="E741" s="30"/>
      <c r="F741" s="30"/>
      <c r="X741" s="29"/>
      <c r="Y741" s="29"/>
      <c r="AA741" s="18"/>
      <c r="AC741" s="31"/>
      <c r="AE741" s="18"/>
      <c r="AG741" s="29"/>
    </row>
    <row r="742" spans="1:33">
      <c r="A742" s="29"/>
      <c r="B742" s="29"/>
      <c r="C742" s="29"/>
      <c r="D742" s="29"/>
      <c r="E742" s="30"/>
      <c r="F742" s="30"/>
      <c r="X742" s="29"/>
      <c r="Y742" s="29"/>
      <c r="AA742" s="18"/>
      <c r="AC742" s="31"/>
      <c r="AE742" s="18"/>
      <c r="AG742" s="29"/>
    </row>
    <row r="743" spans="1:33">
      <c r="A743" s="29"/>
      <c r="B743" s="29"/>
      <c r="C743" s="29"/>
      <c r="D743" s="29"/>
      <c r="E743" s="30"/>
      <c r="F743" s="30"/>
      <c r="X743" s="29"/>
      <c r="Y743" s="29"/>
      <c r="AA743" s="18"/>
      <c r="AC743" s="31"/>
      <c r="AE743" s="18"/>
      <c r="AG743" s="29"/>
    </row>
    <row r="744" spans="1:33">
      <c r="A744" s="29"/>
      <c r="B744" s="29"/>
      <c r="C744" s="29"/>
      <c r="D744" s="29"/>
      <c r="E744" s="30"/>
      <c r="F744" s="30"/>
      <c r="X744" s="29"/>
      <c r="Y744" s="29"/>
      <c r="AA744" s="18"/>
      <c r="AC744" s="31"/>
      <c r="AE744" s="18"/>
      <c r="AG744" s="29"/>
    </row>
    <row r="745" spans="1:33">
      <c r="A745" s="29"/>
      <c r="B745" s="29"/>
      <c r="C745" s="29"/>
      <c r="D745" s="29"/>
      <c r="E745" s="30"/>
      <c r="F745" s="30"/>
      <c r="X745" s="29"/>
      <c r="Y745" s="29"/>
      <c r="AA745" s="18"/>
      <c r="AC745" s="31"/>
      <c r="AE745" s="18"/>
      <c r="AG745" s="29"/>
    </row>
    <row r="746" spans="1:33">
      <c r="A746" s="29"/>
      <c r="B746" s="29"/>
      <c r="C746" s="29"/>
      <c r="D746" s="29"/>
      <c r="E746" s="30"/>
      <c r="F746" s="30"/>
      <c r="X746" s="29"/>
      <c r="Y746" s="29"/>
      <c r="AA746" s="18"/>
      <c r="AC746" s="31"/>
      <c r="AE746" s="18"/>
      <c r="AG746" s="29"/>
    </row>
    <row r="747" spans="1:33">
      <c r="A747" s="29"/>
      <c r="B747" s="29"/>
      <c r="C747" s="29"/>
      <c r="D747" s="29"/>
      <c r="E747" s="30"/>
      <c r="F747" s="30"/>
      <c r="X747" s="29"/>
      <c r="Y747" s="29"/>
      <c r="AA747" s="18"/>
      <c r="AC747" s="31"/>
      <c r="AE747" s="18"/>
      <c r="AG747" s="29"/>
    </row>
    <row r="748" spans="1:33">
      <c r="A748" s="29"/>
      <c r="B748" s="29"/>
      <c r="C748" s="29"/>
      <c r="D748" s="29"/>
      <c r="E748" s="30"/>
      <c r="F748" s="30"/>
      <c r="X748" s="29"/>
      <c r="Y748" s="29"/>
      <c r="AA748" s="18"/>
      <c r="AC748" s="31"/>
      <c r="AE748" s="18"/>
      <c r="AG748" s="29"/>
    </row>
    <row r="749" spans="1:33">
      <c r="A749" s="29"/>
      <c r="B749" s="29"/>
      <c r="C749" s="29"/>
      <c r="D749" s="29"/>
      <c r="E749" s="30"/>
      <c r="F749" s="30"/>
      <c r="X749" s="29"/>
      <c r="Y749" s="29"/>
      <c r="AA749" s="18"/>
      <c r="AC749" s="31"/>
      <c r="AE749" s="18"/>
      <c r="AG749" s="29"/>
    </row>
    <row r="750" spans="1:33">
      <c r="A750" s="29"/>
      <c r="B750" s="29"/>
      <c r="C750" s="29"/>
      <c r="D750" s="29"/>
      <c r="E750" s="30"/>
      <c r="F750" s="30"/>
      <c r="X750" s="29"/>
      <c r="Y750" s="29"/>
      <c r="AA750" s="18"/>
      <c r="AC750" s="31"/>
      <c r="AE750" s="18"/>
      <c r="AG750" s="29"/>
    </row>
    <row r="751" spans="1:33">
      <c r="A751" s="29"/>
      <c r="B751" s="29"/>
      <c r="C751" s="29"/>
      <c r="D751" s="29"/>
      <c r="E751" s="30"/>
      <c r="F751" s="30"/>
      <c r="X751" s="29"/>
      <c r="Y751" s="29"/>
      <c r="AA751" s="18"/>
      <c r="AC751" s="31"/>
      <c r="AE751" s="18"/>
      <c r="AG751" s="29"/>
    </row>
    <row r="752" spans="1:33">
      <c r="A752" s="29"/>
      <c r="B752" s="29"/>
      <c r="C752" s="29"/>
      <c r="D752" s="29"/>
      <c r="E752" s="30"/>
      <c r="F752" s="30"/>
      <c r="X752" s="29"/>
      <c r="Y752" s="29"/>
      <c r="AA752" s="18"/>
      <c r="AC752" s="31"/>
      <c r="AE752" s="18"/>
      <c r="AG752" s="29"/>
    </row>
    <row r="753" spans="1:33">
      <c r="A753" s="29"/>
      <c r="B753" s="29"/>
      <c r="C753" s="29"/>
      <c r="D753" s="29"/>
      <c r="E753" s="30"/>
      <c r="F753" s="30"/>
      <c r="X753" s="29"/>
      <c r="Y753" s="29"/>
      <c r="AA753" s="18"/>
      <c r="AC753" s="31"/>
      <c r="AE753" s="18"/>
      <c r="AG753" s="29"/>
    </row>
    <row r="754" spans="1:33">
      <c r="A754" s="29"/>
      <c r="B754" s="29"/>
      <c r="C754" s="29"/>
      <c r="D754" s="29"/>
      <c r="E754" s="30"/>
      <c r="F754" s="30"/>
      <c r="X754" s="29"/>
      <c r="Y754" s="29"/>
      <c r="AA754" s="18"/>
      <c r="AC754" s="31"/>
      <c r="AE754" s="18"/>
      <c r="AG754" s="29"/>
    </row>
    <row r="755" spans="1:33">
      <c r="A755" s="29"/>
      <c r="B755" s="29"/>
      <c r="C755" s="29"/>
      <c r="D755" s="29"/>
      <c r="E755" s="30"/>
      <c r="F755" s="30"/>
      <c r="X755" s="29"/>
      <c r="Y755" s="29"/>
      <c r="AA755" s="18"/>
      <c r="AC755" s="31"/>
      <c r="AE755" s="18"/>
      <c r="AG755" s="29"/>
    </row>
    <row r="756" spans="1:33">
      <c r="A756" s="29"/>
      <c r="B756" s="29"/>
      <c r="C756" s="29"/>
      <c r="D756" s="29"/>
      <c r="E756" s="30"/>
      <c r="F756" s="30"/>
      <c r="X756" s="29"/>
      <c r="Y756" s="29"/>
      <c r="AA756" s="18"/>
      <c r="AC756" s="30"/>
      <c r="AE756" s="18"/>
      <c r="AG756" s="29"/>
    </row>
    <row r="757" spans="1:33">
      <c r="A757" s="29"/>
      <c r="B757" s="29"/>
      <c r="C757" s="29"/>
      <c r="D757" s="29"/>
      <c r="E757" s="30"/>
      <c r="F757" s="30"/>
      <c r="X757" s="29"/>
      <c r="Y757" s="29"/>
      <c r="AA757" s="18"/>
      <c r="AC757" s="31"/>
      <c r="AE757" s="18"/>
      <c r="AG757" s="29"/>
    </row>
    <row r="758" spans="1:33">
      <c r="A758" s="29"/>
      <c r="B758" s="29"/>
      <c r="C758" s="29"/>
      <c r="D758" s="29"/>
      <c r="E758" s="30"/>
      <c r="F758" s="30"/>
      <c r="X758" s="29"/>
      <c r="Y758" s="29"/>
      <c r="AA758" s="18"/>
      <c r="AC758" s="31"/>
      <c r="AE758" s="18"/>
      <c r="AG758" s="29"/>
    </row>
    <row r="759" spans="1:33">
      <c r="A759" s="29"/>
      <c r="B759" s="29"/>
      <c r="C759" s="29"/>
      <c r="D759" s="29"/>
      <c r="E759" s="30"/>
      <c r="F759" s="30"/>
      <c r="X759" s="29"/>
      <c r="Y759" s="29"/>
      <c r="AA759" s="18"/>
      <c r="AC759" s="31"/>
      <c r="AE759" s="18"/>
      <c r="AG759" s="29"/>
    </row>
    <row r="760" spans="1:33">
      <c r="A760" s="29"/>
      <c r="B760" s="29"/>
      <c r="C760" s="29"/>
      <c r="D760" s="29"/>
      <c r="E760" s="30"/>
      <c r="F760" s="30"/>
      <c r="X760" s="29"/>
      <c r="Y760" s="29"/>
      <c r="AA760" s="18"/>
      <c r="AC760" s="31"/>
      <c r="AE760" s="18"/>
      <c r="AG760" s="29"/>
    </row>
    <row r="761" spans="1:33">
      <c r="A761" s="29"/>
      <c r="B761" s="29"/>
      <c r="C761" s="29"/>
      <c r="D761" s="29"/>
      <c r="E761" s="30"/>
      <c r="F761" s="30"/>
      <c r="X761" s="29"/>
      <c r="Y761" s="29"/>
      <c r="AA761" s="18"/>
      <c r="AC761" s="31"/>
      <c r="AE761" s="18"/>
      <c r="AG761" s="29"/>
    </row>
    <row r="762" spans="1:33">
      <c r="A762" s="29"/>
      <c r="B762" s="29"/>
      <c r="C762" s="29"/>
      <c r="D762" s="29"/>
      <c r="E762" s="30"/>
      <c r="F762" s="30"/>
      <c r="X762" s="29"/>
      <c r="Y762" s="29"/>
      <c r="AA762" s="18"/>
      <c r="AC762" s="31"/>
      <c r="AE762" s="18"/>
      <c r="AG762" s="29"/>
    </row>
    <row r="763" spans="1:33">
      <c r="A763" s="29"/>
      <c r="B763" s="29"/>
      <c r="C763" s="29"/>
      <c r="D763" s="29"/>
      <c r="E763" s="30"/>
      <c r="F763" s="30"/>
      <c r="X763" s="29"/>
      <c r="Y763" s="29"/>
      <c r="AA763" s="18"/>
      <c r="AC763" s="30"/>
      <c r="AE763" s="18"/>
      <c r="AG763" s="29"/>
    </row>
    <row r="764" spans="1:33">
      <c r="A764" s="29"/>
      <c r="B764" s="29"/>
      <c r="C764" s="29"/>
      <c r="D764" s="29"/>
      <c r="E764" s="30"/>
      <c r="F764" s="30"/>
      <c r="X764" s="29"/>
      <c r="Y764" s="29"/>
      <c r="AA764" s="18"/>
      <c r="AC764" s="31"/>
      <c r="AE764" s="18"/>
      <c r="AG764" s="29"/>
    </row>
    <row r="765" spans="1:33">
      <c r="A765" s="29"/>
      <c r="B765" s="29"/>
      <c r="C765" s="29"/>
      <c r="D765" s="29"/>
      <c r="E765" s="30"/>
      <c r="F765" s="30"/>
      <c r="X765" s="29"/>
      <c r="Y765" s="29"/>
      <c r="AA765" s="18"/>
      <c r="AC765" s="30"/>
      <c r="AE765" s="18"/>
      <c r="AG765" s="29"/>
    </row>
    <row r="766" spans="1:33">
      <c r="A766" s="29"/>
      <c r="B766" s="29"/>
      <c r="C766" s="29"/>
      <c r="D766" s="29"/>
      <c r="E766" s="30"/>
      <c r="F766" s="30"/>
      <c r="X766" s="29"/>
      <c r="Y766" s="29"/>
      <c r="AA766" s="18"/>
      <c r="AC766" s="31"/>
      <c r="AE766" s="18"/>
      <c r="AG766" s="29"/>
    </row>
    <row r="767" spans="1:33">
      <c r="A767" s="29"/>
      <c r="B767" s="29"/>
      <c r="C767" s="29"/>
      <c r="D767" s="29"/>
      <c r="E767" s="30"/>
      <c r="F767" s="30"/>
      <c r="X767" s="29"/>
      <c r="Y767" s="29"/>
      <c r="AA767" s="18"/>
      <c r="AC767" s="31"/>
      <c r="AE767" s="18"/>
      <c r="AG767" s="29"/>
    </row>
    <row r="768" spans="1:33">
      <c r="A768" s="29"/>
      <c r="B768" s="29"/>
      <c r="C768" s="29"/>
      <c r="D768" s="29"/>
      <c r="E768" s="30"/>
      <c r="F768" s="30"/>
      <c r="X768" s="29"/>
      <c r="Y768" s="29"/>
      <c r="AA768" s="18"/>
      <c r="AC768" s="31"/>
      <c r="AE768" s="18"/>
      <c r="AG768" s="29"/>
    </row>
    <row r="769" spans="1:33">
      <c r="A769" s="29"/>
      <c r="B769" s="29"/>
      <c r="C769" s="29"/>
      <c r="D769" s="29"/>
      <c r="E769" s="30"/>
      <c r="F769" s="30"/>
      <c r="X769" s="29"/>
      <c r="Y769" s="29"/>
      <c r="AA769" s="18"/>
      <c r="AC769" s="30"/>
      <c r="AE769" s="18"/>
      <c r="AG769" s="29"/>
    </row>
    <row r="770" spans="1:33">
      <c r="A770" s="29"/>
      <c r="B770" s="29"/>
      <c r="C770" s="29"/>
      <c r="D770" s="29"/>
      <c r="E770" s="30"/>
      <c r="F770" s="30"/>
      <c r="X770" s="29"/>
      <c r="Y770" s="29"/>
      <c r="AA770" s="18"/>
      <c r="AC770" s="31"/>
      <c r="AE770" s="18"/>
      <c r="AG770" s="29"/>
    </row>
    <row r="771" spans="1:33">
      <c r="A771" s="29"/>
      <c r="B771" s="29"/>
      <c r="C771" s="29"/>
      <c r="D771" s="29"/>
      <c r="E771" s="30"/>
      <c r="F771" s="30"/>
      <c r="X771" s="29"/>
      <c r="Y771" s="29"/>
      <c r="AA771" s="18"/>
      <c r="AC771" s="31"/>
      <c r="AE771" s="18"/>
      <c r="AG771" s="29"/>
    </row>
    <row r="772" spans="1:33">
      <c r="A772" s="29"/>
      <c r="B772" s="29"/>
      <c r="C772" s="29"/>
      <c r="D772" s="29"/>
      <c r="E772" s="30"/>
      <c r="F772" s="30"/>
      <c r="X772" s="29"/>
      <c r="Y772" s="29"/>
      <c r="AA772" s="18"/>
      <c r="AC772" s="30"/>
      <c r="AE772" s="18"/>
      <c r="AG772" s="29"/>
    </row>
    <row r="773" spans="1:33">
      <c r="A773" s="29"/>
      <c r="B773" s="29"/>
      <c r="C773" s="29"/>
      <c r="D773" s="29"/>
      <c r="E773" s="30"/>
      <c r="F773" s="30"/>
      <c r="X773" s="29"/>
      <c r="Y773" s="29"/>
      <c r="AA773" s="18"/>
      <c r="AC773" s="31"/>
      <c r="AE773" s="18"/>
      <c r="AG773" s="29"/>
    </row>
    <row r="774" spans="1:33">
      <c r="A774" s="29"/>
      <c r="B774" s="29"/>
      <c r="C774" s="29"/>
      <c r="D774" s="29"/>
      <c r="E774" s="30"/>
      <c r="F774" s="30"/>
      <c r="X774" s="29"/>
      <c r="Y774" s="29"/>
      <c r="AA774" s="18"/>
      <c r="AC774" s="31"/>
      <c r="AE774" s="18"/>
      <c r="AG774" s="29"/>
    </row>
    <row r="775" spans="1:33">
      <c r="A775" s="29"/>
      <c r="B775" s="29"/>
      <c r="C775" s="29"/>
      <c r="D775" s="29"/>
      <c r="E775" s="30"/>
      <c r="F775" s="30"/>
      <c r="X775" s="29"/>
      <c r="Y775" s="29"/>
      <c r="AA775" s="18"/>
      <c r="AC775" s="31"/>
      <c r="AE775" s="18"/>
      <c r="AG775" s="29"/>
    </row>
    <row r="776" spans="1:33">
      <c r="A776" s="29"/>
      <c r="B776" s="29"/>
      <c r="C776" s="29"/>
      <c r="D776" s="29"/>
      <c r="E776" s="30"/>
      <c r="F776" s="30"/>
      <c r="X776" s="29"/>
      <c r="Y776" s="29"/>
      <c r="AA776" s="18"/>
      <c r="AC776" s="31"/>
      <c r="AE776" s="18"/>
      <c r="AG776" s="29"/>
    </row>
    <row r="777" spans="1:33">
      <c r="A777" s="29"/>
      <c r="B777" s="29"/>
      <c r="C777" s="29"/>
      <c r="D777" s="29"/>
      <c r="E777" s="30"/>
      <c r="F777" s="30"/>
      <c r="X777" s="29"/>
      <c r="Y777" s="29"/>
      <c r="AA777" s="18"/>
      <c r="AC777" s="31"/>
      <c r="AE777" s="18"/>
      <c r="AG777" s="29"/>
    </row>
    <row r="778" spans="1:33">
      <c r="A778" s="29"/>
      <c r="B778" s="29"/>
      <c r="C778" s="29"/>
      <c r="D778" s="29"/>
      <c r="E778" s="30"/>
      <c r="F778" s="30"/>
      <c r="X778" s="29"/>
      <c r="Y778" s="29"/>
      <c r="AA778" s="18"/>
      <c r="AC778" s="31"/>
      <c r="AE778" s="18"/>
      <c r="AG778" s="29"/>
    </row>
    <row r="779" spans="1:33">
      <c r="A779" s="29"/>
      <c r="B779" s="29"/>
      <c r="C779" s="29"/>
      <c r="D779" s="29"/>
      <c r="E779" s="30"/>
      <c r="F779" s="30"/>
      <c r="X779" s="29"/>
      <c r="Y779" s="29"/>
      <c r="AA779" s="18"/>
      <c r="AC779" s="31"/>
      <c r="AE779" s="18"/>
      <c r="AG779" s="29"/>
    </row>
    <row r="780" spans="1:33">
      <c r="A780" s="29"/>
      <c r="B780" s="29"/>
      <c r="C780" s="29"/>
      <c r="D780" s="29"/>
      <c r="E780" s="30"/>
      <c r="F780" s="30"/>
      <c r="X780" s="29"/>
      <c r="Y780" s="29"/>
      <c r="AA780" s="18"/>
      <c r="AC780" s="31"/>
      <c r="AE780" s="18"/>
      <c r="AG780" s="29"/>
    </row>
    <row r="781" spans="1:33">
      <c r="A781" s="29"/>
      <c r="B781" s="29"/>
      <c r="C781" s="29"/>
      <c r="D781" s="29"/>
      <c r="E781" s="30"/>
      <c r="F781" s="30"/>
      <c r="X781" s="29"/>
      <c r="Y781" s="29"/>
      <c r="AA781" s="18"/>
      <c r="AC781" s="31"/>
      <c r="AE781" s="18"/>
      <c r="AG781" s="29"/>
    </row>
    <row r="782" spans="1:33">
      <c r="A782" s="29"/>
      <c r="B782" s="29"/>
      <c r="C782" s="29"/>
      <c r="D782" s="29"/>
      <c r="E782" s="30"/>
      <c r="F782" s="30"/>
      <c r="X782" s="29"/>
      <c r="Y782" s="29"/>
      <c r="AA782" s="18"/>
      <c r="AC782" s="31"/>
      <c r="AE782" s="18"/>
      <c r="AG782" s="29"/>
    </row>
    <row r="783" spans="1:33">
      <c r="A783" s="29"/>
      <c r="B783" s="29"/>
      <c r="C783" s="29"/>
      <c r="D783" s="29"/>
      <c r="E783" s="30"/>
      <c r="F783" s="30"/>
      <c r="X783" s="29"/>
      <c r="Y783" s="29"/>
      <c r="AA783" s="18"/>
      <c r="AC783" s="30"/>
      <c r="AE783" s="18"/>
      <c r="AG783" s="29"/>
    </row>
    <row r="784" spans="1:33">
      <c r="A784" s="29"/>
      <c r="B784" s="29"/>
      <c r="C784" s="29"/>
      <c r="D784" s="29"/>
      <c r="E784" s="30"/>
      <c r="F784" s="30"/>
      <c r="X784" s="29"/>
      <c r="Y784" s="29"/>
      <c r="AA784" s="18"/>
      <c r="AC784" s="30"/>
      <c r="AE784" s="18"/>
      <c r="AG784" s="29"/>
    </row>
    <row r="785" spans="1:33">
      <c r="A785" s="29"/>
      <c r="B785" s="29"/>
      <c r="C785" s="29"/>
      <c r="D785" s="29"/>
      <c r="E785" s="30"/>
      <c r="F785" s="30"/>
      <c r="X785" s="29"/>
      <c r="Y785" s="29"/>
      <c r="AA785" s="18"/>
      <c r="AC785" s="31"/>
      <c r="AE785" s="18"/>
      <c r="AG785" s="29"/>
    </row>
    <row r="786" spans="1:33">
      <c r="A786" s="29"/>
      <c r="B786" s="29"/>
      <c r="C786" s="29"/>
      <c r="D786" s="29"/>
      <c r="E786" s="30"/>
      <c r="F786" s="30"/>
      <c r="X786" s="29"/>
      <c r="Y786" s="29"/>
      <c r="AA786" s="18"/>
      <c r="AC786" s="31"/>
      <c r="AE786" s="18"/>
      <c r="AG786" s="29"/>
    </row>
    <row r="787" spans="1:33">
      <c r="A787" s="29"/>
      <c r="B787" s="29"/>
      <c r="C787" s="29"/>
      <c r="D787" s="29"/>
      <c r="E787" s="30"/>
      <c r="F787" s="30"/>
      <c r="X787" s="29"/>
      <c r="Y787" s="29"/>
      <c r="AA787" s="18"/>
      <c r="AC787" s="31"/>
      <c r="AE787" s="18"/>
      <c r="AG787" s="29"/>
    </row>
    <row r="788" spans="1:33">
      <c r="A788" s="29"/>
      <c r="B788" s="29"/>
      <c r="C788" s="29"/>
      <c r="D788" s="29"/>
      <c r="E788" s="30"/>
      <c r="F788" s="30"/>
      <c r="X788" s="29"/>
      <c r="Y788" s="29"/>
      <c r="AA788" s="18"/>
      <c r="AC788" s="31"/>
      <c r="AE788" s="18"/>
      <c r="AG788" s="29"/>
    </row>
    <row r="789" spans="1:33">
      <c r="A789" s="29"/>
      <c r="B789" s="29"/>
      <c r="C789" s="29"/>
      <c r="D789" s="29"/>
      <c r="E789" s="30"/>
      <c r="F789" s="30"/>
      <c r="X789" s="29"/>
      <c r="Y789" s="29"/>
      <c r="AA789" s="18"/>
      <c r="AC789" s="31"/>
      <c r="AE789" s="18"/>
      <c r="AG789" s="29"/>
    </row>
    <row r="790" spans="1:33">
      <c r="A790" s="29"/>
      <c r="B790" s="29"/>
      <c r="C790" s="29"/>
      <c r="D790" s="29"/>
      <c r="E790" s="30"/>
      <c r="F790" s="30"/>
      <c r="X790" s="29"/>
      <c r="Y790" s="29"/>
      <c r="AA790" s="18"/>
      <c r="AC790" s="31"/>
      <c r="AE790" s="18"/>
      <c r="AG790" s="29"/>
    </row>
    <row r="791" spans="1:33">
      <c r="A791" s="29"/>
      <c r="B791" s="29"/>
      <c r="C791" s="29"/>
      <c r="D791" s="29"/>
      <c r="E791" s="30"/>
      <c r="F791" s="30"/>
      <c r="X791" s="29"/>
      <c r="Y791" s="29"/>
      <c r="AA791" s="18"/>
      <c r="AC791" s="31"/>
      <c r="AE791" s="18"/>
      <c r="AG791" s="29"/>
    </row>
    <row r="792" spans="1:33">
      <c r="A792" s="29"/>
      <c r="B792" s="29"/>
      <c r="C792" s="29"/>
      <c r="D792" s="29"/>
      <c r="E792" s="30"/>
      <c r="F792" s="30"/>
      <c r="X792" s="29"/>
      <c r="Y792" s="29"/>
      <c r="AA792" s="18"/>
      <c r="AC792" s="31"/>
      <c r="AE792" s="18"/>
      <c r="AG792" s="29"/>
    </row>
    <row r="793" spans="1:33">
      <c r="A793" s="29"/>
      <c r="B793" s="29"/>
      <c r="C793" s="29"/>
      <c r="D793" s="29"/>
      <c r="E793" s="30"/>
      <c r="F793" s="30"/>
      <c r="X793" s="29"/>
      <c r="Y793" s="29"/>
      <c r="AA793" s="18"/>
      <c r="AC793" s="31"/>
      <c r="AE793" s="18"/>
      <c r="AG793" s="29"/>
    </row>
    <row r="794" spans="1:33">
      <c r="A794" s="29"/>
      <c r="B794" s="29"/>
      <c r="C794" s="29"/>
      <c r="D794" s="29"/>
      <c r="E794" s="30"/>
      <c r="F794" s="30"/>
      <c r="X794" s="29"/>
      <c r="Y794" s="29"/>
      <c r="AA794" s="18"/>
      <c r="AC794" s="31"/>
      <c r="AE794" s="18"/>
      <c r="AG794" s="29"/>
    </row>
    <row r="795" spans="1:33">
      <c r="A795" s="29"/>
      <c r="B795" s="29"/>
      <c r="C795" s="29"/>
      <c r="D795" s="29"/>
      <c r="E795" s="30"/>
      <c r="F795" s="30"/>
      <c r="X795" s="29"/>
      <c r="Y795" s="29"/>
      <c r="AA795" s="18"/>
      <c r="AC795" s="31"/>
      <c r="AE795" s="18"/>
      <c r="AG795" s="29"/>
    </row>
    <row r="796" spans="1:33">
      <c r="A796" s="29"/>
      <c r="B796" s="29"/>
      <c r="C796" s="29"/>
      <c r="D796" s="29"/>
      <c r="E796" s="30"/>
      <c r="F796" s="30"/>
      <c r="X796" s="29"/>
      <c r="Y796" s="29"/>
      <c r="AA796" s="18"/>
      <c r="AC796" s="31"/>
      <c r="AE796" s="18"/>
      <c r="AG796" s="29"/>
    </row>
    <row r="797" spans="1:33">
      <c r="A797" s="29"/>
      <c r="B797" s="29"/>
      <c r="C797" s="29"/>
      <c r="D797" s="29"/>
      <c r="E797" s="30"/>
      <c r="F797" s="30"/>
      <c r="X797" s="29"/>
      <c r="Y797" s="29"/>
      <c r="AA797" s="18"/>
      <c r="AC797" s="31"/>
      <c r="AE797" s="18"/>
      <c r="AG797" s="29"/>
    </row>
    <row r="798" spans="1:33">
      <c r="A798" s="29"/>
      <c r="B798" s="29"/>
      <c r="C798" s="29"/>
      <c r="D798" s="29"/>
      <c r="E798" s="30"/>
      <c r="F798" s="30"/>
      <c r="X798" s="29"/>
      <c r="Y798" s="29"/>
      <c r="AA798" s="18"/>
      <c r="AC798" s="31"/>
      <c r="AE798" s="18"/>
      <c r="AG798" s="29"/>
    </row>
    <row r="799" spans="1:33">
      <c r="A799" s="29"/>
      <c r="B799" s="29"/>
      <c r="C799" s="29"/>
      <c r="D799" s="29"/>
      <c r="E799" s="30"/>
      <c r="F799" s="30"/>
      <c r="X799" s="29"/>
      <c r="Y799" s="29"/>
      <c r="AA799" s="18"/>
      <c r="AC799" s="31"/>
      <c r="AE799" s="18"/>
      <c r="AG799" s="29"/>
    </row>
    <row r="800" spans="1:33">
      <c r="A800" s="29"/>
      <c r="B800" s="29"/>
      <c r="C800" s="29"/>
      <c r="D800" s="29"/>
      <c r="E800" s="30"/>
      <c r="F800" s="30"/>
      <c r="X800" s="29"/>
      <c r="Y800" s="29"/>
      <c r="AA800" s="18"/>
      <c r="AC800" s="31"/>
      <c r="AE800" s="18"/>
      <c r="AG800" s="29"/>
    </row>
    <row r="801" spans="1:33">
      <c r="A801" s="29"/>
      <c r="B801" s="29"/>
      <c r="C801" s="29"/>
      <c r="D801" s="29"/>
      <c r="E801" s="30"/>
      <c r="F801" s="30"/>
      <c r="X801" s="29"/>
      <c r="Y801" s="29"/>
      <c r="AA801" s="18"/>
      <c r="AC801" s="31"/>
      <c r="AE801" s="18"/>
      <c r="AG801" s="29"/>
    </row>
    <row r="802" spans="1:33">
      <c r="A802" s="29"/>
      <c r="B802" s="29"/>
      <c r="C802" s="29"/>
      <c r="D802" s="29"/>
      <c r="E802" s="30"/>
      <c r="F802" s="30"/>
      <c r="X802" s="29"/>
      <c r="Y802" s="29"/>
      <c r="AA802" s="18"/>
      <c r="AC802" s="31"/>
      <c r="AE802" s="18"/>
      <c r="AG802" s="29"/>
    </row>
    <row r="803" spans="1:33">
      <c r="A803" s="29"/>
      <c r="B803" s="29"/>
      <c r="C803" s="29"/>
      <c r="D803" s="29"/>
      <c r="E803" s="30"/>
      <c r="F803" s="30"/>
      <c r="X803" s="29"/>
      <c r="Y803" s="29"/>
      <c r="AA803" s="18"/>
      <c r="AC803" s="31"/>
      <c r="AE803" s="18"/>
      <c r="AG803" s="29"/>
    </row>
    <row r="804" spans="1:33">
      <c r="A804" s="29"/>
      <c r="B804" s="29"/>
      <c r="C804" s="29"/>
      <c r="D804" s="29"/>
      <c r="E804" s="30"/>
      <c r="F804" s="30"/>
      <c r="X804" s="29"/>
      <c r="Y804" s="29"/>
      <c r="AA804" s="18"/>
      <c r="AC804" s="31"/>
      <c r="AE804" s="18"/>
      <c r="AG804" s="29"/>
    </row>
    <row r="805" spans="1:33">
      <c r="A805" s="29"/>
      <c r="B805" s="29"/>
      <c r="C805" s="29"/>
      <c r="D805" s="29"/>
      <c r="E805" s="30"/>
      <c r="F805" s="30"/>
      <c r="X805" s="29"/>
      <c r="Y805" s="29"/>
      <c r="AA805" s="18"/>
      <c r="AC805" s="31"/>
      <c r="AE805" s="18"/>
      <c r="AG805" s="29"/>
    </row>
    <row r="806" spans="1:33">
      <c r="A806" s="29"/>
      <c r="B806" s="29"/>
      <c r="C806" s="29"/>
      <c r="D806" s="29"/>
      <c r="E806" s="30"/>
      <c r="F806" s="30"/>
      <c r="X806" s="29"/>
      <c r="Y806" s="29"/>
      <c r="AA806" s="18"/>
      <c r="AC806" s="31"/>
      <c r="AE806" s="18"/>
      <c r="AG806" s="29"/>
    </row>
    <row r="807" spans="1:33">
      <c r="A807" s="29"/>
      <c r="B807" s="29"/>
      <c r="C807" s="29"/>
      <c r="D807" s="29"/>
      <c r="E807" s="30"/>
      <c r="F807" s="30"/>
      <c r="X807" s="29"/>
      <c r="Y807" s="29"/>
      <c r="AA807" s="18"/>
      <c r="AC807" s="31"/>
      <c r="AE807" s="18"/>
      <c r="AG807" s="29"/>
    </row>
    <row r="808" spans="1:33">
      <c r="A808" s="29"/>
      <c r="B808" s="29"/>
      <c r="C808" s="29"/>
      <c r="D808" s="29"/>
      <c r="E808" s="30"/>
      <c r="F808" s="30"/>
      <c r="X808" s="29"/>
      <c r="Y808" s="29"/>
      <c r="AA808" s="18"/>
      <c r="AC808" s="31"/>
      <c r="AE808" s="18"/>
      <c r="AG808" s="29"/>
    </row>
    <row r="809" spans="1:33">
      <c r="A809" s="29"/>
      <c r="B809" s="29"/>
      <c r="C809" s="29"/>
      <c r="D809" s="29"/>
      <c r="E809" s="30"/>
      <c r="F809" s="30"/>
      <c r="X809" s="29"/>
      <c r="Y809" s="29"/>
      <c r="AA809" s="18"/>
      <c r="AC809" s="31"/>
      <c r="AE809" s="18"/>
      <c r="AG809" s="29"/>
    </row>
    <row r="810" spans="1:33">
      <c r="A810" s="29"/>
      <c r="B810" s="29"/>
      <c r="C810" s="29"/>
      <c r="D810" s="29"/>
      <c r="E810" s="30"/>
      <c r="F810" s="30"/>
      <c r="X810" s="29"/>
      <c r="Y810" s="29"/>
      <c r="AA810" s="18"/>
      <c r="AC810" s="31"/>
      <c r="AE810" s="18"/>
      <c r="AG810" s="29"/>
    </row>
    <row r="811" spans="1:33">
      <c r="A811" s="29"/>
      <c r="B811" s="29"/>
      <c r="C811" s="29"/>
      <c r="D811" s="29"/>
      <c r="E811" s="30"/>
      <c r="F811" s="30"/>
      <c r="X811" s="29"/>
      <c r="Y811" s="29"/>
      <c r="AA811" s="18"/>
      <c r="AC811" s="31"/>
      <c r="AE811" s="18"/>
      <c r="AG811" s="29"/>
    </row>
    <row r="812" spans="1:33">
      <c r="A812" s="29"/>
      <c r="B812" s="29"/>
      <c r="C812" s="29"/>
      <c r="D812" s="29"/>
      <c r="E812" s="30"/>
      <c r="F812" s="30"/>
      <c r="X812" s="29"/>
      <c r="Y812" s="29"/>
      <c r="AA812" s="18"/>
      <c r="AC812" s="31"/>
      <c r="AE812" s="18"/>
      <c r="AG812" s="29"/>
    </row>
    <row r="813" spans="1:33">
      <c r="A813" s="29"/>
      <c r="B813" s="29"/>
      <c r="C813" s="29"/>
      <c r="D813" s="29"/>
      <c r="E813" s="30"/>
      <c r="F813" s="30"/>
      <c r="X813" s="29"/>
      <c r="Y813" s="29"/>
      <c r="AA813" s="18"/>
      <c r="AC813" s="31"/>
      <c r="AE813" s="18"/>
      <c r="AG813" s="29"/>
    </row>
    <row r="814" spans="1:33">
      <c r="A814" s="29"/>
      <c r="B814" s="29"/>
      <c r="C814" s="29"/>
      <c r="D814" s="29"/>
      <c r="E814" s="30"/>
      <c r="F814" s="30"/>
      <c r="X814" s="29"/>
      <c r="Y814" s="29"/>
      <c r="AA814" s="18"/>
      <c r="AC814" s="30"/>
      <c r="AE814" s="18"/>
      <c r="AG814" s="29"/>
    </row>
    <row r="815" spans="1:33">
      <c r="A815" s="29"/>
      <c r="B815" s="29"/>
      <c r="C815" s="29"/>
      <c r="D815" s="29"/>
      <c r="E815" s="30"/>
      <c r="F815" s="30"/>
      <c r="X815" s="29"/>
      <c r="Y815" s="29"/>
      <c r="AA815" s="18"/>
      <c r="AC815" s="30"/>
      <c r="AE815" s="18"/>
      <c r="AG815" s="29"/>
    </row>
    <row r="816" spans="1:33">
      <c r="A816" s="29"/>
      <c r="B816" s="29"/>
      <c r="C816" s="29"/>
      <c r="D816" s="29"/>
      <c r="E816" s="30"/>
      <c r="F816" s="30"/>
      <c r="X816" s="29"/>
      <c r="Y816" s="29"/>
      <c r="AA816" s="18"/>
      <c r="AC816" s="31"/>
      <c r="AE816" s="18"/>
      <c r="AG816" s="29"/>
    </row>
    <row r="817" spans="1:33">
      <c r="A817" s="29"/>
      <c r="B817" s="29"/>
      <c r="C817" s="29"/>
      <c r="D817" s="29"/>
      <c r="E817" s="30"/>
      <c r="F817" s="30"/>
      <c r="X817" s="29"/>
      <c r="Y817" s="29"/>
      <c r="AA817" s="18"/>
      <c r="AC817" s="31"/>
      <c r="AE817" s="18"/>
      <c r="AG817" s="29"/>
    </row>
    <row r="818" spans="1:33">
      <c r="A818" s="29"/>
      <c r="B818" s="29"/>
      <c r="C818" s="29"/>
      <c r="D818" s="29"/>
      <c r="E818" s="30"/>
      <c r="F818" s="30"/>
      <c r="X818" s="29"/>
      <c r="Y818" s="29"/>
      <c r="AA818" s="18"/>
      <c r="AC818" s="31"/>
      <c r="AE818" s="18"/>
      <c r="AG818" s="29"/>
    </row>
    <row r="819" spans="1:33">
      <c r="A819" s="29"/>
      <c r="B819" s="29"/>
      <c r="C819" s="29"/>
      <c r="D819" s="29"/>
      <c r="E819" s="30"/>
      <c r="F819" s="30"/>
      <c r="X819" s="29"/>
      <c r="Y819" s="29"/>
      <c r="AA819" s="18"/>
      <c r="AC819" s="31"/>
      <c r="AE819" s="18"/>
      <c r="AG819" s="29"/>
    </row>
    <row r="820" spans="1:33">
      <c r="A820" s="29"/>
      <c r="B820" s="29"/>
      <c r="C820" s="29"/>
      <c r="D820" s="29"/>
      <c r="E820" s="30"/>
      <c r="F820" s="30"/>
      <c r="X820" s="29"/>
      <c r="Y820" s="29"/>
      <c r="AA820" s="18"/>
      <c r="AC820" s="31"/>
      <c r="AE820" s="18"/>
      <c r="AG820" s="29"/>
    </row>
    <row r="821" spans="1:33">
      <c r="A821" s="29"/>
      <c r="B821" s="29"/>
      <c r="C821" s="29"/>
      <c r="D821" s="29"/>
      <c r="E821" s="30"/>
      <c r="F821" s="30"/>
      <c r="X821" s="29"/>
      <c r="Y821" s="29"/>
      <c r="AA821" s="18"/>
      <c r="AC821" s="31"/>
      <c r="AE821" s="18"/>
      <c r="AG821" s="29"/>
    </row>
    <row r="822" spans="1:33">
      <c r="A822" s="29"/>
      <c r="B822" s="29"/>
      <c r="C822" s="29"/>
      <c r="D822" s="29"/>
      <c r="E822" s="30"/>
      <c r="F822" s="30"/>
      <c r="X822" s="29"/>
      <c r="Y822" s="29"/>
      <c r="AA822" s="18"/>
      <c r="AC822" s="31"/>
      <c r="AE822" s="18"/>
      <c r="AG822" s="29"/>
    </row>
    <row r="823" spans="1:33">
      <c r="A823" s="29"/>
      <c r="B823" s="29"/>
      <c r="C823" s="29"/>
      <c r="D823" s="29"/>
      <c r="E823" s="30"/>
      <c r="F823" s="30"/>
      <c r="X823" s="29"/>
      <c r="Y823" s="29"/>
      <c r="AA823" s="18"/>
      <c r="AC823" s="31"/>
      <c r="AE823" s="18"/>
      <c r="AG823" s="29"/>
    </row>
    <row r="824" spans="1:33">
      <c r="A824" s="29"/>
      <c r="B824" s="29"/>
      <c r="C824" s="29"/>
      <c r="D824" s="29"/>
      <c r="E824" s="30"/>
      <c r="F824" s="30"/>
      <c r="X824" s="29"/>
      <c r="Y824" s="29"/>
      <c r="AA824" s="18"/>
      <c r="AC824" s="31"/>
      <c r="AE824" s="18"/>
      <c r="AG824" s="29"/>
    </row>
    <row r="825" spans="1:33">
      <c r="A825" s="29"/>
      <c r="B825" s="29"/>
      <c r="C825" s="29"/>
      <c r="D825" s="29"/>
      <c r="E825" s="30"/>
      <c r="F825" s="30"/>
      <c r="X825" s="29"/>
      <c r="Y825" s="29"/>
      <c r="AA825" s="18"/>
      <c r="AC825" s="31"/>
      <c r="AE825" s="18"/>
      <c r="AG825" s="29"/>
    </row>
    <row r="826" spans="1:33">
      <c r="A826" s="29"/>
      <c r="B826" s="29"/>
      <c r="C826" s="29"/>
      <c r="D826" s="29"/>
      <c r="E826" s="30"/>
      <c r="F826" s="30"/>
      <c r="X826" s="29"/>
      <c r="Y826" s="29"/>
      <c r="AA826" s="18"/>
      <c r="AC826" s="31"/>
      <c r="AE826" s="18"/>
      <c r="AG826" s="29"/>
    </row>
    <row r="827" spans="1:33">
      <c r="A827" s="29"/>
      <c r="B827" s="29"/>
      <c r="C827" s="29"/>
      <c r="D827" s="29"/>
      <c r="E827" s="30"/>
      <c r="F827" s="30"/>
      <c r="X827" s="29"/>
      <c r="Y827" s="29"/>
      <c r="AA827" s="18"/>
      <c r="AC827" s="31"/>
      <c r="AE827" s="18"/>
      <c r="AG827" s="29"/>
    </row>
    <row r="828" spans="1:33">
      <c r="A828" s="29"/>
      <c r="B828" s="29"/>
      <c r="C828" s="29"/>
      <c r="D828" s="29"/>
      <c r="E828" s="30"/>
      <c r="F828" s="30"/>
      <c r="X828" s="29"/>
      <c r="Y828" s="29"/>
      <c r="AA828" s="18"/>
      <c r="AC828" s="31"/>
      <c r="AE828" s="18"/>
      <c r="AG828" s="29"/>
    </row>
    <row r="829" spans="1:33">
      <c r="A829" s="29"/>
      <c r="B829" s="29"/>
      <c r="C829" s="29"/>
      <c r="D829" s="29"/>
      <c r="E829" s="30"/>
      <c r="F829" s="30"/>
      <c r="X829" s="29"/>
      <c r="Y829" s="29"/>
      <c r="AA829" s="18"/>
      <c r="AC829" s="31"/>
      <c r="AE829" s="18"/>
      <c r="AG829" s="29"/>
    </row>
    <row r="830" spans="1:33">
      <c r="A830" s="29"/>
      <c r="B830" s="29"/>
      <c r="C830" s="29"/>
      <c r="D830" s="29"/>
      <c r="E830" s="30"/>
      <c r="F830" s="30"/>
      <c r="X830" s="29"/>
      <c r="Y830" s="29"/>
      <c r="AA830" s="18"/>
      <c r="AC830" s="31"/>
      <c r="AE830" s="18"/>
      <c r="AG830" s="29"/>
    </row>
    <row r="831" spans="1:33">
      <c r="A831" s="29"/>
      <c r="B831" s="29"/>
      <c r="C831" s="29"/>
      <c r="D831" s="29"/>
      <c r="E831" s="30"/>
      <c r="F831" s="30"/>
      <c r="X831" s="29"/>
      <c r="Y831" s="29"/>
      <c r="AA831" s="18"/>
      <c r="AC831" s="31"/>
      <c r="AE831" s="18"/>
      <c r="AG831" s="29"/>
    </row>
    <row r="832" spans="1:33">
      <c r="A832" s="29"/>
      <c r="B832" s="29"/>
      <c r="C832" s="29"/>
      <c r="D832" s="29"/>
      <c r="E832" s="30"/>
      <c r="F832" s="30"/>
      <c r="X832" s="29"/>
      <c r="Y832" s="29"/>
      <c r="AA832" s="18"/>
      <c r="AC832" s="31"/>
      <c r="AE832" s="18"/>
      <c r="AG832" s="29"/>
    </row>
    <row r="833" spans="1:33">
      <c r="A833" s="29"/>
      <c r="B833" s="29"/>
      <c r="C833" s="29"/>
      <c r="D833" s="29"/>
      <c r="E833" s="30"/>
      <c r="F833" s="30"/>
      <c r="X833" s="29"/>
      <c r="Y833" s="29"/>
      <c r="AA833" s="18"/>
      <c r="AC833" s="31"/>
      <c r="AE833" s="18"/>
      <c r="AG833" s="29"/>
    </row>
    <row r="834" spans="1:33">
      <c r="A834" s="29"/>
      <c r="B834" s="29"/>
      <c r="C834" s="29"/>
      <c r="D834" s="29"/>
      <c r="E834" s="30"/>
      <c r="F834" s="30"/>
      <c r="X834" s="29"/>
      <c r="Y834" s="29"/>
      <c r="AA834" s="18"/>
      <c r="AC834" s="31"/>
      <c r="AE834" s="18"/>
      <c r="AG834" s="29"/>
    </row>
    <row r="835" spans="1:33">
      <c r="A835" s="29"/>
      <c r="B835" s="29"/>
      <c r="C835" s="29"/>
      <c r="D835" s="29"/>
      <c r="E835" s="30"/>
      <c r="F835" s="30"/>
      <c r="X835" s="29"/>
      <c r="Y835" s="29"/>
      <c r="AA835" s="18"/>
      <c r="AC835" s="31"/>
      <c r="AE835" s="18"/>
      <c r="AG835" s="29"/>
    </row>
    <row r="836" spans="1:33">
      <c r="A836" s="29"/>
      <c r="B836" s="29"/>
      <c r="C836" s="29"/>
      <c r="D836" s="29"/>
      <c r="E836" s="30"/>
      <c r="F836" s="30"/>
      <c r="X836" s="29"/>
      <c r="Y836" s="29"/>
      <c r="AA836" s="18"/>
      <c r="AC836" s="31"/>
      <c r="AE836" s="18"/>
      <c r="AG836" s="29"/>
    </row>
    <row r="837" spans="1:33">
      <c r="A837" s="29"/>
      <c r="B837" s="29"/>
      <c r="C837" s="29"/>
      <c r="D837" s="29"/>
      <c r="E837" s="30"/>
      <c r="F837" s="30"/>
      <c r="X837" s="29"/>
      <c r="Y837" s="29"/>
      <c r="AA837" s="18"/>
      <c r="AC837" s="31"/>
      <c r="AE837" s="18"/>
      <c r="AG837" s="29"/>
    </row>
    <row r="838" spans="1:33">
      <c r="A838" s="29"/>
      <c r="B838" s="29"/>
      <c r="C838" s="29"/>
      <c r="D838" s="29"/>
      <c r="E838" s="30"/>
      <c r="F838" s="30"/>
      <c r="X838" s="29"/>
      <c r="Y838" s="29"/>
      <c r="AA838" s="18"/>
      <c r="AC838" s="31"/>
      <c r="AE838" s="18"/>
      <c r="AG838" s="29"/>
    </row>
    <row r="839" spans="1:33">
      <c r="A839" s="29"/>
      <c r="B839" s="29"/>
      <c r="C839" s="29"/>
      <c r="D839" s="29"/>
      <c r="E839" s="30"/>
      <c r="F839" s="30"/>
      <c r="X839" s="29"/>
      <c r="Y839" s="29"/>
      <c r="AA839" s="18"/>
      <c r="AC839" s="31"/>
      <c r="AE839" s="18"/>
      <c r="AG839" s="29"/>
    </row>
    <row r="840" spans="1:33">
      <c r="A840" s="29"/>
      <c r="B840" s="29"/>
      <c r="C840" s="29"/>
      <c r="D840" s="29"/>
      <c r="E840" s="30"/>
      <c r="F840" s="30"/>
      <c r="X840" s="29"/>
      <c r="Y840" s="29"/>
      <c r="AA840" s="18"/>
      <c r="AC840" s="31"/>
      <c r="AE840" s="18"/>
      <c r="AG840" s="29"/>
    </row>
    <row r="841" spans="1:33">
      <c r="A841" s="29"/>
      <c r="B841" s="29"/>
      <c r="C841" s="29"/>
      <c r="D841" s="29"/>
      <c r="E841" s="30"/>
      <c r="F841" s="30"/>
      <c r="X841" s="29"/>
      <c r="Y841" s="29"/>
      <c r="AA841" s="18"/>
      <c r="AC841" s="30"/>
      <c r="AE841" s="18"/>
      <c r="AG841" s="29"/>
    </row>
    <row r="842" spans="1:33">
      <c r="A842" s="29"/>
      <c r="B842" s="29"/>
      <c r="C842" s="29"/>
      <c r="D842" s="29"/>
      <c r="E842" s="30"/>
      <c r="F842" s="30"/>
      <c r="X842" s="29"/>
      <c r="Y842" s="29"/>
      <c r="AA842" s="18"/>
      <c r="AC842" s="30"/>
      <c r="AE842" s="18"/>
      <c r="AG842" s="29"/>
    </row>
    <row r="843" spans="1:33">
      <c r="A843" s="29"/>
      <c r="B843" s="29"/>
      <c r="C843" s="29"/>
      <c r="D843" s="29"/>
      <c r="E843" s="30"/>
      <c r="F843" s="30"/>
      <c r="X843" s="29"/>
      <c r="Y843" s="29"/>
      <c r="AA843" s="18"/>
      <c r="AC843" s="31"/>
      <c r="AE843" s="18"/>
      <c r="AG843" s="29"/>
    </row>
    <row r="844" spans="1:33">
      <c r="A844" s="29"/>
      <c r="B844" s="29"/>
      <c r="C844" s="29"/>
      <c r="D844" s="29"/>
      <c r="E844" s="30"/>
      <c r="F844" s="30"/>
      <c r="X844" s="29"/>
      <c r="Y844" s="29"/>
      <c r="AA844" s="18"/>
      <c r="AC844" s="31"/>
      <c r="AE844" s="18"/>
      <c r="AG844" s="29"/>
    </row>
    <row r="845" spans="1:33">
      <c r="A845" s="29"/>
      <c r="B845" s="29"/>
      <c r="C845" s="29"/>
      <c r="D845" s="29"/>
      <c r="E845" s="30"/>
      <c r="F845" s="30"/>
      <c r="X845" s="29"/>
      <c r="Y845" s="29"/>
      <c r="AA845" s="18"/>
      <c r="AC845" s="31"/>
      <c r="AE845" s="18"/>
      <c r="AG845" s="29"/>
    </row>
    <row r="846" spans="1:33">
      <c r="A846" s="29"/>
      <c r="B846" s="29"/>
      <c r="C846" s="29"/>
      <c r="D846" s="29"/>
      <c r="E846" s="30"/>
      <c r="F846" s="30"/>
      <c r="X846" s="29"/>
      <c r="Y846" s="29"/>
      <c r="AA846" s="18"/>
      <c r="AC846" s="31"/>
      <c r="AE846" s="18"/>
      <c r="AG846" s="29"/>
    </row>
    <row r="847" spans="1:33">
      <c r="A847" s="29"/>
      <c r="B847" s="29"/>
      <c r="C847" s="29"/>
      <c r="D847" s="29"/>
      <c r="E847" s="30"/>
      <c r="F847" s="30"/>
      <c r="X847" s="29"/>
      <c r="Y847" s="29"/>
      <c r="AA847" s="18"/>
      <c r="AC847" s="30"/>
      <c r="AE847" s="18"/>
      <c r="AG847" s="29"/>
    </row>
    <row r="848" spans="1:33">
      <c r="A848" s="29"/>
      <c r="B848" s="29"/>
      <c r="C848" s="29"/>
      <c r="D848" s="29"/>
      <c r="E848" s="30"/>
      <c r="F848" s="30"/>
      <c r="X848" s="29"/>
      <c r="Y848" s="29"/>
      <c r="AA848" s="18"/>
      <c r="AC848" s="30"/>
      <c r="AE848" s="18"/>
      <c r="AG848" s="29"/>
    </row>
    <row r="849" spans="1:33">
      <c r="A849" s="29"/>
      <c r="B849" s="29"/>
      <c r="C849" s="29"/>
      <c r="D849" s="29"/>
      <c r="E849" s="30"/>
      <c r="F849" s="30"/>
      <c r="X849" s="29"/>
      <c r="Y849" s="29"/>
      <c r="AA849" s="18"/>
      <c r="AC849" s="30"/>
      <c r="AE849" s="18"/>
      <c r="AG849" s="29"/>
    </row>
    <row r="850" spans="1:33">
      <c r="A850" s="29"/>
      <c r="B850" s="29"/>
      <c r="C850" s="29"/>
      <c r="D850" s="29"/>
      <c r="E850" s="30"/>
      <c r="F850" s="30"/>
      <c r="X850" s="29"/>
      <c r="Y850" s="29"/>
      <c r="AA850" s="18"/>
      <c r="AC850" s="30"/>
      <c r="AE850" s="18"/>
      <c r="AG850" s="29"/>
    </row>
    <row r="851" spans="1:33">
      <c r="A851" s="29"/>
      <c r="B851" s="29"/>
      <c r="C851" s="29"/>
      <c r="D851" s="29"/>
      <c r="E851" s="30"/>
      <c r="F851" s="30"/>
      <c r="X851" s="29"/>
      <c r="Y851" s="29"/>
      <c r="AA851" s="18"/>
      <c r="AC851" s="30"/>
      <c r="AE851" s="18"/>
      <c r="AG851" s="29"/>
    </row>
    <row r="852" spans="1:33">
      <c r="A852" s="29"/>
      <c r="B852" s="29"/>
      <c r="C852" s="29"/>
      <c r="D852" s="29"/>
      <c r="E852" s="30"/>
      <c r="F852" s="30"/>
      <c r="X852" s="29"/>
      <c r="Y852" s="29"/>
      <c r="AA852" s="18"/>
      <c r="AC852" s="30"/>
      <c r="AE852" s="18"/>
      <c r="AG852" s="29"/>
    </row>
    <row r="853" spans="1:33">
      <c r="A853" s="29"/>
      <c r="B853" s="29"/>
      <c r="C853" s="29"/>
      <c r="D853" s="29"/>
      <c r="E853" s="30"/>
      <c r="F853" s="30"/>
      <c r="X853" s="29"/>
      <c r="Y853" s="29"/>
      <c r="AA853" s="18"/>
      <c r="AC853" s="30"/>
      <c r="AE853" s="18"/>
      <c r="AG853" s="29"/>
    </row>
    <row r="854" spans="1:33">
      <c r="A854" s="29"/>
      <c r="B854" s="29"/>
      <c r="C854" s="29"/>
      <c r="D854" s="29"/>
      <c r="E854" s="30"/>
      <c r="F854" s="30"/>
      <c r="X854" s="29"/>
      <c r="Y854" s="29"/>
      <c r="AA854" s="18"/>
      <c r="AC854" s="30"/>
      <c r="AE854" s="18"/>
      <c r="AG854" s="29"/>
    </row>
    <row r="855" spans="1:33">
      <c r="A855" s="29"/>
      <c r="B855" s="29"/>
      <c r="C855" s="29"/>
      <c r="D855" s="29"/>
      <c r="E855" s="30"/>
      <c r="F855" s="30"/>
      <c r="X855" s="29"/>
      <c r="Y855" s="29"/>
      <c r="AA855" s="18"/>
      <c r="AC855" s="30"/>
      <c r="AE855" s="18"/>
      <c r="AG855" s="29"/>
    </row>
    <row r="856" spans="1:33">
      <c r="A856" s="29"/>
      <c r="B856" s="29"/>
      <c r="C856" s="29"/>
      <c r="D856" s="29"/>
      <c r="E856" s="30"/>
      <c r="F856" s="30"/>
      <c r="X856" s="29"/>
      <c r="Y856" s="29"/>
      <c r="AA856" s="18"/>
      <c r="AC856" s="30"/>
      <c r="AE856" s="18"/>
      <c r="AG856" s="29"/>
    </row>
    <row r="857" spans="1:33">
      <c r="A857" s="29"/>
      <c r="B857" s="29"/>
      <c r="C857" s="29"/>
      <c r="D857" s="29"/>
      <c r="E857" s="30"/>
      <c r="F857" s="30"/>
      <c r="X857" s="29"/>
      <c r="Y857" s="29"/>
      <c r="AA857" s="18"/>
      <c r="AC857" s="30"/>
      <c r="AE857" s="18"/>
      <c r="AG857" s="29"/>
    </row>
    <row r="858" spans="1:33">
      <c r="A858" s="29"/>
      <c r="B858" s="29"/>
      <c r="C858" s="29"/>
      <c r="D858" s="29"/>
      <c r="E858" s="30"/>
      <c r="F858" s="30"/>
      <c r="X858" s="29"/>
      <c r="Y858" s="29"/>
      <c r="AA858" s="18"/>
      <c r="AC858" s="30"/>
      <c r="AE858" s="18"/>
      <c r="AG858" s="29"/>
    </row>
    <row r="859" spans="1:33">
      <c r="A859" s="29"/>
      <c r="B859" s="29"/>
      <c r="C859" s="29"/>
      <c r="D859" s="29"/>
      <c r="E859" s="30"/>
      <c r="F859" s="30"/>
      <c r="X859" s="29"/>
      <c r="Y859" s="29"/>
      <c r="AA859" s="18"/>
      <c r="AC859" s="30"/>
      <c r="AE859" s="18"/>
      <c r="AG859" s="29"/>
    </row>
    <row r="860" spans="1:33">
      <c r="A860" s="29"/>
      <c r="B860" s="29"/>
      <c r="C860" s="29"/>
      <c r="D860" s="29"/>
      <c r="E860" s="30"/>
      <c r="F860" s="30"/>
      <c r="X860" s="29"/>
      <c r="Y860" s="29"/>
      <c r="AA860" s="18"/>
      <c r="AC860" s="30"/>
      <c r="AE860" s="18"/>
      <c r="AG860" s="29"/>
    </row>
    <row r="861" spans="1:33">
      <c r="A861" s="29"/>
      <c r="B861" s="29"/>
      <c r="C861" s="29"/>
      <c r="D861" s="29"/>
      <c r="E861" s="30"/>
      <c r="F861" s="30"/>
      <c r="X861" s="29"/>
      <c r="Y861" s="29"/>
      <c r="AA861" s="18"/>
      <c r="AC861" s="31"/>
      <c r="AE861" s="18"/>
      <c r="AG861" s="29"/>
    </row>
    <row r="862" spans="1:33">
      <c r="A862" s="29"/>
      <c r="B862" s="29"/>
      <c r="C862" s="29"/>
      <c r="D862" s="29"/>
      <c r="E862" s="30"/>
      <c r="F862" s="30"/>
      <c r="X862" s="29"/>
      <c r="Y862" s="29"/>
      <c r="AA862" s="18"/>
      <c r="AC862" s="31"/>
      <c r="AE862" s="18"/>
      <c r="AG862" s="29"/>
    </row>
    <row r="863" spans="1:33">
      <c r="A863" s="29"/>
      <c r="B863" s="29"/>
      <c r="C863" s="29"/>
      <c r="D863" s="29"/>
      <c r="E863" s="30"/>
      <c r="F863" s="30"/>
      <c r="X863" s="29"/>
      <c r="Y863" s="29"/>
      <c r="AA863" s="18"/>
      <c r="AC863" s="30"/>
      <c r="AE863" s="18"/>
      <c r="AG863" s="29"/>
    </row>
    <row r="864" spans="1:33">
      <c r="A864" s="29"/>
      <c r="B864" s="29"/>
      <c r="C864" s="29"/>
      <c r="D864" s="29"/>
      <c r="E864" s="30"/>
      <c r="F864" s="30"/>
      <c r="X864" s="29"/>
      <c r="Y864" s="29"/>
      <c r="AA864" s="18"/>
      <c r="AC864" s="30"/>
      <c r="AE864" s="18"/>
      <c r="AG864" s="29"/>
    </row>
    <row r="865" spans="1:33">
      <c r="A865" s="29"/>
      <c r="B865" s="29"/>
      <c r="C865" s="29"/>
      <c r="D865" s="29"/>
      <c r="E865" s="30"/>
      <c r="F865" s="30"/>
      <c r="X865" s="29"/>
      <c r="Y865" s="29"/>
      <c r="AA865" s="18"/>
      <c r="AC865" s="30"/>
      <c r="AE865" s="18"/>
      <c r="AG865" s="29"/>
    </row>
    <row r="866" spans="1:33">
      <c r="A866" s="29"/>
      <c r="B866" s="29"/>
      <c r="C866" s="29"/>
      <c r="D866" s="29"/>
      <c r="E866" s="30"/>
      <c r="F866" s="30"/>
      <c r="X866" s="29"/>
      <c r="Y866" s="29"/>
      <c r="AA866" s="18"/>
      <c r="AC866" s="30"/>
      <c r="AE866" s="18"/>
      <c r="AG866" s="29"/>
    </row>
    <row r="867" spans="1:33">
      <c r="A867" s="29"/>
      <c r="B867" s="29"/>
      <c r="C867" s="29"/>
      <c r="D867" s="29"/>
      <c r="E867" s="30"/>
      <c r="F867" s="30"/>
      <c r="X867" s="29"/>
      <c r="Y867" s="29"/>
      <c r="AA867" s="18"/>
      <c r="AC867" s="30"/>
      <c r="AE867" s="18"/>
      <c r="AG867" s="29"/>
    </row>
    <row r="868" spans="1:33">
      <c r="A868" s="29"/>
      <c r="B868" s="29"/>
      <c r="C868" s="29"/>
      <c r="D868" s="29"/>
      <c r="E868" s="30"/>
      <c r="F868" s="30"/>
      <c r="X868" s="29"/>
      <c r="Y868" s="29"/>
      <c r="AA868" s="18"/>
      <c r="AC868" s="30"/>
      <c r="AE868" s="18"/>
      <c r="AG868" s="29"/>
    </row>
    <row r="869" spans="1:33">
      <c r="A869" s="29"/>
      <c r="B869" s="29"/>
      <c r="C869" s="29"/>
      <c r="D869" s="29"/>
      <c r="E869" s="30"/>
      <c r="F869" s="30"/>
      <c r="X869" s="29"/>
      <c r="Y869" s="29"/>
      <c r="AA869" s="18"/>
      <c r="AC869" s="30"/>
      <c r="AE869" s="18"/>
      <c r="AG869" s="29"/>
    </row>
    <row r="870" spans="1:33">
      <c r="A870" s="29"/>
      <c r="B870" s="29"/>
      <c r="C870" s="29"/>
      <c r="D870" s="29"/>
      <c r="E870" s="30"/>
      <c r="F870" s="30"/>
      <c r="X870" s="29"/>
      <c r="Y870" s="29"/>
      <c r="AA870" s="18"/>
      <c r="AC870" s="30"/>
      <c r="AE870" s="18"/>
      <c r="AG870" s="29"/>
    </row>
    <row r="871" spans="1:33">
      <c r="A871" s="29"/>
      <c r="B871" s="29"/>
      <c r="C871" s="29"/>
      <c r="D871" s="29"/>
      <c r="E871" s="30"/>
      <c r="F871" s="30"/>
      <c r="X871" s="29"/>
      <c r="Y871" s="29"/>
      <c r="AA871" s="18"/>
      <c r="AC871" s="31"/>
      <c r="AE871" s="18"/>
      <c r="AG871" s="29"/>
    </row>
    <row r="872" spans="1:33">
      <c r="A872" s="29"/>
      <c r="B872" s="29"/>
      <c r="C872" s="29"/>
      <c r="D872" s="29"/>
      <c r="E872" s="30"/>
      <c r="F872" s="30"/>
      <c r="X872" s="29"/>
      <c r="Y872" s="29"/>
      <c r="AA872" s="18"/>
      <c r="AC872" s="31"/>
      <c r="AE872" s="18"/>
      <c r="AG872" s="29"/>
    </row>
    <row r="873" spans="1:33">
      <c r="A873" s="29"/>
      <c r="B873" s="29"/>
      <c r="C873" s="29"/>
      <c r="D873" s="29"/>
      <c r="E873" s="30"/>
      <c r="F873" s="30"/>
      <c r="X873" s="29"/>
      <c r="Y873" s="29"/>
      <c r="AA873" s="18"/>
      <c r="AC873" s="31"/>
      <c r="AE873" s="18"/>
      <c r="AG873" s="29"/>
    </row>
    <row r="874" spans="1:33">
      <c r="A874" s="29"/>
      <c r="B874" s="29"/>
      <c r="C874" s="29"/>
      <c r="D874" s="29"/>
      <c r="E874" s="30"/>
      <c r="F874" s="30"/>
      <c r="X874" s="29"/>
      <c r="Y874" s="29"/>
      <c r="AA874" s="18"/>
      <c r="AC874" s="31"/>
      <c r="AE874" s="18"/>
      <c r="AG874" s="29"/>
    </row>
    <row r="875" spans="1:33">
      <c r="A875" s="29"/>
      <c r="B875" s="29"/>
      <c r="C875" s="29"/>
      <c r="D875" s="29"/>
      <c r="E875" s="30"/>
      <c r="F875" s="30"/>
      <c r="X875" s="29"/>
      <c r="Y875" s="29"/>
      <c r="AA875" s="18"/>
      <c r="AC875" s="31"/>
      <c r="AE875" s="18"/>
      <c r="AG875" s="29"/>
    </row>
    <row r="876" spans="1:33">
      <c r="A876" s="29"/>
      <c r="B876" s="29"/>
      <c r="C876" s="29"/>
      <c r="D876" s="29"/>
      <c r="E876" s="30"/>
      <c r="F876" s="30"/>
      <c r="X876" s="29"/>
      <c r="Y876" s="29"/>
      <c r="AA876" s="18"/>
      <c r="AC876" s="30"/>
      <c r="AE876" s="18"/>
      <c r="AG876" s="29"/>
    </row>
    <row r="877" spans="1:33">
      <c r="A877" s="29"/>
      <c r="B877" s="29"/>
      <c r="C877" s="29"/>
      <c r="D877" s="29"/>
      <c r="E877" s="30"/>
      <c r="F877" s="30"/>
      <c r="X877" s="29"/>
      <c r="Y877" s="29"/>
      <c r="AA877" s="18"/>
      <c r="AC877" s="30"/>
      <c r="AE877" s="18"/>
      <c r="AG877" s="29"/>
    </row>
    <row r="878" spans="1:33">
      <c r="A878" s="29"/>
      <c r="B878" s="29"/>
      <c r="C878" s="29"/>
      <c r="D878" s="29"/>
      <c r="E878" s="30"/>
      <c r="F878" s="30"/>
      <c r="X878" s="29"/>
      <c r="Y878" s="29"/>
      <c r="AA878" s="18"/>
      <c r="AC878" s="31"/>
      <c r="AE878" s="18"/>
      <c r="AG878" s="29"/>
    </row>
    <row r="879" spans="1:33">
      <c r="A879" s="29"/>
      <c r="B879" s="29"/>
      <c r="C879" s="29"/>
      <c r="D879" s="29"/>
      <c r="E879" s="30"/>
      <c r="F879" s="30"/>
      <c r="X879" s="29"/>
      <c r="Y879" s="29"/>
      <c r="AA879" s="18"/>
      <c r="AC879" s="31"/>
      <c r="AE879" s="18"/>
      <c r="AG879" s="29"/>
    </row>
    <row r="880" spans="1:33">
      <c r="A880" s="29"/>
      <c r="B880" s="29"/>
      <c r="C880" s="29"/>
      <c r="D880" s="29"/>
      <c r="E880" s="30"/>
      <c r="F880" s="30"/>
      <c r="X880" s="29"/>
      <c r="Y880" s="29"/>
      <c r="AA880" s="18"/>
      <c r="AC880" s="31"/>
      <c r="AE880" s="18"/>
      <c r="AG880" s="29"/>
    </row>
    <row r="881" spans="1:33">
      <c r="A881" s="29"/>
      <c r="B881" s="29"/>
      <c r="C881" s="29"/>
      <c r="D881" s="29"/>
      <c r="E881" s="30"/>
      <c r="F881" s="30"/>
      <c r="X881" s="29"/>
      <c r="Y881" s="29"/>
      <c r="AA881" s="18"/>
      <c r="AC881" s="31"/>
      <c r="AE881" s="18"/>
      <c r="AG881" s="29"/>
    </row>
    <row r="882" spans="1:33">
      <c r="A882" s="29"/>
      <c r="B882" s="29"/>
      <c r="C882" s="29"/>
      <c r="D882" s="29"/>
      <c r="E882" s="30"/>
      <c r="F882" s="30"/>
      <c r="X882" s="29"/>
      <c r="Y882" s="29"/>
      <c r="AA882" s="18"/>
      <c r="AC882" s="31"/>
      <c r="AE882" s="18"/>
      <c r="AG882" s="29"/>
    </row>
    <row r="883" spans="1:33">
      <c r="A883" s="29"/>
      <c r="B883" s="29"/>
      <c r="C883" s="29"/>
      <c r="D883" s="29"/>
      <c r="E883" s="30"/>
      <c r="F883" s="30"/>
      <c r="X883" s="29"/>
      <c r="Y883" s="29"/>
      <c r="AA883" s="18"/>
      <c r="AC883" s="31"/>
      <c r="AE883" s="18"/>
      <c r="AG883" s="29"/>
    </row>
    <row r="884" spans="1:33">
      <c r="A884" s="29"/>
      <c r="B884" s="29"/>
      <c r="C884" s="29"/>
      <c r="D884" s="29"/>
      <c r="E884" s="30"/>
      <c r="F884" s="30"/>
      <c r="X884" s="29"/>
      <c r="Y884" s="29"/>
      <c r="AA884" s="18"/>
      <c r="AC884" s="31"/>
      <c r="AE884" s="18"/>
      <c r="AG884" s="29"/>
    </row>
    <row r="885" spans="1:33">
      <c r="A885" s="29"/>
      <c r="B885" s="29"/>
      <c r="C885" s="29"/>
      <c r="D885" s="29"/>
      <c r="E885" s="30"/>
      <c r="F885" s="30"/>
      <c r="X885" s="29"/>
      <c r="Y885" s="29"/>
      <c r="AA885" s="18"/>
      <c r="AC885" s="30"/>
      <c r="AE885" s="18"/>
      <c r="AG885" s="29"/>
    </row>
    <row r="886" spans="1:33">
      <c r="A886" s="29"/>
      <c r="B886" s="29"/>
      <c r="C886" s="29"/>
      <c r="D886" s="29"/>
      <c r="E886" s="30"/>
      <c r="F886" s="30"/>
      <c r="X886" s="29"/>
      <c r="Y886" s="29"/>
      <c r="AA886" s="18"/>
      <c r="AC886" s="30"/>
      <c r="AE886" s="18"/>
      <c r="AG886" s="29"/>
    </row>
    <row r="887" spans="1:33">
      <c r="A887" s="29"/>
      <c r="B887" s="29"/>
      <c r="C887" s="29"/>
      <c r="D887" s="29"/>
      <c r="E887" s="30"/>
      <c r="F887" s="30"/>
      <c r="X887" s="29"/>
      <c r="Y887" s="29"/>
      <c r="AA887" s="18"/>
      <c r="AC887" s="31"/>
      <c r="AE887" s="18"/>
      <c r="AG887" s="29"/>
    </row>
    <row r="888" spans="1:33">
      <c r="A888" s="29"/>
      <c r="B888" s="29"/>
      <c r="C888" s="29"/>
      <c r="D888" s="29"/>
      <c r="E888" s="30"/>
      <c r="F888" s="30"/>
      <c r="X888" s="29"/>
      <c r="Y888" s="29"/>
      <c r="AA888" s="18"/>
      <c r="AC888" s="31"/>
      <c r="AE888" s="18"/>
      <c r="AG888" s="29"/>
    </row>
    <row r="889" spans="1:33">
      <c r="A889" s="29"/>
      <c r="B889" s="29"/>
      <c r="C889" s="29"/>
      <c r="D889" s="29"/>
      <c r="E889" s="30"/>
      <c r="F889" s="30"/>
      <c r="X889" s="29"/>
      <c r="Y889" s="29"/>
      <c r="AA889" s="18"/>
      <c r="AC889" s="31"/>
      <c r="AE889" s="18"/>
      <c r="AG889" s="29"/>
    </row>
    <row r="890" spans="1:33">
      <c r="A890" s="29"/>
      <c r="B890" s="29"/>
      <c r="C890" s="29"/>
      <c r="D890" s="29"/>
      <c r="E890" s="30"/>
      <c r="F890" s="30"/>
      <c r="X890" s="29"/>
      <c r="Y890" s="29"/>
      <c r="AA890" s="18"/>
      <c r="AC890" s="31"/>
      <c r="AE890" s="18"/>
      <c r="AG890" s="29"/>
    </row>
    <row r="891" spans="1:33">
      <c r="A891" s="29"/>
      <c r="B891" s="29"/>
      <c r="C891" s="29"/>
      <c r="D891" s="29"/>
      <c r="E891" s="30"/>
      <c r="F891" s="30"/>
      <c r="X891" s="29"/>
      <c r="Y891" s="29"/>
      <c r="AA891" s="18"/>
      <c r="AC891" s="31"/>
      <c r="AE891" s="18"/>
      <c r="AG891" s="29"/>
    </row>
    <row r="892" spans="1:33">
      <c r="A892" s="29"/>
      <c r="B892" s="29"/>
      <c r="C892" s="29"/>
      <c r="D892" s="29"/>
      <c r="E892" s="30"/>
      <c r="F892" s="30"/>
      <c r="X892" s="29"/>
      <c r="Y892" s="29"/>
      <c r="AA892" s="18"/>
      <c r="AC892" s="31"/>
      <c r="AE892" s="18"/>
      <c r="AG892" s="29"/>
    </row>
    <row r="893" spans="1:33">
      <c r="A893" s="29"/>
      <c r="B893" s="29"/>
      <c r="C893" s="29"/>
      <c r="D893" s="29"/>
      <c r="E893" s="30"/>
      <c r="F893" s="30"/>
      <c r="X893" s="29"/>
      <c r="Y893" s="29"/>
      <c r="AA893" s="18"/>
      <c r="AC893" s="31"/>
      <c r="AE893" s="18"/>
      <c r="AG893" s="29"/>
    </row>
    <row r="894" spans="1:33">
      <c r="A894" s="29"/>
      <c r="B894" s="29"/>
      <c r="C894" s="29"/>
      <c r="D894" s="29"/>
      <c r="E894" s="30"/>
      <c r="F894" s="30"/>
      <c r="X894" s="29"/>
      <c r="Y894" s="29"/>
      <c r="AA894" s="18"/>
      <c r="AC894" s="31"/>
      <c r="AE894" s="18"/>
      <c r="AG894" s="29"/>
    </row>
    <row r="895" spans="1:33">
      <c r="A895" s="29"/>
      <c r="B895" s="29"/>
      <c r="C895" s="29"/>
      <c r="D895" s="29"/>
      <c r="E895" s="30"/>
      <c r="F895" s="30"/>
      <c r="X895" s="29"/>
      <c r="Y895" s="29"/>
      <c r="AA895" s="18"/>
      <c r="AC895" s="31"/>
      <c r="AE895" s="18"/>
      <c r="AG895" s="29"/>
    </row>
    <row r="896" spans="1:33">
      <c r="A896" s="29"/>
      <c r="B896" s="29"/>
      <c r="C896" s="29"/>
      <c r="D896" s="29"/>
      <c r="E896" s="30"/>
      <c r="F896" s="30"/>
      <c r="X896" s="29"/>
      <c r="Y896" s="29"/>
      <c r="AA896" s="18"/>
      <c r="AC896" s="31"/>
      <c r="AE896" s="18"/>
      <c r="AG896" s="29"/>
    </row>
    <row r="897" spans="1:33">
      <c r="A897" s="29"/>
      <c r="B897" s="29"/>
      <c r="C897" s="29"/>
      <c r="D897" s="29"/>
      <c r="E897" s="30"/>
      <c r="F897" s="30"/>
      <c r="X897" s="29"/>
      <c r="Y897" s="29"/>
      <c r="AA897" s="18"/>
      <c r="AC897" s="31"/>
      <c r="AE897" s="18"/>
      <c r="AG897" s="29"/>
    </row>
    <row r="898" spans="1:33">
      <c r="A898" s="29"/>
      <c r="B898" s="29"/>
      <c r="C898" s="29"/>
      <c r="D898" s="29"/>
      <c r="E898" s="30"/>
      <c r="F898" s="30"/>
      <c r="X898" s="29"/>
      <c r="Y898" s="29"/>
      <c r="AA898" s="18"/>
      <c r="AC898" s="31"/>
      <c r="AE898" s="18"/>
      <c r="AG898" s="29"/>
    </row>
    <row r="899" spans="1:33">
      <c r="A899" s="29"/>
      <c r="B899" s="29"/>
      <c r="C899" s="29"/>
      <c r="D899" s="29"/>
      <c r="E899" s="30"/>
      <c r="F899" s="30"/>
      <c r="X899" s="29"/>
      <c r="Y899" s="29"/>
      <c r="AA899" s="18"/>
      <c r="AC899" s="31"/>
      <c r="AE899" s="18"/>
      <c r="AG899" s="29"/>
    </row>
    <row r="900" spans="1:33">
      <c r="A900" s="29"/>
      <c r="B900" s="29"/>
      <c r="C900" s="29"/>
      <c r="D900" s="29"/>
      <c r="E900" s="30"/>
      <c r="F900" s="30"/>
      <c r="X900" s="29"/>
      <c r="Y900" s="29"/>
      <c r="AA900" s="18"/>
      <c r="AC900" s="31"/>
      <c r="AE900" s="18"/>
      <c r="AG900" s="29"/>
    </row>
    <row r="901" spans="1:33">
      <c r="A901" s="29"/>
      <c r="B901" s="29"/>
      <c r="C901" s="29"/>
      <c r="D901" s="29"/>
      <c r="E901" s="30"/>
      <c r="F901" s="30"/>
      <c r="X901" s="29"/>
      <c r="Y901" s="29"/>
      <c r="AA901" s="18"/>
      <c r="AC901" s="31"/>
      <c r="AE901" s="18"/>
      <c r="AG901" s="29"/>
    </row>
    <row r="902" spans="1:33">
      <c r="A902" s="29"/>
      <c r="B902" s="29"/>
      <c r="C902" s="29"/>
      <c r="D902" s="29"/>
      <c r="E902" s="30"/>
      <c r="F902" s="30"/>
      <c r="X902" s="29"/>
      <c r="Y902" s="29"/>
      <c r="AA902" s="18"/>
      <c r="AC902" s="31"/>
      <c r="AE902" s="18"/>
      <c r="AG902" s="29"/>
    </row>
    <row r="903" spans="1:33">
      <c r="A903" s="29"/>
      <c r="B903" s="29"/>
      <c r="C903" s="29"/>
      <c r="D903" s="29"/>
      <c r="E903" s="30"/>
      <c r="F903" s="30"/>
      <c r="X903" s="29"/>
      <c r="Y903" s="29"/>
      <c r="AA903" s="18"/>
      <c r="AC903" s="31"/>
      <c r="AE903" s="18"/>
      <c r="AG903" s="29"/>
    </row>
    <row r="904" spans="1:33">
      <c r="A904" s="29"/>
      <c r="B904" s="29"/>
      <c r="C904" s="29"/>
      <c r="D904" s="29"/>
      <c r="E904" s="30"/>
      <c r="F904" s="30"/>
      <c r="X904" s="29"/>
      <c r="Y904" s="29"/>
      <c r="AA904" s="18"/>
      <c r="AC904" s="31"/>
      <c r="AE904" s="18"/>
      <c r="AG904" s="29"/>
    </row>
    <row r="905" spans="1:33">
      <c r="A905" s="29"/>
      <c r="B905" s="29"/>
      <c r="C905" s="29"/>
      <c r="D905" s="29"/>
      <c r="E905" s="30"/>
      <c r="F905" s="30"/>
      <c r="X905" s="29"/>
      <c r="Y905" s="29"/>
      <c r="AA905" s="18"/>
      <c r="AC905" s="31"/>
      <c r="AE905" s="18"/>
      <c r="AG905" s="29"/>
    </row>
    <row r="906" spans="1:33">
      <c r="A906" s="29"/>
      <c r="B906" s="29"/>
      <c r="C906" s="29"/>
      <c r="D906" s="29"/>
      <c r="E906" s="30"/>
      <c r="F906" s="30"/>
      <c r="X906" s="29"/>
      <c r="Y906" s="29"/>
      <c r="AA906" s="18"/>
      <c r="AC906" s="31"/>
      <c r="AE906" s="18"/>
      <c r="AG906" s="29"/>
    </row>
    <row r="907" spans="1:33">
      <c r="A907" s="29"/>
      <c r="B907" s="29"/>
      <c r="C907" s="29"/>
      <c r="D907" s="29"/>
      <c r="E907" s="30"/>
      <c r="F907" s="30"/>
      <c r="X907" s="29"/>
      <c r="Y907" s="29"/>
      <c r="AA907" s="18"/>
      <c r="AC907" s="30"/>
      <c r="AE907" s="18"/>
      <c r="AG907" s="29"/>
    </row>
    <row r="908" spans="1:33">
      <c r="A908" s="29"/>
      <c r="B908" s="29"/>
      <c r="C908" s="29"/>
      <c r="D908" s="29"/>
      <c r="E908" s="30"/>
      <c r="F908" s="30"/>
      <c r="X908" s="29"/>
      <c r="Y908" s="29"/>
      <c r="AA908" s="18"/>
      <c r="AC908" s="30"/>
      <c r="AE908" s="18"/>
      <c r="AG908" s="29"/>
    </row>
    <row r="909" spans="1:33">
      <c r="A909" s="29"/>
      <c r="B909" s="29"/>
      <c r="C909" s="29"/>
      <c r="D909" s="29"/>
      <c r="E909" s="30"/>
      <c r="F909" s="30"/>
      <c r="X909" s="29"/>
      <c r="Y909" s="29"/>
      <c r="AA909" s="18"/>
      <c r="AC909" s="31"/>
      <c r="AE909" s="18"/>
      <c r="AG909" s="29"/>
    </row>
    <row r="910" spans="1:33">
      <c r="A910" s="29"/>
      <c r="B910" s="29"/>
      <c r="C910" s="29"/>
      <c r="D910" s="29"/>
      <c r="E910" s="30"/>
      <c r="F910" s="30"/>
      <c r="X910" s="29"/>
      <c r="Y910" s="29"/>
      <c r="AA910" s="18"/>
      <c r="AC910" s="31"/>
      <c r="AE910" s="18"/>
      <c r="AG910" s="29"/>
    </row>
    <row r="911" spans="1:33">
      <c r="A911" s="29"/>
      <c r="B911" s="29"/>
      <c r="C911" s="29"/>
      <c r="D911" s="29"/>
      <c r="E911" s="30"/>
      <c r="F911" s="30"/>
      <c r="X911" s="29"/>
      <c r="Y911" s="29"/>
      <c r="AA911" s="18"/>
      <c r="AC911" s="31"/>
      <c r="AE911" s="18"/>
      <c r="AG911" s="29"/>
    </row>
    <row r="912" spans="1:33">
      <c r="A912" s="29"/>
      <c r="B912" s="29"/>
      <c r="C912" s="29"/>
      <c r="D912" s="29"/>
      <c r="E912" s="30"/>
      <c r="F912" s="30"/>
      <c r="X912" s="29"/>
      <c r="Y912" s="29"/>
      <c r="AA912" s="18"/>
      <c r="AC912" s="31"/>
      <c r="AE912" s="18"/>
      <c r="AG912" s="29"/>
    </row>
    <row r="913" spans="1:33">
      <c r="A913" s="29"/>
      <c r="B913" s="29"/>
      <c r="C913" s="29"/>
      <c r="D913" s="29"/>
      <c r="E913" s="30"/>
      <c r="F913" s="30"/>
      <c r="X913" s="29"/>
      <c r="Y913" s="29"/>
      <c r="AA913" s="18"/>
      <c r="AC913" s="31"/>
      <c r="AE913" s="18"/>
      <c r="AG913" s="29"/>
    </row>
    <row r="914" spans="1:33">
      <c r="A914" s="29"/>
      <c r="B914" s="29"/>
      <c r="C914" s="29"/>
      <c r="D914" s="29"/>
      <c r="E914" s="30"/>
      <c r="F914" s="30"/>
      <c r="X914" s="29"/>
      <c r="Y914" s="29"/>
      <c r="AA914" s="18"/>
      <c r="AC914" s="30"/>
      <c r="AE914" s="18"/>
      <c r="AG914" s="29"/>
    </row>
    <row r="915" spans="1:33">
      <c r="A915" s="29"/>
      <c r="B915" s="29"/>
      <c r="C915" s="29"/>
      <c r="D915" s="29"/>
      <c r="E915" s="30"/>
      <c r="F915" s="30"/>
      <c r="X915" s="29"/>
      <c r="Y915" s="29"/>
      <c r="AA915" s="18"/>
      <c r="AC915" s="30"/>
      <c r="AE915" s="18"/>
      <c r="AG915" s="29"/>
    </row>
    <row r="916" spans="1:33">
      <c r="A916" s="29"/>
      <c r="B916" s="29"/>
      <c r="C916" s="29"/>
      <c r="D916" s="29"/>
      <c r="E916" s="30"/>
      <c r="F916" s="30"/>
      <c r="X916" s="29"/>
      <c r="Y916" s="29"/>
      <c r="AA916" s="18"/>
      <c r="AC916" s="31"/>
      <c r="AE916" s="18"/>
      <c r="AG916" s="29"/>
    </row>
    <row r="917" spans="1:33">
      <c r="A917" s="29"/>
      <c r="B917" s="29"/>
      <c r="C917" s="29"/>
      <c r="D917" s="29"/>
      <c r="E917" s="30"/>
      <c r="F917" s="30"/>
      <c r="X917" s="29"/>
      <c r="Y917" s="29"/>
      <c r="AA917" s="18"/>
      <c r="AC917" s="31"/>
      <c r="AE917" s="18"/>
      <c r="AG917" s="29"/>
    </row>
    <row r="918" spans="1:33">
      <c r="A918" s="29"/>
      <c r="B918" s="29"/>
      <c r="C918" s="29"/>
      <c r="D918" s="29"/>
      <c r="E918" s="30"/>
      <c r="F918" s="30"/>
      <c r="X918" s="29"/>
      <c r="Y918" s="29"/>
      <c r="AA918" s="18"/>
      <c r="AC918" s="30"/>
      <c r="AE918" s="18"/>
      <c r="AG918" s="29"/>
    </row>
    <row r="919" spans="1:33">
      <c r="A919" s="29"/>
      <c r="B919" s="29"/>
      <c r="C919" s="29"/>
      <c r="D919" s="29"/>
      <c r="E919" s="30"/>
      <c r="F919" s="30"/>
      <c r="X919" s="29"/>
      <c r="Y919" s="29"/>
      <c r="AA919" s="18"/>
      <c r="AC919" s="31"/>
      <c r="AE919" s="18"/>
      <c r="AG919" s="29"/>
    </row>
    <row r="920" spans="1:33">
      <c r="A920" s="29"/>
      <c r="B920" s="29"/>
      <c r="C920" s="29"/>
      <c r="D920" s="29"/>
      <c r="E920" s="30"/>
      <c r="F920" s="30"/>
      <c r="X920" s="29"/>
      <c r="Y920" s="29"/>
      <c r="AA920" s="18"/>
      <c r="AC920" s="30"/>
      <c r="AE920" s="18"/>
      <c r="AG920" s="29"/>
    </row>
    <row r="921" spans="1:33">
      <c r="A921" s="29"/>
      <c r="B921" s="29"/>
      <c r="C921" s="29"/>
      <c r="D921" s="29"/>
      <c r="E921" s="30"/>
      <c r="F921" s="30"/>
      <c r="X921" s="29"/>
      <c r="Y921" s="29"/>
      <c r="AA921" s="18"/>
      <c r="AC921" s="30"/>
      <c r="AE921" s="18"/>
      <c r="AG921" s="29"/>
    </row>
    <row r="922" spans="1:33">
      <c r="A922" s="29"/>
      <c r="B922" s="29"/>
      <c r="C922" s="29"/>
      <c r="D922" s="29"/>
      <c r="E922" s="30"/>
      <c r="F922" s="30"/>
      <c r="X922" s="29"/>
      <c r="Y922" s="29"/>
      <c r="AA922" s="18"/>
      <c r="AC922" s="31"/>
      <c r="AE922" s="18"/>
      <c r="AG922" s="29"/>
    </row>
    <row r="923" spans="1:33">
      <c r="A923" s="29"/>
      <c r="B923" s="29"/>
      <c r="C923" s="29"/>
      <c r="D923" s="29"/>
      <c r="E923" s="30"/>
      <c r="F923" s="30"/>
      <c r="X923" s="29"/>
      <c r="Y923" s="29"/>
      <c r="AA923" s="18"/>
      <c r="AC923" s="31"/>
      <c r="AE923" s="18"/>
      <c r="AG923" s="29"/>
    </row>
    <row r="924" spans="1:33">
      <c r="A924" s="29"/>
      <c r="B924" s="29"/>
      <c r="C924" s="29"/>
      <c r="D924" s="29"/>
      <c r="E924" s="30"/>
      <c r="F924" s="30"/>
      <c r="X924" s="29"/>
      <c r="Y924" s="29"/>
      <c r="AA924" s="18"/>
      <c r="AC924" s="31"/>
      <c r="AE924" s="18"/>
      <c r="AG924" s="29"/>
    </row>
    <row r="925" spans="1:33">
      <c r="A925" s="29"/>
      <c r="B925" s="29"/>
      <c r="C925" s="29"/>
      <c r="D925" s="29"/>
      <c r="E925" s="30"/>
      <c r="F925" s="30"/>
      <c r="X925" s="29"/>
      <c r="Y925" s="29"/>
      <c r="AA925" s="18"/>
      <c r="AC925" s="31"/>
      <c r="AE925" s="18"/>
      <c r="AG925" s="29"/>
    </row>
    <row r="926" spans="1:33">
      <c r="A926" s="29"/>
      <c r="B926" s="29"/>
      <c r="C926" s="29"/>
      <c r="D926" s="29"/>
      <c r="E926" s="30"/>
      <c r="F926" s="30"/>
      <c r="X926" s="29"/>
      <c r="Y926" s="29"/>
      <c r="AA926" s="18"/>
      <c r="AC926" s="31"/>
      <c r="AE926" s="18"/>
      <c r="AG926" s="29"/>
    </row>
    <row r="927" spans="1:33">
      <c r="A927" s="29"/>
      <c r="B927" s="29"/>
      <c r="C927" s="29"/>
      <c r="D927" s="29"/>
      <c r="E927" s="30"/>
      <c r="F927" s="30"/>
      <c r="X927" s="29"/>
      <c r="Y927" s="29"/>
      <c r="AA927" s="18"/>
      <c r="AC927" s="31"/>
      <c r="AE927" s="18"/>
      <c r="AG927" s="29"/>
    </row>
    <row r="928" spans="1:33">
      <c r="A928" s="29"/>
      <c r="B928" s="29"/>
      <c r="C928" s="29"/>
      <c r="D928" s="29"/>
      <c r="E928" s="30"/>
      <c r="F928" s="30"/>
      <c r="X928" s="29"/>
      <c r="Y928" s="29"/>
      <c r="AA928" s="18"/>
      <c r="AC928" s="31"/>
      <c r="AE928" s="18"/>
      <c r="AG928" s="29"/>
    </row>
    <row r="929" spans="1:33">
      <c r="A929" s="29"/>
      <c r="B929" s="29"/>
      <c r="C929" s="29"/>
      <c r="D929" s="29"/>
      <c r="E929" s="30"/>
      <c r="F929" s="30"/>
      <c r="X929" s="29"/>
      <c r="Y929" s="29"/>
      <c r="AA929" s="18"/>
      <c r="AC929" s="31"/>
      <c r="AE929" s="18"/>
      <c r="AG929" s="29"/>
    </row>
    <row r="930" spans="1:33">
      <c r="A930" s="29"/>
      <c r="B930" s="29"/>
      <c r="C930" s="29"/>
      <c r="D930" s="29"/>
      <c r="E930" s="30"/>
      <c r="F930" s="30"/>
      <c r="X930" s="29"/>
      <c r="Y930" s="29"/>
      <c r="AA930" s="18"/>
      <c r="AC930" s="31"/>
      <c r="AE930" s="18"/>
      <c r="AG930" s="29"/>
    </row>
    <row r="931" spans="1:33">
      <c r="A931" s="29"/>
      <c r="B931" s="29"/>
      <c r="C931" s="29"/>
      <c r="D931" s="29"/>
      <c r="E931" s="30"/>
      <c r="F931" s="30"/>
      <c r="X931" s="29"/>
      <c r="Y931" s="29"/>
      <c r="AA931" s="18"/>
      <c r="AC931" s="31"/>
      <c r="AE931" s="18"/>
      <c r="AG931" s="29"/>
    </row>
    <row r="932" spans="1:33">
      <c r="A932" s="29"/>
      <c r="B932" s="29"/>
      <c r="C932" s="29"/>
      <c r="D932" s="29"/>
      <c r="E932" s="30"/>
      <c r="F932" s="30"/>
      <c r="X932" s="29"/>
      <c r="Y932" s="29"/>
      <c r="AA932" s="18"/>
      <c r="AC932" s="30"/>
      <c r="AE932" s="18"/>
      <c r="AG932" s="29"/>
    </row>
    <row r="933" spans="1:33">
      <c r="A933" s="29"/>
      <c r="B933" s="29"/>
      <c r="C933" s="29"/>
      <c r="D933" s="29"/>
      <c r="E933" s="30"/>
      <c r="F933" s="30"/>
      <c r="X933" s="29"/>
      <c r="Y933" s="29"/>
      <c r="AA933" s="18"/>
      <c r="AC933" s="30"/>
      <c r="AE933" s="18"/>
      <c r="AG933" s="29"/>
    </row>
    <row r="934" spans="1:33">
      <c r="A934" s="29"/>
      <c r="B934" s="29"/>
      <c r="C934" s="29"/>
      <c r="D934" s="29"/>
      <c r="E934" s="30"/>
      <c r="F934" s="30"/>
      <c r="X934" s="29"/>
      <c r="Y934" s="29"/>
      <c r="AA934" s="18"/>
      <c r="AC934" s="31"/>
      <c r="AE934" s="18"/>
      <c r="AG934" s="29"/>
    </row>
    <row r="935" spans="1:33">
      <c r="A935" s="29"/>
      <c r="B935" s="29"/>
      <c r="C935" s="29"/>
      <c r="D935" s="29"/>
      <c r="E935" s="30"/>
      <c r="F935" s="30"/>
      <c r="X935" s="29"/>
      <c r="Y935" s="29"/>
      <c r="AA935" s="18"/>
      <c r="AC935" s="31"/>
      <c r="AE935" s="18"/>
      <c r="AG935" s="29"/>
    </row>
    <row r="936" spans="1:33">
      <c r="A936" s="29"/>
      <c r="B936" s="29"/>
      <c r="C936" s="29"/>
      <c r="D936" s="29"/>
      <c r="E936" s="30"/>
      <c r="F936" s="30"/>
      <c r="X936" s="29"/>
      <c r="Y936" s="29"/>
      <c r="AA936" s="18"/>
      <c r="AC936" s="31"/>
      <c r="AE936" s="18"/>
      <c r="AG936" s="29"/>
    </row>
    <row r="937" spans="1:33">
      <c r="A937" s="29"/>
      <c r="B937" s="29"/>
      <c r="C937" s="29"/>
      <c r="D937" s="29"/>
      <c r="E937" s="30"/>
      <c r="F937" s="30"/>
      <c r="X937" s="29"/>
      <c r="Y937" s="29"/>
      <c r="AA937" s="18"/>
      <c r="AC937" s="31"/>
      <c r="AE937" s="18"/>
      <c r="AG937" s="29"/>
    </row>
    <row r="938" spans="1:33">
      <c r="A938" s="29"/>
      <c r="B938" s="29"/>
      <c r="C938" s="29"/>
      <c r="D938" s="29"/>
      <c r="E938" s="30"/>
      <c r="F938" s="30"/>
      <c r="X938" s="29"/>
      <c r="Y938" s="29"/>
      <c r="AA938" s="18"/>
      <c r="AC938" s="31"/>
      <c r="AE938" s="18"/>
      <c r="AG938" s="29"/>
    </row>
    <row r="939" spans="1:33">
      <c r="A939" s="29"/>
      <c r="B939" s="29"/>
      <c r="C939" s="29"/>
      <c r="D939" s="29"/>
      <c r="E939" s="30"/>
      <c r="F939" s="30"/>
      <c r="X939" s="29"/>
      <c r="Y939" s="29"/>
      <c r="AA939" s="18"/>
      <c r="AC939" s="31"/>
      <c r="AE939" s="18"/>
      <c r="AG939" s="29"/>
    </row>
    <row r="940" spans="1:33">
      <c r="A940" s="29"/>
      <c r="B940" s="29"/>
      <c r="C940" s="29"/>
      <c r="D940" s="29"/>
      <c r="E940" s="30"/>
      <c r="F940" s="30"/>
      <c r="X940" s="29"/>
      <c r="Y940" s="29"/>
      <c r="AA940" s="18"/>
      <c r="AC940" s="31"/>
      <c r="AE940" s="18"/>
      <c r="AG940" s="29"/>
    </row>
    <row r="941" spans="1:33">
      <c r="A941" s="29"/>
      <c r="B941" s="29"/>
      <c r="C941" s="29"/>
      <c r="D941" s="29"/>
      <c r="E941" s="30"/>
      <c r="F941" s="30"/>
      <c r="X941" s="29"/>
      <c r="Y941" s="29"/>
      <c r="AA941" s="18"/>
      <c r="AC941" s="31"/>
      <c r="AE941" s="18"/>
      <c r="AG941" s="29"/>
    </row>
    <row r="942" spans="1:33">
      <c r="A942" s="29"/>
      <c r="B942" s="29"/>
      <c r="C942" s="29"/>
      <c r="D942" s="29"/>
      <c r="E942" s="30"/>
      <c r="F942" s="30"/>
      <c r="X942" s="29"/>
      <c r="Y942" s="29"/>
      <c r="AA942" s="18"/>
      <c r="AC942" s="31"/>
      <c r="AE942" s="18"/>
      <c r="AG942" s="29"/>
    </row>
    <row r="943" spans="1:33">
      <c r="A943" s="29"/>
      <c r="B943" s="29"/>
      <c r="C943" s="29"/>
      <c r="D943" s="29"/>
      <c r="E943" s="30"/>
      <c r="F943" s="30"/>
      <c r="X943" s="29"/>
      <c r="Y943" s="29"/>
      <c r="AA943" s="18"/>
      <c r="AC943" s="31"/>
      <c r="AE943" s="18"/>
      <c r="AG943" s="29"/>
    </row>
    <row r="944" spans="1:33">
      <c r="A944" s="29"/>
      <c r="B944" s="29"/>
      <c r="C944" s="29"/>
      <c r="D944" s="29"/>
      <c r="E944" s="30"/>
      <c r="F944" s="30"/>
      <c r="X944" s="29"/>
      <c r="Y944" s="29"/>
      <c r="AA944" s="18"/>
      <c r="AC944" s="31"/>
      <c r="AE944" s="18"/>
      <c r="AG944" s="29"/>
    </row>
    <row r="945" spans="1:33">
      <c r="A945" s="29"/>
      <c r="B945" s="29"/>
      <c r="C945" s="29"/>
      <c r="D945" s="29"/>
      <c r="E945" s="30"/>
      <c r="F945" s="30"/>
      <c r="X945" s="29"/>
      <c r="Y945" s="29"/>
      <c r="AA945" s="18"/>
      <c r="AC945" s="31"/>
      <c r="AE945" s="18"/>
      <c r="AG945" s="29"/>
    </row>
    <row r="946" spans="1:33">
      <c r="A946" s="29"/>
      <c r="B946" s="29"/>
      <c r="C946" s="29"/>
      <c r="D946" s="29"/>
      <c r="E946" s="30"/>
      <c r="F946" s="30"/>
      <c r="X946" s="29"/>
      <c r="Y946" s="29"/>
      <c r="AA946" s="18"/>
      <c r="AC946" s="31"/>
      <c r="AE946" s="18"/>
      <c r="AG946" s="29"/>
    </row>
    <row r="947" spans="1:33">
      <c r="A947" s="29"/>
      <c r="B947" s="29"/>
      <c r="C947" s="29"/>
      <c r="D947" s="29"/>
      <c r="E947" s="30"/>
      <c r="F947" s="30"/>
      <c r="X947" s="29"/>
      <c r="Y947" s="29"/>
      <c r="AA947" s="18"/>
      <c r="AC947" s="31"/>
      <c r="AE947" s="18"/>
      <c r="AG947" s="29"/>
    </row>
    <row r="948" spans="1:33">
      <c r="A948" s="29"/>
      <c r="B948" s="29"/>
      <c r="C948" s="29"/>
      <c r="D948" s="29"/>
      <c r="E948" s="30"/>
      <c r="F948" s="30"/>
      <c r="X948" s="29"/>
      <c r="Y948" s="29"/>
      <c r="AA948" s="18"/>
      <c r="AC948" s="31"/>
      <c r="AE948" s="18"/>
      <c r="AG948" s="29"/>
    </row>
    <row r="949" spans="1:33">
      <c r="A949" s="29"/>
      <c r="B949" s="29"/>
      <c r="C949" s="29"/>
      <c r="D949" s="29"/>
      <c r="E949" s="30"/>
      <c r="F949" s="30"/>
      <c r="X949" s="29"/>
      <c r="Y949" s="29"/>
      <c r="AA949" s="18"/>
      <c r="AC949" s="30"/>
      <c r="AE949" s="18"/>
      <c r="AG949" s="29"/>
    </row>
    <row r="950" spans="1:33">
      <c r="A950" s="29"/>
      <c r="B950" s="29"/>
      <c r="C950" s="29"/>
      <c r="D950" s="29"/>
      <c r="E950" s="30"/>
      <c r="F950" s="30"/>
      <c r="X950" s="29"/>
      <c r="Y950" s="29"/>
      <c r="AA950" s="18"/>
      <c r="AC950" s="30"/>
      <c r="AE950" s="18"/>
      <c r="AG950" s="29"/>
    </row>
    <row r="951" spans="1:33">
      <c r="A951" s="29"/>
      <c r="B951" s="29"/>
      <c r="C951" s="29"/>
      <c r="D951" s="29"/>
      <c r="E951" s="30"/>
      <c r="F951" s="30"/>
      <c r="X951" s="29"/>
      <c r="Y951" s="29"/>
      <c r="AA951" s="18"/>
      <c r="AC951" s="31"/>
      <c r="AE951" s="18"/>
      <c r="AG951" s="29"/>
    </row>
    <row r="952" spans="1:33">
      <c r="A952" s="29"/>
      <c r="B952" s="29"/>
      <c r="C952" s="29"/>
      <c r="D952" s="29"/>
      <c r="E952" s="30"/>
      <c r="F952" s="30"/>
      <c r="X952" s="29"/>
      <c r="Y952" s="29"/>
      <c r="AA952" s="18"/>
      <c r="AC952" s="30"/>
      <c r="AE952" s="18"/>
      <c r="AG952" s="29"/>
    </row>
    <row r="953" spans="1:33">
      <c r="A953" s="29"/>
      <c r="B953" s="29"/>
      <c r="C953" s="29"/>
      <c r="D953" s="29"/>
      <c r="E953" s="30"/>
      <c r="F953" s="30"/>
      <c r="X953" s="29"/>
      <c r="Y953" s="29"/>
      <c r="AA953" s="18"/>
      <c r="AC953" s="30"/>
      <c r="AE953" s="18"/>
      <c r="AG953" s="29"/>
    </row>
    <row r="954" spans="1:33">
      <c r="A954" s="29"/>
      <c r="B954" s="29"/>
      <c r="C954" s="29"/>
      <c r="D954" s="29"/>
      <c r="E954" s="30"/>
      <c r="F954" s="30"/>
      <c r="X954" s="29"/>
      <c r="Y954" s="29"/>
      <c r="AA954" s="18"/>
      <c r="AC954" s="30"/>
      <c r="AE954" s="18"/>
      <c r="AG954" s="29"/>
    </row>
    <row r="955" spans="1:33">
      <c r="A955" s="29"/>
      <c r="B955" s="29"/>
      <c r="C955" s="29"/>
      <c r="D955" s="29"/>
      <c r="E955" s="30"/>
      <c r="F955" s="30"/>
      <c r="X955" s="29"/>
      <c r="Y955" s="29"/>
      <c r="AA955" s="18"/>
      <c r="AC955" s="30"/>
      <c r="AE955" s="18"/>
      <c r="AG955" s="29"/>
    </row>
    <row r="956" spans="1:33">
      <c r="A956" s="29"/>
      <c r="B956" s="29"/>
      <c r="C956" s="29"/>
      <c r="D956" s="29"/>
      <c r="E956" s="30"/>
      <c r="F956" s="30"/>
      <c r="X956" s="29"/>
      <c r="Y956" s="29"/>
      <c r="AA956" s="18"/>
      <c r="AC956" s="31"/>
      <c r="AE956" s="18"/>
      <c r="AG956" s="29"/>
    </row>
    <row r="957" spans="1:33">
      <c r="A957" s="29"/>
      <c r="B957" s="29"/>
      <c r="C957" s="29"/>
      <c r="D957" s="29"/>
      <c r="E957" s="30"/>
      <c r="F957" s="30"/>
      <c r="X957" s="29"/>
      <c r="Y957" s="29"/>
      <c r="AA957" s="18"/>
      <c r="AC957" s="31"/>
      <c r="AE957" s="18"/>
      <c r="AG957" s="29"/>
    </row>
    <row r="958" spans="1:33">
      <c r="A958" s="29"/>
      <c r="B958" s="29"/>
      <c r="C958" s="29"/>
      <c r="D958" s="29"/>
      <c r="E958" s="30"/>
      <c r="F958" s="30"/>
      <c r="X958" s="29"/>
      <c r="Y958" s="29"/>
      <c r="AA958" s="18"/>
      <c r="AC958" s="31"/>
      <c r="AE958" s="18"/>
      <c r="AG958" s="29"/>
    </row>
    <row r="959" spans="1:33">
      <c r="A959" s="29"/>
      <c r="B959" s="29"/>
      <c r="C959" s="29"/>
      <c r="D959" s="29"/>
      <c r="E959" s="30"/>
      <c r="F959" s="30"/>
      <c r="X959" s="29"/>
      <c r="Y959" s="29"/>
      <c r="AA959" s="18"/>
      <c r="AC959" s="31"/>
      <c r="AE959" s="18"/>
      <c r="AG959" s="29"/>
    </row>
    <row r="960" spans="1:33">
      <c r="A960" s="29"/>
      <c r="B960" s="29"/>
      <c r="C960" s="29"/>
      <c r="D960" s="29"/>
      <c r="E960" s="30"/>
      <c r="F960" s="30"/>
      <c r="X960" s="29"/>
      <c r="Y960" s="29"/>
      <c r="AA960" s="18"/>
      <c r="AC960" s="31"/>
      <c r="AE960" s="18"/>
      <c r="AG960" s="29"/>
    </row>
    <row r="961" spans="1:33">
      <c r="A961" s="29"/>
      <c r="B961" s="29"/>
      <c r="C961" s="29"/>
      <c r="D961" s="29"/>
      <c r="E961" s="30"/>
      <c r="F961" s="30"/>
      <c r="X961" s="29"/>
      <c r="Y961" s="29"/>
      <c r="AA961" s="18"/>
      <c r="AC961" s="31"/>
      <c r="AE961" s="18"/>
      <c r="AG961" s="29"/>
    </row>
    <row r="962" spans="1:33">
      <c r="A962" s="29"/>
      <c r="B962" s="29"/>
      <c r="C962" s="29"/>
      <c r="D962" s="29"/>
      <c r="E962" s="30"/>
      <c r="F962" s="30"/>
      <c r="X962" s="29"/>
      <c r="Y962" s="29"/>
      <c r="AA962" s="18"/>
      <c r="AC962" s="31"/>
      <c r="AE962" s="18"/>
      <c r="AG962" s="29"/>
    </row>
    <row r="963" spans="1:33">
      <c r="A963" s="29"/>
      <c r="B963" s="29"/>
      <c r="C963" s="29"/>
      <c r="D963" s="29"/>
      <c r="E963" s="30"/>
      <c r="F963" s="30"/>
      <c r="X963" s="29"/>
      <c r="Y963" s="29"/>
      <c r="AA963" s="18"/>
      <c r="AC963" s="31"/>
      <c r="AE963" s="18"/>
      <c r="AG963" s="29"/>
    </row>
    <row r="964" spans="1:33">
      <c r="A964" s="29"/>
      <c r="B964" s="29"/>
      <c r="C964" s="29"/>
      <c r="D964" s="29"/>
      <c r="E964" s="30"/>
      <c r="F964" s="30"/>
      <c r="X964" s="29"/>
      <c r="Y964" s="29"/>
      <c r="AA964" s="18"/>
      <c r="AC964" s="31"/>
      <c r="AE964" s="18"/>
      <c r="AG964" s="29"/>
    </row>
    <row r="965" spans="1:33">
      <c r="A965" s="29"/>
      <c r="B965" s="29"/>
      <c r="C965" s="29"/>
      <c r="D965" s="29"/>
      <c r="E965" s="30"/>
      <c r="F965" s="30"/>
      <c r="X965" s="29"/>
      <c r="Y965" s="29"/>
      <c r="AA965" s="18"/>
      <c r="AC965" s="31"/>
      <c r="AE965" s="18"/>
      <c r="AG965" s="29"/>
    </row>
    <row r="966" spans="1:33">
      <c r="A966" s="29"/>
      <c r="B966" s="29"/>
      <c r="C966" s="29"/>
      <c r="D966" s="29"/>
      <c r="E966" s="30"/>
      <c r="F966" s="30"/>
      <c r="X966" s="29"/>
      <c r="Y966" s="29"/>
      <c r="AA966" s="18"/>
      <c r="AC966" s="31"/>
      <c r="AE966" s="18"/>
      <c r="AG966" s="29"/>
    </row>
    <row r="967" spans="1:33">
      <c r="A967" s="29"/>
      <c r="B967" s="29"/>
      <c r="C967" s="29"/>
      <c r="D967" s="29"/>
      <c r="E967" s="30"/>
      <c r="F967" s="30"/>
      <c r="X967" s="29"/>
      <c r="Y967" s="29"/>
      <c r="AA967" s="18"/>
      <c r="AC967" s="31"/>
      <c r="AE967" s="18"/>
      <c r="AG967" s="29"/>
    </row>
    <row r="968" spans="1:33">
      <c r="A968" s="29"/>
      <c r="B968" s="29"/>
      <c r="C968" s="29"/>
      <c r="D968" s="29"/>
      <c r="E968" s="30"/>
      <c r="F968" s="30"/>
      <c r="X968" s="29"/>
      <c r="Y968" s="29"/>
      <c r="AA968" s="18"/>
      <c r="AC968" s="31"/>
      <c r="AE968" s="18"/>
      <c r="AG968" s="29"/>
    </row>
    <row r="969" spans="1:33">
      <c r="A969" s="29"/>
      <c r="B969" s="29"/>
      <c r="C969" s="29"/>
      <c r="D969" s="29"/>
      <c r="E969" s="30"/>
      <c r="F969" s="30"/>
      <c r="X969" s="29"/>
      <c r="Y969" s="29"/>
      <c r="AA969" s="18"/>
      <c r="AC969" s="31"/>
      <c r="AE969" s="18"/>
      <c r="AG969" s="29"/>
    </row>
    <row r="970" spans="1:33">
      <c r="A970" s="29"/>
      <c r="B970" s="29"/>
      <c r="C970" s="29"/>
      <c r="D970" s="29"/>
      <c r="E970" s="30"/>
      <c r="F970" s="30"/>
      <c r="X970" s="29"/>
      <c r="Y970" s="29"/>
      <c r="AA970" s="18"/>
      <c r="AC970" s="31"/>
      <c r="AE970" s="18"/>
      <c r="AG970" s="29"/>
    </row>
    <row r="971" spans="1:33">
      <c r="A971" s="29"/>
      <c r="B971" s="29"/>
      <c r="C971" s="29"/>
      <c r="D971" s="29"/>
      <c r="E971" s="30"/>
      <c r="F971" s="30"/>
      <c r="X971" s="29"/>
      <c r="Y971" s="29"/>
      <c r="AA971" s="18"/>
      <c r="AC971" s="31"/>
      <c r="AE971" s="18"/>
      <c r="AG971" s="29"/>
    </row>
    <row r="972" spans="1:33">
      <c r="A972" s="29"/>
      <c r="B972" s="29"/>
      <c r="C972" s="29"/>
      <c r="D972" s="29"/>
      <c r="E972" s="30"/>
      <c r="F972" s="30"/>
      <c r="X972" s="29"/>
      <c r="Y972" s="29"/>
      <c r="AA972" s="18"/>
      <c r="AC972" s="31"/>
      <c r="AE972" s="18"/>
      <c r="AG972" s="29"/>
    </row>
    <row r="973" spans="1:33">
      <c r="A973" s="29"/>
      <c r="B973" s="29"/>
      <c r="C973" s="29"/>
      <c r="D973" s="29"/>
      <c r="E973" s="30"/>
      <c r="F973" s="30"/>
      <c r="X973" s="29"/>
      <c r="Y973" s="29"/>
      <c r="AA973" s="18"/>
      <c r="AC973" s="31"/>
      <c r="AE973" s="18"/>
      <c r="AG973" s="29"/>
    </row>
    <row r="974" spans="1:33">
      <c r="A974" s="29"/>
      <c r="B974" s="29"/>
      <c r="C974" s="29"/>
      <c r="D974" s="29"/>
      <c r="E974" s="30"/>
      <c r="F974" s="30"/>
      <c r="X974" s="29"/>
      <c r="Y974" s="29"/>
      <c r="AA974" s="18"/>
      <c r="AC974" s="31"/>
      <c r="AE974" s="18"/>
      <c r="AG974" s="29"/>
    </row>
    <row r="975" spans="1:33">
      <c r="A975" s="29"/>
      <c r="B975" s="29"/>
      <c r="C975" s="29"/>
      <c r="D975" s="29"/>
      <c r="E975" s="30"/>
      <c r="F975" s="30"/>
      <c r="X975" s="29"/>
      <c r="Y975" s="29"/>
      <c r="AA975" s="18"/>
      <c r="AC975" s="31"/>
      <c r="AE975" s="18"/>
      <c r="AG975" s="29"/>
    </row>
    <row r="976" spans="1:33">
      <c r="A976" s="29"/>
      <c r="B976" s="29"/>
      <c r="C976" s="29"/>
      <c r="D976" s="29"/>
      <c r="E976" s="30"/>
      <c r="F976" s="30"/>
      <c r="X976" s="29"/>
      <c r="Y976" s="29"/>
      <c r="AA976" s="18"/>
      <c r="AC976" s="31"/>
      <c r="AE976" s="18"/>
      <c r="AG976" s="29"/>
    </row>
    <row r="977" spans="1:33">
      <c r="A977" s="29"/>
      <c r="B977" s="29"/>
      <c r="C977" s="29"/>
      <c r="D977" s="29"/>
      <c r="E977" s="30"/>
      <c r="F977" s="30"/>
      <c r="X977" s="29"/>
      <c r="Y977" s="29"/>
      <c r="AA977" s="18"/>
      <c r="AC977" s="31"/>
      <c r="AE977" s="18"/>
      <c r="AG977" s="29"/>
    </row>
    <row r="978" spans="1:33">
      <c r="A978" s="29"/>
      <c r="B978" s="29"/>
      <c r="C978" s="29"/>
      <c r="D978" s="29"/>
      <c r="E978" s="30"/>
      <c r="F978" s="30"/>
      <c r="X978" s="29"/>
      <c r="Y978" s="29"/>
      <c r="AA978" s="18"/>
      <c r="AC978" s="30"/>
      <c r="AE978" s="18"/>
      <c r="AG978" s="29"/>
    </row>
    <row r="979" spans="1:33">
      <c r="A979" s="29"/>
      <c r="B979" s="29"/>
      <c r="C979" s="29"/>
      <c r="D979" s="29"/>
      <c r="E979" s="30"/>
      <c r="F979" s="30"/>
      <c r="X979" s="29"/>
      <c r="Y979" s="29"/>
      <c r="AA979" s="18"/>
      <c r="AC979" s="31"/>
      <c r="AE979" s="18"/>
      <c r="AG979" s="29"/>
    </row>
    <row r="980" spans="1:33">
      <c r="A980" s="29"/>
      <c r="B980" s="29"/>
      <c r="C980" s="29"/>
      <c r="D980" s="29"/>
      <c r="E980" s="30"/>
      <c r="F980" s="30"/>
      <c r="X980" s="29"/>
      <c r="Y980" s="29"/>
      <c r="AA980" s="18"/>
      <c r="AC980" s="30"/>
      <c r="AE980" s="18"/>
      <c r="AG980" s="29"/>
    </row>
    <row r="981" spans="1:33">
      <c r="A981" s="29"/>
      <c r="B981" s="29"/>
      <c r="C981" s="29"/>
      <c r="D981" s="29"/>
      <c r="E981" s="30"/>
      <c r="F981" s="30"/>
      <c r="X981" s="29"/>
      <c r="Y981" s="29"/>
      <c r="AA981" s="18"/>
      <c r="AC981" s="31"/>
      <c r="AE981" s="18"/>
      <c r="AG981" s="29"/>
    </row>
    <row r="982" spans="1:33">
      <c r="A982" s="29"/>
      <c r="B982" s="29"/>
      <c r="C982" s="29"/>
      <c r="D982" s="29"/>
      <c r="E982" s="30"/>
      <c r="F982" s="30"/>
      <c r="X982" s="29"/>
      <c r="Y982" s="29"/>
      <c r="AA982" s="18"/>
      <c r="AC982" s="31"/>
      <c r="AE982" s="18"/>
      <c r="AG982" s="29"/>
    </row>
    <row r="983" spans="1:33">
      <c r="A983" s="29"/>
      <c r="B983" s="29"/>
      <c r="C983" s="29"/>
      <c r="D983" s="29"/>
      <c r="E983" s="30"/>
      <c r="F983" s="30"/>
      <c r="X983" s="29"/>
      <c r="Y983" s="29"/>
      <c r="AA983" s="18"/>
      <c r="AC983" s="31"/>
      <c r="AE983" s="18"/>
      <c r="AG983" s="29"/>
    </row>
    <row r="984" spans="1:33">
      <c r="A984" s="29"/>
      <c r="B984" s="29"/>
      <c r="C984" s="29"/>
      <c r="D984" s="29"/>
      <c r="E984" s="30"/>
      <c r="F984" s="30"/>
      <c r="X984" s="29"/>
      <c r="Y984" s="29"/>
      <c r="AA984" s="18"/>
      <c r="AC984" s="31"/>
      <c r="AE984" s="18"/>
      <c r="AG984" s="29"/>
    </row>
    <row r="985" spans="1:33">
      <c r="A985" s="29"/>
      <c r="B985" s="29"/>
      <c r="C985" s="29"/>
      <c r="D985" s="29"/>
      <c r="E985" s="30"/>
      <c r="F985" s="30"/>
      <c r="X985" s="29"/>
      <c r="Y985" s="29"/>
      <c r="AA985" s="18"/>
      <c r="AC985" s="31"/>
      <c r="AE985" s="18"/>
      <c r="AG985" s="29"/>
    </row>
    <row r="986" spans="1:33">
      <c r="A986" s="29"/>
      <c r="B986" s="29"/>
      <c r="C986" s="29"/>
      <c r="D986" s="29"/>
      <c r="E986" s="30"/>
      <c r="F986" s="30"/>
      <c r="X986" s="29"/>
      <c r="Y986" s="29"/>
      <c r="AA986" s="18"/>
      <c r="AC986" s="31"/>
      <c r="AE986" s="18"/>
      <c r="AG986" s="29"/>
    </row>
    <row r="987" spans="1:33">
      <c r="A987" s="29"/>
      <c r="B987" s="29"/>
      <c r="C987" s="29"/>
      <c r="D987" s="29"/>
      <c r="E987" s="30"/>
      <c r="F987" s="30"/>
      <c r="X987" s="29"/>
      <c r="Y987" s="29"/>
      <c r="AA987" s="18"/>
      <c r="AC987" s="31"/>
      <c r="AE987" s="18"/>
      <c r="AG987" s="29"/>
    </row>
    <row r="988" spans="1:33">
      <c r="A988" s="29"/>
      <c r="B988" s="29"/>
      <c r="C988" s="29"/>
      <c r="D988" s="29"/>
      <c r="E988" s="30"/>
      <c r="F988" s="30"/>
      <c r="X988" s="29"/>
      <c r="Y988" s="29"/>
      <c r="AA988" s="18"/>
      <c r="AC988" s="31"/>
      <c r="AE988" s="18"/>
      <c r="AG988" s="29"/>
    </row>
    <row r="989" spans="1:33">
      <c r="A989" s="29"/>
      <c r="B989" s="29"/>
      <c r="C989" s="29"/>
      <c r="D989" s="29"/>
      <c r="E989" s="30"/>
      <c r="F989" s="30"/>
      <c r="X989" s="29"/>
      <c r="Y989" s="29"/>
      <c r="AA989" s="18"/>
      <c r="AC989" s="31"/>
      <c r="AE989" s="18"/>
      <c r="AG989" s="29"/>
    </row>
    <row r="990" spans="1:33">
      <c r="A990" s="29"/>
      <c r="B990" s="29"/>
      <c r="C990" s="29"/>
      <c r="D990" s="29"/>
      <c r="E990" s="30"/>
      <c r="F990" s="30"/>
      <c r="X990" s="29"/>
      <c r="Y990" s="29"/>
      <c r="AA990" s="18"/>
      <c r="AC990" s="31"/>
      <c r="AE990" s="18"/>
      <c r="AG990" s="29"/>
    </row>
    <row r="991" spans="1:33">
      <c r="A991" s="29"/>
      <c r="B991" s="29"/>
      <c r="C991" s="29"/>
      <c r="D991" s="29"/>
      <c r="E991" s="30"/>
      <c r="F991" s="30"/>
      <c r="X991" s="29"/>
      <c r="Y991" s="29"/>
      <c r="AA991" s="18"/>
      <c r="AC991" s="31"/>
      <c r="AE991" s="18"/>
      <c r="AG991" s="29"/>
    </row>
    <row r="992" spans="1:33">
      <c r="A992" s="29"/>
      <c r="B992" s="29"/>
      <c r="C992" s="29"/>
      <c r="D992" s="29"/>
      <c r="E992" s="30"/>
      <c r="F992" s="30"/>
      <c r="X992" s="29"/>
      <c r="Y992" s="29"/>
      <c r="AA992" s="18"/>
      <c r="AC992" s="31"/>
      <c r="AE992" s="18"/>
      <c r="AG992" s="29"/>
    </row>
    <row r="993" spans="1:33">
      <c r="A993" s="29"/>
      <c r="B993" s="29"/>
      <c r="C993" s="29"/>
      <c r="D993" s="29"/>
      <c r="E993" s="30"/>
      <c r="F993" s="30"/>
      <c r="X993" s="29"/>
      <c r="Y993" s="29"/>
      <c r="AA993" s="18"/>
      <c r="AC993" s="31"/>
      <c r="AE993" s="18"/>
      <c r="AG993" s="29"/>
    </row>
    <row r="994" spans="1:33">
      <c r="A994" s="29"/>
      <c r="B994" s="29"/>
      <c r="C994" s="29"/>
      <c r="D994" s="29"/>
      <c r="E994" s="30"/>
      <c r="F994" s="30"/>
      <c r="X994" s="29"/>
      <c r="Y994" s="29"/>
      <c r="AA994" s="18"/>
      <c r="AC994" s="30"/>
      <c r="AE994" s="18"/>
      <c r="AG994" s="29"/>
    </row>
    <row r="995" spans="1:33">
      <c r="A995" s="29"/>
      <c r="B995" s="29"/>
      <c r="C995" s="29"/>
      <c r="D995" s="29"/>
      <c r="E995" s="30"/>
      <c r="F995" s="30"/>
      <c r="X995" s="29"/>
      <c r="Y995" s="29"/>
      <c r="AA995" s="18"/>
      <c r="AC995" s="31"/>
      <c r="AE995" s="18"/>
      <c r="AG995" s="29"/>
    </row>
    <row r="996" spans="1:33">
      <c r="A996" s="29"/>
      <c r="B996" s="29"/>
      <c r="C996" s="29"/>
      <c r="D996" s="29"/>
      <c r="E996" s="30"/>
      <c r="F996" s="30"/>
      <c r="X996" s="29"/>
      <c r="Y996" s="29"/>
      <c r="AA996" s="18"/>
      <c r="AC996" s="31"/>
      <c r="AE996" s="18"/>
      <c r="AG996" s="29"/>
    </row>
    <row r="997" spans="1:33">
      <c r="A997" s="29"/>
      <c r="B997" s="29"/>
      <c r="C997" s="29"/>
      <c r="D997" s="29"/>
      <c r="E997" s="30"/>
      <c r="F997" s="30"/>
      <c r="X997" s="29"/>
      <c r="Y997" s="29"/>
      <c r="AA997" s="18"/>
      <c r="AC997" s="31"/>
      <c r="AE997" s="18"/>
      <c r="AG997" s="29"/>
    </row>
    <row r="998" spans="1:33">
      <c r="A998" s="29"/>
      <c r="B998" s="29"/>
      <c r="C998" s="29"/>
      <c r="D998" s="29"/>
      <c r="E998" s="30"/>
      <c r="F998" s="30"/>
      <c r="X998" s="29"/>
      <c r="Y998" s="29"/>
      <c r="AA998" s="18"/>
      <c r="AC998" s="31"/>
      <c r="AE998" s="18"/>
      <c r="AG998" s="29"/>
    </row>
    <row r="999" spans="1:33">
      <c r="A999" s="29"/>
      <c r="B999" s="29"/>
      <c r="C999" s="29"/>
      <c r="D999" s="29"/>
      <c r="E999" s="30"/>
      <c r="F999" s="30"/>
      <c r="X999" s="29"/>
      <c r="Y999" s="29"/>
      <c r="AA999" s="18"/>
      <c r="AC999" s="31"/>
      <c r="AE999" s="18"/>
      <c r="AG999" s="29"/>
    </row>
    <row r="1000" spans="1:33">
      <c r="A1000" s="29"/>
      <c r="B1000" s="29"/>
      <c r="C1000" s="29"/>
      <c r="D1000" s="29"/>
      <c r="E1000" s="30"/>
      <c r="F1000" s="30"/>
      <c r="X1000" s="29"/>
      <c r="Y1000" s="29"/>
      <c r="AA1000" s="18"/>
      <c r="AC1000" s="31"/>
      <c r="AE1000" s="18"/>
      <c r="AG1000" s="29"/>
    </row>
    <row r="1001" spans="1:33">
      <c r="A1001" s="29"/>
      <c r="B1001" s="29"/>
      <c r="C1001" s="29"/>
      <c r="D1001" s="29"/>
      <c r="E1001" s="30"/>
      <c r="F1001" s="30"/>
      <c r="X1001" s="29"/>
      <c r="Y1001" s="29"/>
      <c r="AA1001" s="18"/>
      <c r="AC1001" s="31"/>
      <c r="AE1001" s="18"/>
      <c r="AG1001" s="29"/>
    </row>
    <row r="1002" spans="1:33">
      <c r="A1002" s="29"/>
      <c r="B1002" s="29"/>
      <c r="C1002" s="29"/>
      <c r="D1002" s="29"/>
      <c r="E1002" s="30"/>
      <c r="F1002" s="30"/>
      <c r="X1002" s="29"/>
      <c r="Y1002" s="29"/>
      <c r="AA1002" s="18"/>
      <c r="AC1002" s="31"/>
      <c r="AE1002" s="18"/>
      <c r="AG1002" s="29"/>
    </row>
    <row r="1003" spans="1:33">
      <c r="A1003" s="29"/>
      <c r="B1003" s="29"/>
      <c r="C1003" s="29"/>
      <c r="D1003" s="29"/>
      <c r="E1003" s="30"/>
      <c r="F1003" s="30"/>
      <c r="X1003" s="29"/>
      <c r="Y1003" s="29"/>
      <c r="AA1003" s="18"/>
      <c r="AC1003" s="30"/>
      <c r="AE1003" s="18"/>
      <c r="AG1003" s="29"/>
    </row>
    <row r="1004" spans="1:33">
      <c r="A1004" s="29"/>
      <c r="B1004" s="29"/>
      <c r="C1004" s="29"/>
      <c r="D1004" s="29"/>
      <c r="E1004" s="30"/>
      <c r="F1004" s="30"/>
      <c r="X1004" s="29"/>
      <c r="Y1004" s="29"/>
      <c r="AA1004" s="18"/>
      <c r="AC1004" s="30"/>
      <c r="AE1004" s="18"/>
      <c r="AG1004" s="29"/>
    </row>
    <row r="1005" spans="1:33">
      <c r="A1005" s="29"/>
      <c r="B1005" s="29"/>
      <c r="C1005" s="29"/>
      <c r="D1005" s="29"/>
      <c r="E1005" s="30"/>
      <c r="F1005" s="30"/>
      <c r="X1005" s="29"/>
      <c r="Y1005" s="29"/>
      <c r="AA1005" s="18"/>
      <c r="AC1005" s="30"/>
      <c r="AE1005" s="18"/>
      <c r="AG1005" s="29"/>
    </row>
    <row r="1006" spans="1:33">
      <c r="A1006" s="29"/>
      <c r="B1006" s="29"/>
      <c r="C1006" s="29"/>
      <c r="D1006" s="29"/>
      <c r="E1006" s="30"/>
      <c r="F1006" s="30"/>
      <c r="X1006" s="29"/>
      <c r="Y1006" s="29"/>
      <c r="AA1006" s="18"/>
      <c r="AC1006" s="31"/>
      <c r="AE1006" s="18"/>
      <c r="AG1006" s="29"/>
    </row>
    <row r="1007" spans="1:33">
      <c r="A1007" s="29"/>
      <c r="B1007" s="29"/>
      <c r="C1007" s="29"/>
      <c r="D1007" s="29"/>
      <c r="E1007" s="30"/>
      <c r="F1007" s="30"/>
      <c r="X1007" s="29"/>
      <c r="Y1007" s="29"/>
      <c r="AA1007" s="18"/>
      <c r="AC1007" s="31"/>
      <c r="AE1007" s="18"/>
      <c r="AG1007" s="29"/>
    </row>
    <row r="1008" spans="1:33">
      <c r="A1008" s="29"/>
      <c r="B1008" s="29"/>
      <c r="C1008" s="29"/>
      <c r="D1008" s="29"/>
      <c r="E1008" s="30"/>
      <c r="F1008" s="30"/>
      <c r="X1008" s="29"/>
      <c r="Y1008" s="29"/>
      <c r="AA1008" s="18"/>
      <c r="AC1008" s="30"/>
      <c r="AE1008" s="18"/>
      <c r="AG1008" s="29"/>
    </row>
    <row r="1009" spans="1:33">
      <c r="A1009" s="29"/>
      <c r="B1009" s="29"/>
      <c r="C1009" s="29"/>
      <c r="D1009" s="29"/>
      <c r="E1009" s="30"/>
      <c r="F1009" s="30"/>
      <c r="X1009" s="29"/>
      <c r="Y1009" s="29"/>
      <c r="AA1009" s="18"/>
      <c r="AC1009" s="30"/>
      <c r="AE1009" s="18"/>
      <c r="AG1009" s="29"/>
    </row>
    <row r="1010" spans="1:33">
      <c r="A1010" s="29"/>
      <c r="B1010" s="29"/>
      <c r="C1010" s="29"/>
      <c r="D1010" s="29"/>
      <c r="E1010" s="30"/>
      <c r="F1010" s="30"/>
      <c r="X1010" s="29"/>
      <c r="Y1010" s="29"/>
      <c r="AA1010" s="18"/>
      <c r="AC1010" s="31"/>
      <c r="AE1010" s="18"/>
      <c r="AG1010" s="29"/>
    </row>
    <row r="1011" spans="1:33">
      <c r="A1011" s="29"/>
      <c r="B1011" s="29"/>
      <c r="C1011" s="29"/>
      <c r="D1011" s="29"/>
      <c r="E1011" s="30"/>
      <c r="F1011" s="30"/>
      <c r="X1011" s="29"/>
      <c r="Y1011" s="29"/>
      <c r="AA1011" s="18"/>
      <c r="AC1011" s="31"/>
      <c r="AE1011" s="18"/>
      <c r="AG1011" s="29"/>
    </row>
    <row r="1012" spans="1:33">
      <c r="A1012" s="29"/>
      <c r="B1012" s="29"/>
      <c r="C1012" s="29"/>
      <c r="D1012" s="29"/>
      <c r="E1012" s="30"/>
      <c r="F1012" s="30"/>
      <c r="X1012" s="29"/>
      <c r="Y1012" s="29"/>
      <c r="AA1012" s="18"/>
      <c r="AC1012" s="30"/>
      <c r="AE1012" s="18"/>
      <c r="AG1012" s="29"/>
    </row>
    <row r="1013" spans="1:33">
      <c r="A1013" s="29"/>
      <c r="B1013" s="29"/>
      <c r="C1013" s="29"/>
      <c r="D1013" s="29"/>
      <c r="E1013" s="30"/>
      <c r="F1013" s="30"/>
      <c r="X1013" s="29"/>
      <c r="Y1013" s="29"/>
      <c r="AA1013" s="18"/>
      <c r="AC1013" s="31"/>
      <c r="AE1013" s="18"/>
      <c r="AG1013" s="29"/>
    </row>
    <row r="1014" spans="1:33">
      <c r="A1014" s="29"/>
      <c r="B1014" s="29"/>
      <c r="C1014" s="29"/>
      <c r="D1014" s="29"/>
      <c r="E1014" s="30"/>
      <c r="F1014" s="30"/>
      <c r="X1014" s="29"/>
      <c r="Y1014" s="29"/>
      <c r="AA1014" s="18"/>
      <c r="AC1014" s="31"/>
      <c r="AE1014" s="18"/>
      <c r="AG1014" s="29"/>
    </row>
    <row r="1015" spans="1:33">
      <c r="A1015" s="29"/>
      <c r="B1015" s="29"/>
      <c r="C1015" s="29"/>
      <c r="D1015" s="29"/>
      <c r="E1015" s="30"/>
      <c r="F1015" s="30"/>
      <c r="X1015" s="29"/>
      <c r="Y1015" s="29"/>
      <c r="AA1015" s="18"/>
      <c r="AC1015" s="30"/>
      <c r="AE1015" s="18"/>
      <c r="AG1015" s="29"/>
    </row>
    <row r="1016" spans="1:33">
      <c r="A1016" s="29"/>
      <c r="B1016" s="29"/>
      <c r="C1016" s="29"/>
      <c r="D1016" s="29"/>
      <c r="E1016" s="30"/>
      <c r="F1016" s="30"/>
      <c r="X1016" s="29"/>
      <c r="Y1016" s="29"/>
      <c r="AA1016" s="18"/>
      <c r="AC1016" s="31"/>
      <c r="AE1016" s="18"/>
      <c r="AG1016" s="29"/>
    </row>
    <row r="1017" spans="1:33">
      <c r="A1017" s="29"/>
      <c r="B1017" s="29"/>
      <c r="C1017" s="29"/>
      <c r="D1017" s="29"/>
      <c r="E1017" s="30"/>
      <c r="F1017" s="30"/>
      <c r="X1017" s="29"/>
      <c r="Y1017" s="29"/>
      <c r="AA1017" s="18"/>
      <c r="AC1017" s="31"/>
      <c r="AE1017" s="18"/>
      <c r="AG1017" s="29"/>
    </row>
    <row r="1018" spans="1:33">
      <c r="A1018" s="29"/>
      <c r="B1018" s="29"/>
      <c r="C1018" s="29"/>
      <c r="D1018" s="29"/>
      <c r="E1018" s="30"/>
      <c r="F1018" s="30"/>
      <c r="X1018" s="29"/>
      <c r="Y1018" s="29"/>
      <c r="AA1018" s="18"/>
      <c r="AC1018" s="30"/>
      <c r="AE1018" s="18"/>
      <c r="AG1018" s="29"/>
    </row>
    <row r="1019" spans="1:33">
      <c r="A1019" s="29"/>
      <c r="B1019" s="29"/>
      <c r="C1019" s="29"/>
      <c r="D1019" s="29"/>
      <c r="E1019" s="30"/>
      <c r="F1019" s="30"/>
      <c r="X1019" s="29"/>
      <c r="Y1019" s="29"/>
      <c r="AA1019" s="18"/>
      <c r="AC1019" s="31"/>
      <c r="AE1019" s="18"/>
      <c r="AG1019" s="29"/>
    </row>
    <row r="1020" spans="1:33">
      <c r="A1020" s="29"/>
      <c r="B1020" s="29"/>
      <c r="C1020" s="29"/>
      <c r="D1020" s="29"/>
      <c r="E1020" s="30"/>
      <c r="F1020" s="30"/>
      <c r="X1020" s="29"/>
      <c r="Y1020" s="29"/>
      <c r="AA1020" s="18"/>
      <c r="AC1020" s="31"/>
      <c r="AE1020" s="18"/>
      <c r="AG1020" s="29"/>
    </row>
    <row r="1021" spans="1:33">
      <c r="A1021" s="29"/>
      <c r="B1021" s="29"/>
      <c r="C1021" s="29"/>
      <c r="D1021" s="29"/>
      <c r="E1021" s="30"/>
      <c r="F1021" s="30"/>
      <c r="X1021" s="29"/>
      <c r="Y1021" s="29"/>
      <c r="AA1021" s="18"/>
      <c r="AC1021" s="31"/>
      <c r="AE1021" s="18"/>
      <c r="AG1021" s="29"/>
    </row>
    <row r="1022" spans="1:33">
      <c r="A1022" s="29"/>
      <c r="B1022" s="29"/>
      <c r="C1022" s="29"/>
      <c r="D1022" s="29"/>
      <c r="E1022" s="30"/>
      <c r="F1022" s="30"/>
      <c r="X1022" s="29"/>
      <c r="Y1022" s="29"/>
      <c r="AA1022" s="18"/>
      <c r="AC1022" s="31"/>
      <c r="AE1022" s="18"/>
      <c r="AG1022" s="29"/>
    </row>
    <row r="1023" spans="1:33">
      <c r="A1023" s="29"/>
      <c r="B1023" s="29"/>
      <c r="C1023" s="29"/>
      <c r="D1023" s="29"/>
      <c r="E1023" s="30"/>
      <c r="F1023" s="30"/>
      <c r="X1023" s="29"/>
      <c r="Y1023" s="29"/>
      <c r="AA1023" s="18"/>
      <c r="AC1023" s="31"/>
      <c r="AE1023" s="18"/>
      <c r="AG1023" s="29"/>
    </row>
    <row r="1024" spans="1:33">
      <c r="A1024" s="29"/>
      <c r="B1024" s="29"/>
      <c r="C1024" s="29"/>
      <c r="D1024" s="29"/>
      <c r="E1024" s="30"/>
      <c r="F1024" s="30"/>
      <c r="X1024" s="29"/>
      <c r="Y1024" s="29"/>
      <c r="AA1024" s="18"/>
      <c r="AC1024" s="31"/>
      <c r="AE1024" s="18"/>
      <c r="AG1024" s="29"/>
    </row>
    <row r="1025" spans="1:33">
      <c r="A1025" s="29"/>
      <c r="B1025" s="29"/>
      <c r="C1025" s="29"/>
      <c r="D1025" s="29"/>
      <c r="E1025" s="30"/>
      <c r="F1025" s="30"/>
      <c r="X1025" s="29"/>
      <c r="Y1025" s="29"/>
      <c r="AA1025" s="18"/>
      <c r="AC1025" s="30"/>
      <c r="AE1025" s="18"/>
      <c r="AG1025" s="29"/>
    </row>
    <row r="1026" spans="1:33">
      <c r="A1026" s="29"/>
      <c r="B1026" s="29"/>
      <c r="C1026" s="29"/>
      <c r="D1026" s="29"/>
      <c r="E1026" s="30"/>
      <c r="F1026" s="30"/>
      <c r="X1026" s="29"/>
      <c r="Y1026" s="29"/>
      <c r="AA1026" s="18"/>
      <c r="AC1026" s="31"/>
      <c r="AE1026" s="18"/>
      <c r="AG1026" s="29"/>
    </row>
    <row r="1027" spans="1:33">
      <c r="A1027" s="29"/>
      <c r="B1027" s="29"/>
      <c r="C1027" s="29"/>
      <c r="D1027" s="29"/>
      <c r="E1027" s="30"/>
      <c r="F1027" s="30"/>
      <c r="X1027" s="29"/>
      <c r="Y1027" s="29"/>
      <c r="AA1027" s="18"/>
      <c r="AC1027" s="31"/>
      <c r="AE1027" s="18"/>
      <c r="AG1027" s="29"/>
    </row>
    <row r="1028" spans="1:33">
      <c r="A1028" s="29"/>
      <c r="B1028" s="29"/>
      <c r="C1028" s="29"/>
      <c r="D1028" s="29"/>
      <c r="E1028" s="30"/>
      <c r="F1028" s="30"/>
      <c r="X1028" s="29"/>
      <c r="Y1028" s="29"/>
      <c r="AA1028" s="18"/>
      <c r="AC1028" s="31"/>
      <c r="AE1028" s="18"/>
      <c r="AG1028" s="29"/>
    </row>
    <row r="1029" spans="1:33">
      <c r="A1029" s="29"/>
      <c r="B1029" s="29"/>
      <c r="C1029" s="29"/>
      <c r="D1029" s="29"/>
      <c r="E1029" s="30"/>
      <c r="F1029" s="30"/>
      <c r="X1029" s="29"/>
      <c r="Y1029" s="29"/>
      <c r="AA1029" s="18"/>
      <c r="AC1029" s="31"/>
      <c r="AE1029" s="18"/>
      <c r="AG1029" s="29"/>
    </row>
    <row r="1030" spans="1:33">
      <c r="A1030" s="29"/>
      <c r="B1030" s="29"/>
      <c r="C1030" s="29"/>
      <c r="D1030" s="29"/>
      <c r="E1030" s="30"/>
      <c r="F1030" s="30"/>
      <c r="X1030" s="29"/>
      <c r="Y1030" s="29"/>
      <c r="AA1030" s="18"/>
      <c r="AC1030" s="31"/>
      <c r="AE1030" s="18"/>
      <c r="AG1030" s="29"/>
    </row>
    <row r="1031" spans="1:33">
      <c r="A1031" s="29"/>
      <c r="B1031" s="29"/>
      <c r="C1031" s="29"/>
      <c r="D1031" s="29"/>
      <c r="E1031" s="30"/>
      <c r="F1031" s="30"/>
      <c r="X1031" s="29"/>
      <c r="Y1031" s="29"/>
      <c r="AA1031" s="18"/>
      <c r="AC1031" s="31"/>
      <c r="AE1031" s="18"/>
      <c r="AG1031" s="29"/>
    </row>
    <row r="1032" spans="1:33">
      <c r="A1032" s="29"/>
      <c r="B1032" s="29"/>
      <c r="C1032" s="29"/>
      <c r="D1032" s="29"/>
      <c r="E1032" s="30"/>
      <c r="F1032" s="30"/>
      <c r="X1032" s="29"/>
      <c r="Y1032" s="29"/>
      <c r="AA1032" s="18"/>
      <c r="AC1032" s="31"/>
      <c r="AE1032" s="18"/>
      <c r="AG1032" s="29"/>
    </row>
    <row r="1033" spans="1:33">
      <c r="A1033" s="29"/>
      <c r="B1033" s="29"/>
      <c r="C1033" s="29"/>
      <c r="D1033" s="29"/>
      <c r="E1033" s="30"/>
      <c r="F1033" s="30"/>
      <c r="X1033" s="29"/>
      <c r="Y1033" s="29"/>
      <c r="AA1033" s="18"/>
      <c r="AC1033" s="30"/>
      <c r="AE1033" s="18"/>
      <c r="AG1033" s="29"/>
    </row>
    <row r="1034" spans="1:33">
      <c r="A1034" s="29"/>
      <c r="B1034" s="29"/>
      <c r="C1034" s="29"/>
      <c r="D1034" s="29"/>
      <c r="E1034" s="30"/>
      <c r="F1034" s="30"/>
      <c r="X1034" s="29"/>
      <c r="Y1034" s="29"/>
      <c r="AA1034" s="18"/>
      <c r="AC1034" s="31"/>
      <c r="AE1034" s="18"/>
      <c r="AG1034" s="29"/>
    </row>
    <row r="1035" spans="1:33">
      <c r="A1035" s="29"/>
      <c r="B1035" s="29"/>
      <c r="C1035" s="29"/>
      <c r="D1035" s="29"/>
      <c r="E1035" s="30"/>
      <c r="F1035" s="30"/>
      <c r="X1035" s="29"/>
      <c r="Y1035" s="29"/>
      <c r="AA1035" s="18"/>
      <c r="AC1035" s="30"/>
      <c r="AE1035" s="18"/>
      <c r="AG1035" s="29"/>
    </row>
    <row r="1036" spans="1:33">
      <c r="A1036" s="29"/>
      <c r="B1036" s="29"/>
      <c r="C1036" s="29"/>
      <c r="D1036" s="29"/>
      <c r="E1036" s="30"/>
      <c r="F1036" s="30"/>
      <c r="X1036" s="29"/>
      <c r="Y1036" s="29"/>
      <c r="AA1036" s="18"/>
      <c r="AC1036" s="31"/>
      <c r="AE1036" s="18"/>
      <c r="AG1036" s="29"/>
    </row>
    <row r="1037" spans="1:33">
      <c r="A1037" s="29"/>
      <c r="B1037" s="29"/>
      <c r="C1037" s="29"/>
      <c r="D1037" s="29"/>
      <c r="E1037" s="30"/>
      <c r="F1037" s="30"/>
      <c r="X1037" s="29"/>
      <c r="Y1037" s="29"/>
      <c r="AA1037" s="18"/>
      <c r="AC1037" s="31"/>
      <c r="AE1037" s="18"/>
      <c r="AG1037" s="29"/>
    </row>
    <row r="1038" spans="1:33">
      <c r="A1038" s="29"/>
      <c r="B1038" s="29"/>
      <c r="C1038" s="29"/>
      <c r="D1038" s="29"/>
      <c r="E1038" s="30"/>
      <c r="F1038" s="30"/>
      <c r="X1038" s="29"/>
      <c r="Y1038" s="29"/>
      <c r="AA1038" s="18"/>
      <c r="AC1038" s="31"/>
      <c r="AE1038" s="18"/>
      <c r="AG1038" s="29"/>
    </row>
    <row r="1039" spans="1:33">
      <c r="A1039" s="29"/>
      <c r="B1039" s="29"/>
      <c r="C1039" s="29"/>
      <c r="D1039" s="29"/>
      <c r="E1039" s="30"/>
      <c r="F1039" s="30"/>
      <c r="X1039" s="29"/>
      <c r="Y1039" s="29"/>
      <c r="AA1039" s="18"/>
      <c r="AC1039" s="31"/>
      <c r="AE1039" s="18"/>
      <c r="AG1039" s="29"/>
    </row>
    <row r="1040" spans="1:33">
      <c r="A1040" s="29"/>
      <c r="B1040" s="29"/>
      <c r="C1040" s="29"/>
      <c r="D1040" s="29"/>
      <c r="E1040" s="30"/>
      <c r="F1040" s="30"/>
      <c r="X1040" s="29"/>
      <c r="Y1040" s="29"/>
      <c r="AA1040" s="18"/>
      <c r="AC1040" s="31"/>
      <c r="AE1040" s="18"/>
      <c r="AG1040" s="29"/>
    </row>
    <row r="1041" spans="1:33">
      <c r="A1041" s="29"/>
      <c r="B1041" s="29"/>
      <c r="C1041" s="29"/>
      <c r="D1041" s="29"/>
      <c r="E1041" s="30"/>
      <c r="F1041" s="30"/>
      <c r="X1041" s="29"/>
      <c r="Y1041" s="29"/>
      <c r="AA1041" s="18"/>
      <c r="AC1041" s="31"/>
      <c r="AE1041" s="18"/>
      <c r="AG1041" s="29"/>
    </row>
    <row r="1042" spans="1:33">
      <c r="A1042" s="29"/>
      <c r="B1042" s="29"/>
      <c r="C1042" s="29"/>
      <c r="D1042" s="29"/>
      <c r="E1042" s="30"/>
      <c r="F1042" s="30"/>
      <c r="X1042" s="29"/>
      <c r="Y1042" s="29"/>
      <c r="AA1042" s="18"/>
      <c r="AC1042" s="30"/>
      <c r="AE1042" s="18"/>
      <c r="AG1042" s="29"/>
    </row>
    <row r="1043" spans="1:33">
      <c r="A1043" s="29"/>
      <c r="B1043" s="29"/>
      <c r="C1043" s="29"/>
      <c r="D1043" s="29"/>
      <c r="E1043" s="30"/>
      <c r="F1043" s="30"/>
      <c r="X1043" s="29"/>
      <c r="Y1043" s="29"/>
      <c r="AA1043" s="18"/>
      <c r="AC1043" s="31"/>
      <c r="AE1043" s="18"/>
      <c r="AG1043" s="29"/>
    </row>
    <row r="1044" spans="1:33">
      <c r="A1044" s="29"/>
      <c r="B1044" s="29"/>
      <c r="C1044" s="29"/>
      <c r="D1044" s="29"/>
      <c r="E1044" s="30"/>
      <c r="F1044" s="30"/>
      <c r="X1044" s="29"/>
      <c r="Y1044" s="29"/>
      <c r="AA1044" s="18"/>
      <c r="AC1044" s="31"/>
      <c r="AE1044" s="18"/>
      <c r="AG1044" s="29"/>
    </row>
    <row r="1045" spans="1:33">
      <c r="A1045" s="29"/>
      <c r="B1045" s="29"/>
      <c r="C1045" s="29"/>
      <c r="D1045" s="29"/>
      <c r="E1045" s="30"/>
      <c r="F1045" s="30"/>
      <c r="X1045" s="29"/>
      <c r="Y1045" s="29"/>
      <c r="AA1045" s="18"/>
      <c r="AC1045" s="31"/>
      <c r="AE1045" s="18"/>
      <c r="AG1045" s="29"/>
    </row>
    <row r="1046" spans="1:33">
      <c r="A1046" s="29"/>
      <c r="B1046" s="29"/>
      <c r="C1046" s="29"/>
      <c r="D1046" s="29"/>
      <c r="E1046" s="30"/>
      <c r="F1046" s="30"/>
      <c r="X1046" s="29"/>
      <c r="Y1046" s="29"/>
      <c r="AA1046" s="18"/>
      <c r="AC1046" s="30"/>
      <c r="AE1046" s="18"/>
      <c r="AG1046" s="29"/>
    </row>
    <row r="1047" spans="1:33">
      <c r="A1047" s="29"/>
      <c r="B1047" s="29"/>
      <c r="C1047" s="29"/>
      <c r="D1047" s="29"/>
      <c r="E1047" s="30"/>
      <c r="F1047" s="30"/>
      <c r="X1047" s="29"/>
      <c r="Y1047" s="29"/>
      <c r="AA1047" s="18"/>
      <c r="AC1047" s="31"/>
      <c r="AE1047" s="18"/>
      <c r="AG1047" s="29"/>
    </row>
    <row r="1048" spans="1:33">
      <c r="A1048" s="29"/>
      <c r="B1048" s="29"/>
      <c r="C1048" s="29"/>
      <c r="D1048" s="29"/>
      <c r="E1048" s="30"/>
      <c r="F1048" s="30"/>
      <c r="X1048" s="29"/>
      <c r="Y1048" s="29"/>
      <c r="AA1048" s="18"/>
      <c r="AC1048" s="30"/>
      <c r="AE1048" s="18"/>
      <c r="AG1048" s="29"/>
    </row>
    <row r="1049" spans="1:33">
      <c r="A1049" s="29"/>
      <c r="B1049" s="29"/>
      <c r="C1049" s="29"/>
      <c r="D1049" s="29"/>
      <c r="E1049" s="30"/>
      <c r="F1049" s="30"/>
      <c r="X1049" s="29"/>
      <c r="Y1049" s="29"/>
      <c r="AA1049" s="18"/>
      <c r="AC1049" s="31"/>
      <c r="AE1049" s="18"/>
      <c r="AG1049" s="29"/>
    </row>
    <row r="1050" spans="1:33">
      <c r="A1050" s="29"/>
      <c r="B1050" s="29"/>
      <c r="C1050" s="29"/>
      <c r="D1050" s="29"/>
      <c r="E1050" s="30"/>
      <c r="F1050" s="30"/>
      <c r="X1050" s="29"/>
      <c r="Y1050" s="29"/>
      <c r="AA1050" s="18"/>
      <c r="AC1050" s="31"/>
      <c r="AE1050" s="18"/>
      <c r="AG1050" s="29"/>
    </row>
    <row r="1051" spans="1:33">
      <c r="A1051" s="29"/>
      <c r="B1051" s="29"/>
      <c r="C1051" s="29"/>
      <c r="D1051" s="29"/>
      <c r="E1051" s="30"/>
      <c r="F1051" s="30"/>
      <c r="X1051" s="29"/>
      <c r="Y1051" s="29"/>
      <c r="AA1051" s="18"/>
      <c r="AC1051" s="31"/>
      <c r="AE1051" s="18"/>
      <c r="AG1051" s="29"/>
    </row>
    <row r="1052" spans="1:33">
      <c r="A1052" s="29"/>
      <c r="B1052" s="29"/>
      <c r="C1052" s="29"/>
      <c r="D1052" s="29"/>
      <c r="E1052" s="30"/>
      <c r="F1052" s="30"/>
      <c r="X1052" s="29"/>
      <c r="Y1052" s="29"/>
      <c r="AA1052" s="18"/>
      <c r="AC1052" s="31"/>
      <c r="AE1052" s="18"/>
      <c r="AG1052" s="29"/>
    </row>
    <row r="1053" spans="1:33">
      <c r="A1053" s="29"/>
      <c r="B1053" s="29"/>
      <c r="C1053" s="29"/>
      <c r="D1053" s="29"/>
      <c r="E1053" s="30"/>
      <c r="F1053" s="30"/>
      <c r="X1053" s="29"/>
      <c r="Y1053" s="29"/>
      <c r="AA1053" s="18"/>
      <c r="AC1053" s="31"/>
      <c r="AE1053" s="18"/>
      <c r="AG1053" s="29"/>
    </row>
    <row r="1054" spans="1:33">
      <c r="A1054" s="29"/>
      <c r="B1054" s="29"/>
      <c r="C1054" s="29"/>
      <c r="D1054" s="29"/>
      <c r="E1054" s="30"/>
      <c r="F1054" s="30"/>
      <c r="X1054" s="29"/>
      <c r="Y1054" s="29"/>
      <c r="AA1054" s="18"/>
      <c r="AC1054" s="31"/>
      <c r="AE1054" s="18"/>
      <c r="AG1054" s="29"/>
    </row>
    <row r="1055" spans="1:33">
      <c r="A1055" s="29"/>
      <c r="B1055" s="29"/>
      <c r="C1055" s="29"/>
      <c r="D1055" s="29"/>
      <c r="E1055" s="30"/>
      <c r="F1055" s="30"/>
      <c r="X1055" s="29"/>
      <c r="Y1055" s="29"/>
      <c r="AA1055" s="18"/>
      <c r="AC1055" s="31"/>
      <c r="AE1055" s="18"/>
      <c r="AG1055" s="29"/>
    </row>
    <row r="1056" spans="1:33">
      <c r="A1056" s="29"/>
      <c r="B1056" s="29"/>
      <c r="C1056" s="29"/>
      <c r="D1056" s="29"/>
      <c r="E1056" s="30"/>
      <c r="F1056" s="30"/>
      <c r="X1056" s="29"/>
      <c r="Y1056" s="29"/>
      <c r="AA1056" s="18"/>
      <c r="AC1056" s="31"/>
      <c r="AE1056" s="18"/>
      <c r="AG1056" s="29"/>
    </row>
    <row r="1057" spans="1:33">
      <c r="A1057" s="29"/>
      <c r="B1057" s="29"/>
      <c r="C1057" s="29"/>
      <c r="D1057" s="29"/>
      <c r="E1057" s="30"/>
      <c r="F1057" s="30"/>
      <c r="X1057" s="29"/>
      <c r="Y1057" s="29"/>
      <c r="AA1057" s="18"/>
      <c r="AC1057" s="31"/>
      <c r="AE1057" s="18"/>
      <c r="AG1057" s="29"/>
    </row>
    <row r="1058" spans="1:33">
      <c r="A1058" s="29"/>
      <c r="B1058" s="29"/>
      <c r="C1058" s="29"/>
      <c r="D1058" s="29"/>
      <c r="E1058" s="30"/>
      <c r="F1058" s="30"/>
      <c r="X1058" s="29"/>
      <c r="Y1058" s="29"/>
      <c r="AA1058" s="18"/>
      <c r="AC1058" s="31"/>
      <c r="AE1058" s="18"/>
      <c r="AG1058" s="29"/>
    </row>
    <row r="1059" spans="1:33">
      <c r="A1059" s="29"/>
      <c r="B1059" s="29"/>
      <c r="C1059" s="29"/>
      <c r="D1059" s="29"/>
      <c r="E1059" s="30"/>
      <c r="F1059" s="30"/>
      <c r="X1059" s="29"/>
      <c r="Y1059" s="29"/>
      <c r="AA1059" s="18"/>
      <c r="AC1059" s="30"/>
      <c r="AE1059" s="18"/>
      <c r="AG1059" s="29"/>
    </row>
    <row r="1060" spans="1:33">
      <c r="A1060" s="29"/>
      <c r="B1060" s="29"/>
      <c r="C1060" s="29"/>
      <c r="D1060" s="29"/>
      <c r="E1060" s="30"/>
      <c r="F1060" s="30"/>
      <c r="X1060" s="29"/>
      <c r="Y1060" s="29"/>
      <c r="AA1060" s="18"/>
      <c r="AC1060" s="31"/>
      <c r="AE1060" s="18"/>
      <c r="AG1060" s="29"/>
    </row>
    <row r="1061" spans="1:33">
      <c r="A1061" s="29"/>
      <c r="B1061" s="29"/>
      <c r="C1061" s="29"/>
      <c r="D1061" s="29"/>
      <c r="E1061" s="30"/>
      <c r="F1061" s="30"/>
      <c r="X1061" s="29"/>
      <c r="Y1061" s="29"/>
      <c r="AA1061" s="18"/>
      <c r="AC1061" s="31"/>
      <c r="AE1061" s="18"/>
      <c r="AG1061" s="29"/>
    </row>
    <row r="1062" spans="1:33">
      <c r="A1062" s="29"/>
      <c r="B1062" s="29"/>
      <c r="C1062" s="29"/>
      <c r="D1062" s="29"/>
      <c r="E1062" s="30"/>
      <c r="F1062" s="30"/>
      <c r="X1062" s="29"/>
      <c r="Y1062" s="29"/>
      <c r="AA1062" s="18"/>
      <c r="AC1062" s="31"/>
      <c r="AE1062" s="18"/>
      <c r="AG1062" s="29"/>
    </row>
    <row r="1063" spans="1:33">
      <c r="A1063" s="29"/>
      <c r="B1063" s="29"/>
      <c r="C1063" s="29"/>
      <c r="D1063" s="29"/>
      <c r="E1063" s="30"/>
      <c r="F1063" s="30"/>
      <c r="X1063" s="29"/>
      <c r="Y1063" s="29"/>
      <c r="AA1063" s="18"/>
      <c r="AC1063" s="31"/>
      <c r="AE1063" s="18"/>
      <c r="AG1063" s="29"/>
    </row>
    <row r="1064" spans="1:33">
      <c r="A1064" s="29"/>
      <c r="B1064" s="29"/>
      <c r="C1064" s="29"/>
      <c r="D1064" s="29"/>
      <c r="E1064" s="30"/>
      <c r="F1064" s="30"/>
      <c r="X1064" s="29"/>
      <c r="Y1064" s="29"/>
      <c r="AA1064" s="18"/>
      <c r="AC1064" s="31"/>
      <c r="AE1064" s="18"/>
      <c r="AG1064" s="29"/>
    </row>
    <row r="1065" spans="1:33">
      <c r="A1065" s="29"/>
      <c r="B1065" s="29"/>
      <c r="C1065" s="29"/>
      <c r="D1065" s="29"/>
      <c r="E1065" s="30"/>
      <c r="F1065" s="30"/>
      <c r="X1065" s="29"/>
      <c r="Y1065" s="29"/>
      <c r="AA1065" s="18"/>
      <c r="AC1065" s="31"/>
      <c r="AE1065" s="18"/>
      <c r="AG1065" s="29"/>
    </row>
    <row r="1066" spans="1:33">
      <c r="A1066" s="29"/>
      <c r="B1066" s="29"/>
      <c r="C1066" s="29"/>
      <c r="D1066" s="29"/>
      <c r="E1066" s="30"/>
      <c r="F1066" s="30"/>
      <c r="X1066" s="29"/>
      <c r="Y1066" s="29"/>
      <c r="AA1066" s="18"/>
      <c r="AC1066" s="31"/>
      <c r="AE1066" s="18"/>
      <c r="AG1066" s="29"/>
    </row>
    <row r="1067" spans="1:33">
      <c r="A1067" s="29"/>
      <c r="B1067" s="29"/>
      <c r="C1067" s="29"/>
      <c r="D1067" s="29"/>
      <c r="E1067" s="30"/>
      <c r="F1067" s="30"/>
      <c r="X1067" s="29"/>
      <c r="Y1067" s="29"/>
      <c r="AA1067" s="18"/>
      <c r="AC1067" s="31"/>
      <c r="AE1067" s="18"/>
      <c r="AG1067" s="29"/>
    </row>
    <row r="1068" spans="1:33">
      <c r="A1068" s="29"/>
      <c r="B1068" s="29"/>
      <c r="C1068" s="29"/>
      <c r="D1068" s="29"/>
      <c r="E1068" s="30"/>
      <c r="F1068" s="30"/>
      <c r="X1068" s="29"/>
      <c r="Y1068" s="29"/>
      <c r="AA1068" s="18"/>
      <c r="AC1068" s="31"/>
      <c r="AE1068" s="18"/>
      <c r="AG1068" s="29"/>
    </row>
    <row r="1069" spans="1:33">
      <c r="A1069" s="29"/>
      <c r="B1069" s="29"/>
      <c r="C1069" s="29"/>
      <c r="D1069" s="29"/>
      <c r="E1069" s="30"/>
      <c r="F1069" s="30"/>
      <c r="X1069" s="29"/>
      <c r="Y1069" s="29"/>
      <c r="AA1069" s="18"/>
      <c r="AC1069" s="31"/>
      <c r="AE1069" s="18"/>
      <c r="AG1069" s="29"/>
    </row>
    <row r="1070" spans="1:33">
      <c r="A1070" s="29"/>
      <c r="B1070" s="29"/>
      <c r="C1070" s="29"/>
      <c r="D1070" s="29"/>
      <c r="E1070" s="30"/>
      <c r="F1070" s="30"/>
      <c r="X1070" s="29"/>
      <c r="Y1070" s="29"/>
      <c r="AA1070" s="18"/>
      <c r="AC1070" s="30"/>
      <c r="AE1070" s="18"/>
      <c r="AG1070" s="29"/>
    </row>
    <row r="1071" spans="1:33">
      <c r="A1071" s="29"/>
      <c r="B1071" s="29"/>
      <c r="C1071" s="29"/>
      <c r="D1071" s="29"/>
      <c r="E1071" s="30"/>
      <c r="F1071" s="30"/>
      <c r="X1071" s="29"/>
      <c r="Y1071" s="29"/>
      <c r="AA1071" s="18"/>
      <c r="AC1071" s="31"/>
      <c r="AE1071" s="18"/>
      <c r="AG1071" s="29"/>
    </row>
    <row r="1072" spans="1:33">
      <c r="A1072" s="29"/>
      <c r="B1072" s="29"/>
      <c r="C1072" s="29"/>
      <c r="D1072" s="29"/>
      <c r="E1072" s="30"/>
      <c r="F1072" s="30"/>
      <c r="X1072" s="29"/>
      <c r="Y1072" s="29"/>
      <c r="AA1072" s="18"/>
      <c r="AC1072" s="31"/>
      <c r="AE1072" s="18"/>
      <c r="AG1072" s="29"/>
    </row>
    <row r="1073" spans="1:33">
      <c r="A1073" s="29"/>
      <c r="B1073" s="29"/>
      <c r="C1073" s="29"/>
      <c r="D1073" s="29"/>
      <c r="E1073" s="30"/>
      <c r="F1073" s="30"/>
      <c r="X1073" s="29"/>
      <c r="Y1073" s="29"/>
      <c r="AA1073" s="18"/>
      <c r="AC1073" s="31"/>
      <c r="AE1073" s="18"/>
      <c r="AG1073" s="29"/>
    </row>
    <row r="1074" spans="1:33">
      <c r="A1074" s="29"/>
      <c r="B1074" s="29"/>
      <c r="C1074" s="29"/>
      <c r="D1074" s="29"/>
      <c r="E1074" s="30"/>
      <c r="F1074" s="30"/>
      <c r="X1074" s="29"/>
      <c r="Y1074" s="29"/>
      <c r="AA1074" s="18"/>
      <c r="AC1074" s="31"/>
      <c r="AE1074" s="18"/>
      <c r="AG1074" s="29"/>
    </row>
    <row r="1075" spans="1:33">
      <c r="A1075" s="29"/>
      <c r="B1075" s="29"/>
      <c r="C1075" s="29"/>
      <c r="D1075" s="29"/>
      <c r="E1075" s="30"/>
      <c r="F1075" s="30"/>
      <c r="X1075" s="29"/>
      <c r="Y1075" s="29"/>
      <c r="AA1075" s="18"/>
      <c r="AC1075" s="30"/>
      <c r="AE1075" s="18"/>
      <c r="AG1075" s="29"/>
    </row>
    <row r="1076" spans="1:33">
      <c r="A1076" s="29"/>
      <c r="B1076" s="29"/>
      <c r="C1076" s="29"/>
      <c r="D1076" s="29"/>
      <c r="E1076" s="30"/>
      <c r="F1076" s="30"/>
      <c r="X1076" s="29"/>
      <c r="Y1076" s="29"/>
      <c r="AA1076" s="18"/>
      <c r="AC1076" s="31"/>
      <c r="AE1076" s="18"/>
      <c r="AG1076" s="29"/>
    </row>
    <row r="1077" spans="1:33">
      <c r="A1077" s="29"/>
      <c r="B1077" s="29"/>
      <c r="C1077" s="29"/>
      <c r="D1077" s="29"/>
      <c r="E1077" s="30"/>
      <c r="F1077" s="30"/>
      <c r="X1077" s="29"/>
      <c r="Y1077" s="29"/>
      <c r="AA1077" s="18"/>
      <c r="AC1077" s="31"/>
      <c r="AE1077" s="18"/>
      <c r="AG1077" s="29"/>
    </row>
    <row r="1078" spans="1:33">
      <c r="A1078" s="29"/>
      <c r="B1078" s="29"/>
      <c r="C1078" s="29"/>
      <c r="D1078" s="29"/>
      <c r="E1078" s="30"/>
      <c r="F1078" s="30"/>
      <c r="X1078" s="29"/>
      <c r="Y1078" s="29"/>
      <c r="AA1078" s="18"/>
      <c r="AC1078" s="31"/>
      <c r="AE1078" s="18"/>
      <c r="AG1078" s="29"/>
    </row>
    <row r="1079" spans="1:33">
      <c r="A1079" s="29"/>
      <c r="B1079" s="29"/>
      <c r="C1079" s="29"/>
      <c r="D1079" s="29"/>
      <c r="E1079" s="30"/>
      <c r="F1079" s="30"/>
      <c r="X1079" s="29"/>
      <c r="Y1079" s="29"/>
      <c r="AA1079" s="18"/>
      <c r="AC1079" s="31"/>
      <c r="AE1079" s="18"/>
      <c r="AG1079" s="29"/>
    </row>
    <row r="1080" spans="1:33">
      <c r="A1080" s="29"/>
      <c r="B1080" s="29"/>
      <c r="C1080" s="29"/>
      <c r="D1080" s="29"/>
      <c r="E1080" s="30"/>
      <c r="F1080" s="30"/>
      <c r="X1080" s="29"/>
      <c r="Y1080" s="29"/>
      <c r="AA1080" s="18"/>
      <c r="AC1080" s="31"/>
      <c r="AE1080" s="18"/>
      <c r="AG1080" s="29"/>
    </row>
    <row r="1081" spans="1:33">
      <c r="A1081" s="29"/>
      <c r="B1081" s="29"/>
      <c r="C1081" s="29"/>
      <c r="D1081" s="29"/>
      <c r="E1081" s="30"/>
      <c r="F1081" s="30"/>
      <c r="X1081" s="29"/>
      <c r="Y1081" s="29"/>
      <c r="AA1081" s="18"/>
      <c r="AC1081" s="31"/>
      <c r="AE1081" s="18"/>
      <c r="AG1081" s="29"/>
    </row>
    <row r="1082" spans="1:33">
      <c r="A1082" s="29"/>
      <c r="B1082" s="29"/>
      <c r="C1082" s="29"/>
      <c r="D1082" s="29"/>
      <c r="E1082" s="30"/>
      <c r="F1082" s="30"/>
      <c r="X1082" s="29"/>
      <c r="Y1082" s="29"/>
      <c r="AA1082" s="18"/>
      <c r="AC1082" s="31"/>
      <c r="AE1082" s="18"/>
      <c r="AG1082" s="29"/>
    </row>
    <row r="1083" spans="1:33">
      <c r="A1083" s="29"/>
      <c r="B1083" s="29"/>
      <c r="C1083" s="29"/>
      <c r="D1083" s="29"/>
      <c r="E1083" s="30"/>
      <c r="F1083" s="30"/>
      <c r="X1083" s="29"/>
      <c r="Y1083" s="29"/>
      <c r="AA1083" s="18"/>
      <c r="AC1083" s="31"/>
      <c r="AE1083" s="18"/>
      <c r="AG1083" s="29"/>
    </row>
    <row r="1084" spans="1:33">
      <c r="A1084" s="29"/>
      <c r="B1084" s="29"/>
      <c r="C1084" s="29"/>
      <c r="D1084" s="29"/>
      <c r="E1084" s="30"/>
      <c r="F1084" s="30"/>
      <c r="X1084" s="29"/>
      <c r="Y1084" s="29"/>
      <c r="AA1084" s="18"/>
      <c r="AC1084" s="31"/>
      <c r="AE1084" s="18"/>
      <c r="AG1084" s="29"/>
    </row>
    <row r="1085" spans="1:33">
      <c r="A1085" s="29"/>
      <c r="B1085" s="29"/>
      <c r="C1085" s="29"/>
      <c r="D1085" s="29"/>
      <c r="E1085" s="30"/>
      <c r="F1085" s="30"/>
      <c r="X1085" s="29"/>
      <c r="Y1085" s="29"/>
      <c r="AA1085" s="18"/>
      <c r="AC1085" s="31"/>
      <c r="AE1085" s="18"/>
      <c r="AG1085" s="29"/>
    </row>
    <row r="1086" spans="1:33">
      <c r="A1086" s="29"/>
      <c r="B1086" s="29"/>
      <c r="C1086" s="29"/>
      <c r="D1086" s="29"/>
      <c r="E1086" s="30"/>
      <c r="F1086" s="30"/>
      <c r="X1086" s="29"/>
      <c r="Y1086" s="29"/>
      <c r="AA1086" s="18"/>
      <c r="AC1086" s="31"/>
      <c r="AE1086" s="18"/>
      <c r="AG1086" s="29"/>
    </row>
    <row r="1087" spans="1:33">
      <c r="A1087" s="29"/>
      <c r="B1087" s="29"/>
      <c r="C1087" s="29"/>
      <c r="D1087" s="29"/>
      <c r="E1087" s="30"/>
      <c r="F1087" s="30"/>
      <c r="X1087" s="29"/>
      <c r="Y1087" s="29"/>
      <c r="AA1087" s="18"/>
      <c r="AC1087" s="31"/>
      <c r="AE1087" s="18"/>
      <c r="AG1087" s="29"/>
    </row>
    <row r="1088" spans="1:33">
      <c r="A1088" s="29"/>
      <c r="B1088" s="29"/>
      <c r="C1088" s="29"/>
      <c r="D1088" s="29"/>
      <c r="E1088" s="30"/>
      <c r="F1088" s="30"/>
      <c r="X1088" s="29"/>
      <c r="Y1088" s="29"/>
      <c r="AA1088" s="18"/>
      <c r="AC1088" s="31"/>
      <c r="AE1088" s="18"/>
      <c r="AG1088" s="29"/>
    </row>
    <row r="1089" spans="1:33">
      <c r="A1089" s="29"/>
      <c r="B1089" s="29"/>
      <c r="C1089" s="29"/>
      <c r="D1089" s="29"/>
      <c r="E1089" s="30"/>
      <c r="F1089" s="30"/>
      <c r="X1089" s="29"/>
      <c r="Y1089" s="29"/>
      <c r="AA1089" s="18"/>
      <c r="AC1089" s="31"/>
      <c r="AE1089" s="18"/>
      <c r="AG1089" s="29"/>
    </row>
    <row r="1090" spans="1:33">
      <c r="A1090" s="29"/>
      <c r="B1090" s="29"/>
      <c r="C1090" s="29"/>
      <c r="D1090" s="29"/>
      <c r="E1090" s="30"/>
      <c r="F1090" s="30"/>
      <c r="X1090" s="29"/>
      <c r="Y1090" s="29"/>
      <c r="AA1090" s="18"/>
      <c r="AC1090" s="31"/>
      <c r="AE1090" s="18"/>
      <c r="AG1090" s="29"/>
    </row>
    <row r="1091" spans="1:33">
      <c r="A1091" s="29"/>
      <c r="B1091" s="29"/>
      <c r="C1091" s="29"/>
      <c r="D1091" s="29"/>
      <c r="E1091" s="30"/>
      <c r="F1091" s="30"/>
      <c r="X1091" s="29"/>
      <c r="Y1091" s="29"/>
      <c r="AA1091" s="18"/>
      <c r="AC1091" s="31"/>
      <c r="AE1091" s="18"/>
      <c r="AG1091" s="29"/>
    </row>
    <row r="1092" spans="1:33">
      <c r="A1092" s="29"/>
      <c r="B1092" s="29"/>
      <c r="C1092" s="29"/>
      <c r="D1092" s="29"/>
      <c r="E1092" s="30"/>
      <c r="F1092" s="30"/>
      <c r="X1092" s="29"/>
      <c r="Y1092" s="29"/>
      <c r="AA1092" s="18"/>
      <c r="AC1092" s="31"/>
      <c r="AE1092" s="18"/>
      <c r="AG1092" s="29"/>
    </row>
    <row r="1093" spans="1:33">
      <c r="A1093" s="29"/>
      <c r="B1093" s="29"/>
      <c r="C1093" s="29"/>
      <c r="D1093" s="29"/>
      <c r="E1093" s="30"/>
      <c r="F1093" s="30"/>
      <c r="X1093" s="29"/>
      <c r="Y1093" s="29"/>
      <c r="AA1093" s="18"/>
      <c r="AC1093" s="31"/>
      <c r="AE1093" s="18"/>
      <c r="AG1093" s="29"/>
    </row>
    <row r="1094" spans="1:33">
      <c r="A1094" s="29"/>
      <c r="B1094" s="29"/>
      <c r="C1094" s="29"/>
      <c r="D1094" s="29"/>
      <c r="E1094" s="30"/>
      <c r="F1094" s="30"/>
      <c r="X1094" s="29"/>
      <c r="Y1094" s="29"/>
      <c r="AA1094" s="18"/>
      <c r="AC1094" s="31"/>
      <c r="AE1094" s="18"/>
      <c r="AG1094" s="29"/>
    </row>
    <row r="1095" spans="1:33">
      <c r="A1095" s="29"/>
      <c r="B1095" s="29"/>
      <c r="C1095" s="29"/>
      <c r="D1095" s="29"/>
      <c r="E1095" s="30"/>
      <c r="F1095" s="30"/>
      <c r="X1095" s="29"/>
      <c r="Y1095" s="29"/>
      <c r="AA1095" s="18"/>
      <c r="AC1095" s="31"/>
      <c r="AE1095" s="18"/>
      <c r="AG1095" s="29"/>
    </row>
    <row r="1096" spans="1:33">
      <c r="A1096" s="29"/>
      <c r="B1096" s="29"/>
      <c r="C1096" s="29"/>
      <c r="D1096" s="29"/>
      <c r="E1096" s="30"/>
      <c r="F1096" s="30"/>
      <c r="X1096" s="29"/>
      <c r="Y1096" s="29"/>
      <c r="AA1096" s="18"/>
      <c r="AC1096" s="31"/>
      <c r="AE1096" s="18"/>
      <c r="AG1096" s="29"/>
    </row>
    <row r="1097" spans="1:33">
      <c r="A1097" s="29"/>
      <c r="B1097" s="29"/>
      <c r="C1097" s="29"/>
      <c r="D1097" s="29"/>
      <c r="E1097" s="30"/>
      <c r="F1097" s="30"/>
      <c r="X1097" s="29"/>
      <c r="Y1097" s="29"/>
      <c r="AA1097" s="18"/>
      <c r="AC1097" s="30"/>
      <c r="AE1097" s="18"/>
      <c r="AG1097" s="29"/>
    </row>
    <row r="1098" spans="1:33">
      <c r="A1098" s="29"/>
      <c r="B1098" s="29"/>
      <c r="C1098" s="29"/>
      <c r="D1098" s="29"/>
      <c r="E1098" s="30"/>
      <c r="F1098" s="30"/>
      <c r="X1098" s="29"/>
      <c r="Y1098" s="29"/>
      <c r="AA1098" s="18"/>
      <c r="AC1098" s="31"/>
      <c r="AE1098" s="18"/>
      <c r="AG1098" s="29"/>
    </row>
    <row r="1099" spans="1:33">
      <c r="A1099" s="29"/>
      <c r="B1099" s="29"/>
      <c r="C1099" s="29"/>
      <c r="D1099" s="29"/>
      <c r="E1099" s="30"/>
      <c r="F1099" s="30"/>
      <c r="X1099" s="29"/>
      <c r="Y1099" s="29"/>
      <c r="AA1099" s="18"/>
      <c r="AC1099" s="31"/>
      <c r="AE1099" s="18"/>
      <c r="AG1099" s="29"/>
    </row>
    <row r="1100" spans="1:33">
      <c r="A1100" s="29"/>
      <c r="B1100" s="29"/>
      <c r="C1100" s="29"/>
      <c r="D1100" s="29"/>
      <c r="E1100" s="30"/>
      <c r="F1100" s="30"/>
      <c r="X1100" s="29"/>
      <c r="Y1100" s="29"/>
      <c r="AA1100" s="18"/>
      <c r="AC1100" s="31"/>
      <c r="AE1100" s="18"/>
      <c r="AG1100" s="29"/>
    </row>
    <row r="1101" spans="1:33">
      <c r="A1101" s="29"/>
      <c r="B1101" s="29"/>
      <c r="C1101" s="29"/>
      <c r="D1101" s="29"/>
      <c r="E1101" s="30"/>
      <c r="F1101" s="30"/>
      <c r="X1101" s="29"/>
      <c r="Y1101" s="29"/>
      <c r="AA1101" s="18"/>
      <c r="AC1101" s="30"/>
      <c r="AE1101" s="18"/>
      <c r="AG1101" s="29"/>
    </row>
    <row r="1102" spans="1:33">
      <c r="A1102" s="29"/>
      <c r="B1102" s="29"/>
      <c r="C1102" s="29"/>
      <c r="D1102" s="29"/>
      <c r="E1102" s="30"/>
      <c r="F1102" s="30"/>
      <c r="X1102" s="29"/>
      <c r="Y1102" s="29"/>
      <c r="AA1102" s="18"/>
      <c r="AC1102" s="31"/>
      <c r="AE1102" s="18"/>
      <c r="AG1102" s="29"/>
    </row>
    <row r="1103" spans="1:33">
      <c r="A1103" s="29"/>
      <c r="B1103" s="29"/>
      <c r="C1103" s="29"/>
      <c r="D1103" s="29"/>
      <c r="E1103" s="30"/>
      <c r="F1103" s="30"/>
      <c r="X1103" s="29"/>
      <c r="Y1103" s="29"/>
      <c r="AA1103" s="18"/>
      <c r="AC1103" s="31"/>
      <c r="AE1103" s="18"/>
      <c r="AG1103" s="29"/>
    </row>
    <row r="1104" spans="1:33">
      <c r="A1104" s="29"/>
      <c r="B1104" s="29"/>
      <c r="C1104" s="29"/>
      <c r="D1104" s="29"/>
      <c r="E1104" s="30"/>
      <c r="F1104" s="30"/>
      <c r="X1104" s="29"/>
      <c r="Y1104" s="29"/>
      <c r="AA1104" s="18"/>
      <c r="AC1104" s="31"/>
      <c r="AE1104" s="18"/>
      <c r="AG1104" s="29"/>
    </row>
    <row r="1105" spans="1:33">
      <c r="A1105" s="29"/>
      <c r="B1105" s="29"/>
      <c r="C1105" s="29"/>
      <c r="D1105" s="29"/>
      <c r="E1105" s="30"/>
      <c r="F1105" s="30"/>
      <c r="X1105" s="29"/>
      <c r="Y1105" s="29"/>
      <c r="AA1105" s="18"/>
      <c r="AC1105" s="31"/>
      <c r="AE1105" s="18"/>
      <c r="AG1105" s="29"/>
    </row>
    <row r="1106" spans="1:33">
      <c r="A1106" s="29"/>
      <c r="B1106" s="29"/>
      <c r="C1106" s="29"/>
      <c r="D1106" s="29"/>
      <c r="E1106" s="30"/>
      <c r="F1106" s="30"/>
      <c r="X1106" s="29"/>
      <c r="Y1106" s="29"/>
      <c r="AA1106" s="18"/>
      <c r="AC1106" s="31"/>
      <c r="AE1106" s="18"/>
      <c r="AG1106" s="29"/>
    </row>
    <row r="1107" spans="1:33">
      <c r="A1107" s="29"/>
      <c r="B1107" s="29"/>
      <c r="C1107" s="29"/>
      <c r="D1107" s="29"/>
      <c r="E1107" s="30"/>
      <c r="F1107" s="30"/>
      <c r="X1107" s="29"/>
      <c r="Y1107" s="29"/>
      <c r="AA1107" s="18"/>
      <c r="AC1107" s="31"/>
      <c r="AE1107" s="18"/>
      <c r="AG1107" s="29"/>
    </row>
    <row r="1108" spans="1:33">
      <c r="A1108" s="29"/>
      <c r="B1108" s="29"/>
      <c r="C1108" s="29"/>
      <c r="D1108" s="29"/>
      <c r="E1108" s="30"/>
      <c r="F1108" s="30"/>
      <c r="X1108" s="29"/>
      <c r="Y1108" s="29"/>
      <c r="AA1108" s="18"/>
      <c r="AC1108" s="30"/>
      <c r="AE1108" s="18"/>
      <c r="AG1108" s="29"/>
    </row>
    <row r="1109" spans="1:33">
      <c r="A1109" s="29"/>
      <c r="B1109" s="29"/>
      <c r="C1109" s="29"/>
      <c r="D1109" s="29"/>
      <c r="E1109" s="30"/>
      <c r="F1109" s="30"/>
      <c r="X1109" s="29"/>
      <c r="Y1109" s="29"/>
      <c r="AA1109" s="18"/>
      <c r="AC1109" s="31"/>
      <c r="AE1109" s="18"/>
      <c r="AG1109" s="29"/>
    </row>
    <row r="1110" spans="1:33">
      <c r="A1110" s="29"/>
      <c r="B1110" s="29"/>
      <c r="C1110" s="29"/>
      <c r="D1110" s="29"/>
      <c r="E1110" s="30"/>
      <c r="F1110" s="30"/>
      <c r="X1110" s="29"/>
      <c r="Y1110" s="29"/>
      <c r="AA1110" s="18"/>
      <c r="AC1110" s="31"/>
      <c r="AE1110" s="18"/>
      <c r="AG1110" s="29"/>
    </row>
    <row r="1111" spans="1:33">
      <c r="A1111" s="29"/>
      <c r="B1111" s="29"/>
      <c r="C1111" s="29"/>
      <c r="D1111" s="29"/>
      <c r="E1111" s="30"/>
      <c r="F1111" s="30"/>
      <c r="X1111" s="29"/>
      <c r="Y1111" s="29"/>
      <c r="AA1111" s="18"/>
      <c r="AC1111" s="31"/>
      <c r="AE1111" s="18"/>
      <c r="AG1111" s="29"/>
    </row>
    <row r="1112" spans="1:33">
      <c r="A1112" s="29"/>
      <c r="B1112" s="29"/>
      <c r="C1112" s="29"/>
      <c r="D1112" s="29"/>
      <c r="E1112" s="30"/>
      <c r="F1112" s="30"/>
      <c r="X1112" s="29"/>
      <c r="Y1112" s="29"/>
      <c r="AA1112" s="18"/>
      <c r="AC1112" s="31"/>
      <c r="AE1112" s="18"/>
      <c r="AG1112" s="29"/>
    </row>
    <row r="1113" spans="1:33">
      <c r="A1113" s="29"/>
      <c r="B1113" s="29"/>
      <c r="C1113" s="29"/>
      <c r="D1113" s="29"/>
      <c r="E1113" s="30"/>
      <c r="F1113" s="30"/>
      <c r="X1113" s="29"/>
      <c r="Y1113" s="29"/>
      <c r="AA1113" s="18"/>
      <c r="AC1113" s="31"/>
      <c r="AE1113" s="18"/>
      <c r="AG1113" s="29"/>
    </row>
    <row r="1114" spans="1:33">
      <c r="A1114" s="29"/>
      <c r="B1114" s="29"/>
      <c r="C1114" s="29"/>
      <c r="D1114" s="29"/>
      <c r="E1114" s="30"/>
      <c r="F1114" s="30"/>
      <c r="X1114" s="29"/>
      <c r="Y1114" s="29"/>
      <c r="AA1114" s="18"/>
      <c r="AC1114" s="30"/>
      <c r="AE1114" s="18"/>
      <c r="AG1114" s="29"/>
    </row>
    <row r="1115" spans="1:33">
      <c r="A1115" s="29"/>
      <c r="B1115" s="29"/>
      <c r="C1115" s="29"/>
      <c r="D1115" s="29"/>
      <c r="E1115" s="30"/>
      <c r="F1115" s="30"/>
      <c r="X1115" s="29"/>
      <c r="Y1115" s="29"/>
      <c r="AA1115" s="18"/>
      <c r="AC1115" s="31"/>
      <c r="AE1115" s="18"/>
      <c r="AG1115" s="29"/>
    </row>
    <row r="1116" spans="1:33">
      <c r="A1116" s="29"/>
      <c r="B1116" s="29"/>
      <c r="C1116" s="29"/>
      <c r="D1116" s="29"/>
      <c r="E1116" s="30"/>
      <c r="F1116" s="30"/>
      <c r="X1116" s="29"/>
      <c r="Y1116" s="29"/>
      <c r="AA1116" s="18"/>
      <c r="AC1116" s="31"/>
      <c r="AE1116" s="18"/>
      <c r="AG1116" s="29"/>
    </row>
    <row r="1117" spans="1:33">
      <c r="A1117" s="29"/>
      <c r="B1117" s="29"/>
      <c r="C1117" s="29"/>
      <c r="D1117" s="29"/>
      <c r="E1117" s="30"/>
      <c r="F1117" s="30"/>
      <c r="X1117" s="29"/>
      <c r="Y1117" s="29"/>
      <c r="AA1117" s="18"/>
      <c r="AC1117" s="31"/>
      <c r="AE1117" s="18"/>
      <c r="AG1117" s="29"/>
    </row>
    <row r="1118" spans="1:33">
      <c r="A1118" s="29"/>
      <c r="B1118" s="29"/>
      <c r="C1118" s="29"/>
      <c r="D1118" s="29"/>
      <c r="E1118" s="30"/>
      <c r="F1118" s="30"/>
      <c r="X1118" s="29"/>
      <c r="Y1118" s="29"/>
      <c r="AA1118" s="18"/>
      <c r="AC1118" s="31"/>
      <c r="AE1118" s="18"/>
      <c r="AG1118" s="29"/>
    </row>
    <row r="1119" spans="1:33">
      <c r="A1119" s="29"/>
      <c r="B1119" s="29"/>
      <c r="C1119" s="29"/>
      <c r="D1119" s="29"/>
      <c r="E1119" s="30"/>
      <c r="F1119" s="30"/>
      <c r="X1119" s="29"/>
      <c r="Y1119" s="29"/>
      <c r="AA1119" s="18"/>
      <c r="AC1119" s="31"/>
      <c r="AE1119" s="18"/>
      <c r="AG1119" s="29"/>
    </row>
    <row r="1120" spans="1:33">
      <c r="A1120" s="29"/>
      <c r="B1120" s="29"/>
      <c r="C1120" s="29"/>
      <c r="D1120" s="29"/>
      <c r="E1120" s="30"/>
      <c r="F1120" s="30"/>
      <c r="X1120" s="29"/>
      <c r="Y1120" s="29"/>
      <c r="AA1120" s="18"/>
      <c r="AC1120" s="31"/>
      <c r="AE1120" s="18"/>
      <c r="AG1120" s="29"/>
    </row>
    <row r="1121" spans="1:33">
      <c r="A1121" s="29"/>
      <c r="B1121" s="29"/>
      <c r="C1121" s="29"/>
      <c r="D1121" s="29"/>
      <c r="E1121" s="30"/>
      <c r="F1121" s="30"/>
      <c r="X1121" s="29"/>
      <c r="Y1121" s="29"/>
      <c r="AA1121" s="18"/>
      <c r="AC1121" s="31"/>
      <c r="AE1121" s="18"/>
      <c r="AG1121" s="29"/>
    </row>
    <row r="1122" spans="1:33">
      <c r="A1122" s="29"/>
      <c r="B1122" s="29"/>
      <c r="C1122" s="29"/>
      <c r="D1122" s="29"/>
      <c r="E1122" s="30"/>
      <c r="F1122" s="30"/>
      <c r="X1122" s="29"/>
      <c r="Y1122" s="29"/>
      <c r="AA1122" s="18"/>
      <c r="AC1122" s="31"/>
      <c r="AE1122" s="18"/>
      <c r="AG1122" s="29"/>
    </row>
    <row r="1123" spans="1:33">
      <c r="A1123" s="29"/>
      <c r="B1123" s="29"/>
      <c r="C1123" s="29"/>
      <c r="D1123" s="29"/>
      <c r="E1123" s="30"/>
      <c r="F1123" s="30"/>
      <c r="X1123" s="29"/>
      <c r="Y1123" s="29"/>
      <c r="AA1123" s="18"/>
      <c r="AC1123" s="31"/>
      <c r="AE1123" s="18"/>
      <c r="AG1123" s="29"/>
    </row>
    <row r="1124" spans="1:33">
      <c r="A1124" s="29"/>
      <c r="B1124" s="29"/>
      <c r="C1124" s="29"/>
      <c r="D1124" s="29"/>
      <c r="E1124" s="30"/>
      <c r="F1124" s="30"/>
      <c r="X1124" s="29"/>
      <c r="Y1124" s="29"/>
      <c r="AA1124" s="18"/>
      <c r="AC1124" s="31"/>
      <c r="AE1124" s="18"/>
      <c r="AG1124" s="29"/>
    </row>
    <row r="1125" spans="1:33">
      <c r="A1125" s="29"/>
      <c r="B1125" s="29"/>
      <c r="C1125" s="29"/>
      <c r="D1125" s="29"/>
      <c r="E1125" s="30"/>
      <c r="F1125" s="30"/>
      <c r="X1125" s="29"/>
      <c r="Y1125" s="29"/>
      <c r="AA1125" s="18"/>
      <c r="AC1125" s="31"/>
      <c r="AE1125" s="18"/>
      <c r="AG1125" s="29"/>
    </row>
    <row r="1126" spans="1:33">
      <c r="A1126" s="29"/>
      <c r="B1126" s="29"/>
      <c r="C1126" s="29"/>
      <c r="D1126" s="29"/>
      <c r="E1126" s="30"/>
      <c r="F1126" s="30"/>
      <c r="X1126" s="29"/>
      <c r="Y1126" s="29"/>
      <c r="AA1126" s="18"/>
      <c r="AC1126" s="30"/>
      <c r="AE1126" s="18"/>
      <c r="AG1126" s="29"/>
    </row>
    <row r="1127" spans="1:33">
      <c r="A1127" s="29"/>
      <c r="B1127" s="29"/>
      <c r="C1127" s="29"/>
      <c r="D1127" s="29"/>
      <c r="E1127" s="30"/>
      <c r="F1127" s="30"/>
      <c r="X1127" s="29"/>
      <c r="Y1127" s="29"/>
      <c r="AA1127" s="18"/>
      <c r="AC1127" s="30"/>
      <c r="AE1127" s="18"/>
      <c r="AG1127" s="29"/>
    </row>
    <row r="1128" spans="1:33">
      <c r="A1128" s="29"/>
      <c r="B1128" s="29"/>
      <c r="C1128" s="29"/>
      <c r="D1128" s="29"/>
      <c r="E1128" s="30"/>
      <c r="F1128" s="30"/>
      <c r="X1128" s="29"/>
      <c r="Y1128" s="29"/>
      <c r="AA1128" s="18"/>
      <c r="AC1128" s="31"/>
      <c r="AE1128" s="18"/>
      <c r="AG1128" s="29"/>
    </row>
    <row r="1129" spans="1:33">
      <c r="A1129" s="29"/>
      <c r="B1129" s="29"/>
      <c r="C1129" s="29"/>
      <c r="D1129" s="29"/>
      <c r="E1129" s="30"/>
      <c r="F1129" s="30"/>
      <c r="X1129" s="29"/>
      <c r="Y1129" s="29"/>
      <c r="AA1129" s="18"/>
      <c r="AC1129" s="31"/>
      <c r="AE1129" s="18"/>
      <c r="AG1129" s="29"/>
    </row>
    <row r="1130" spans="1:33">
      <c r="A1130" s="29"/>
      <c r="B1130" s="29"/>
      <c r="C1130" s="29"/>
      <c r="D1130" s="29"/>
      <c r="E1130" s="30"/>
      <c r="F1130" s="30"/>
      <c r="X1130" s="29"/>
      <c r="Y1130" s="29"/>
      <c r="AA1130" s="18"/>
      <c r="AC1130" s="30"/>
      <c r="AE1130" s="18"/>
      <c r="AG1130" s="29"/>
    </row>
    <row r="1131" spans="1:33">
      <c r="A1131" s="29"/>
      <c r="B1131" s="29"/>
      <c r="C1131" s="29"/>
      <c r="D1131" s="29"/>
      <c r="E1131" s="30"/>
      <c r="F1131" s="30"/>
      <c r="X1131" s="29"/>
      <c r="Y1131" s="29"/>
      <c r="AA1131" s="18"/>
      <c r="AC1131" s="31"/>
      <c r="AE1131" s="18"/>
      <c r="AG1131" s="29"/>
    </row>
    <row r="1132" spans="1:33">
      <c r="A1132" s="29"/>
      <c r="B1132" s="29"/>
      <c r="C1132" s="29"/>
      <c r="D1132" s="29"/>
      <c r="E1132" s="30"/>
      <c r="F1132" s="30"/>
      <c r="X1132" s="29"/>
      <c r="Y1132" s="29"/>
      <c r="AA1132" s="18"/>
      <c r="AC1132" s="30"/>
      <c r="AE1132" s="18"/>
      <c r="AG1132" s="29"/>
    </row>
    <row r="1133" spans="1:33">
      <c r="A1133" s="29"/>
      <c r="B1133" s="29"/>
      <c r="C1133" s="29"/>
      <c r="D1133" s="29"/>
      <c r="E1133" s="30"/>
      <c r="F1133" s="30"/>
      <c r="X1133" s="29"/>
      <c r="Y1133" s="29"/>
      <c r="AA1133" s="18"/>
      <c r="AC1133" s="31"/>
      <c r="AE1133" s="18"/>
      <c r="AG1133" s="29"/>
    </row>
    <row r="1134" spans="1:33">
      <c r="A1134" s="29"/>
      <c r="B1134" s="29"/>
      <c r="C1134" s="29"/>
      <c r="D1134" s="29"/>
      <c r="E1134" s="30"/>
      <c r="F1134" s="30"/>
      <c r="X1134" s="29"/>
      <c r="Y1134" s="29"/>
      <c r="AA1134" s="18"/>
      <c r="AC1134" s="31"/>
      <c r="AE1134" s="18"/>
      <c r="AG1134" s="29"/>
    </row>
    <row r="1135" spans="1:33">
      <c r="A1135" s="29"/>
      <c r="B1135" s="29"/>
      <c r="C1135" s="29"/>
      <c r="D1135" s="29"/>
      <c r="E1135" s="30"/>
      <c r="F1135" s="30"/>
      <c r="X1135" s="29"/>
      <c r="Y1135" s="29"/>
      <c r="AA1135" s="18"/>
      <c r="AC1135" s="31"/>
      <c r="AE1135" s="18"/>
      <c r="AG1135" s="29"/>
    </row>
    <row r="1136" spans="1:33">
      <c r="A1136" s="29"/>
      <c r="B1136" s="29"/>
      <c r="C1136" s="29"/>
      <c r="D1136" s="29"/>
      <c r="E1136" s="30"/>
      <c r="F1136" s="30"/>
      <c r="X1136" s="29"/>
      <c r="Y1136" s="29"/>
      <c r="AA1136" s="18"/>
      <c r="AC1136" s="31"/>
      <c r="AE1136" s="18"/>
      <c r="AG1136" s="29"/>
    </row>
    <row r="1137" spans="1:33">
      <c r="A1137" s="29"/>
      <c r="B1137" s="29"/>
      <c r="C1137" s="29"/>
      <c r="D1137" s="29"/>
      <c r="E1137" s="30"/>
      <c r="F1137" s="30"/>
      <c r="X1137" s="29"/>
      <c r="Y1137" s="29"/>
      <c r="AA1137" s="18"/>
      <c r="AC1137" s="31"/>
      <c r="AE1137" s="18"/>
      <c r="AG1137" s="29"/>
    </row>
    <row r="1138" spans="1:33">
      <c r="A1138" s="29"/>
      <c r="B1138" s="29"/>
      <c r="C1138" s="29"/>
      <c r="D1138" s="29"/>
      <c r="E1138" s="30"/>
      <c r="F1138" s="30"/>
      <c r="X1138" s="29"/>
      <c r="Y1138" s="29"/>
      <c r="AA1138" s="18"/>
      <c r="AC1138" s="30"/>
      <c r="AE1138" s="18"/>
      <c r="AG1138" s="29"/>
    </row>
    <row r="1139" spans="1:33">
      <c r="A1139" s="29"/>
      <c r="B1139" s="29"/>
      <c r="C1139" s="29"/>
      <c r="D1139" s="29"/>
      <c r="E1139" s="30"/>
      <c r="F1139" s="30"/>
      <c r="X1139" s="29"/>
      <c r="Y1139" s="29"/>
      <c r="AA1139" s="18"/>
      <c r="AC1139" s="30"/>
      <c r="AE1139" s="18"/>
      <c r="AG1139" s="29"/>
    </row>
    <row r="1140" spans="1:33">
      <c r="A1140" s="29"/>
      <c r="B1140" s="29"/>
      <c r="C1140" s="29"/>
      <c r="D1140" s="29"/>
      <c r="E1140" s="30"/>
      <c r="F1140" s="30"/>
      <c r="X1140" s="29"/>
      <c r="Y1140" s="29"/>
      <c r="AA1140" s="18"/>
      <c r="AC1140" s="31"/>
      <c r="AE1140" s="18"/>
      <c r="AG1140" s="29"/>
    </row>
    <row r="1141" spans="1:33">
      <c r="A1141" s="29"/>
      <c r="B1141" s="29"/>
      <c r="C1141" s="29"/>
      <c r="D1141" s="29"/>
      <c r="E1141" s="30"/>
      <c r="F1141" s="30"/>
      <c r="X1141" s="29"/>
      <c r="Y1141" s="29"/>
      <c r="AA1141" s="18"/>
      <c r="AC1141" s="31"/>
      <c r="AE1141" s="18"/>
      <c r="AG1141" s="29"/>
    </row>
    <row r="1142" spans="1:33">
      <c r="A1142" s="29"/>
      <c r="B1142" s="29"/>
      <c r="C1142" s="29"/>
      <c r="D1142" s="29"/>
      <c r="E1142" s="30"/>
      <c r="F1142" s="30"/>
      <c r="X1142" s="29"/>
      <c r="Y1142" s="29"/>
      <c r="AA1142" s="18"/>
      <c r="AC1142" s="31"/>
      <c r="AE1142" s="18"/>
      <c r="AG1142" s="29"/>
    </row>
    <row r="1143" spans="1:33">
      <c r="A1143" s="29"/>
      <c r="B1143" s="29"/>
      <c r="C1143" s="29"/>
      <c r="D1143" s="29"/>
      <c r="E1143" s="30"/>
      <c r="F1143" s="30"/>
      <c r="X1143" s="29"/>
      <c r="Y1143" s="29"/>
      <c r="AA1143" s="18"/>
      <c r="AC1143" s="31"/>
      <c r="AE1143" s="18"/>
      <c r="AG1143" s="29"/>
    </row>
    <row r="1144" spans="1:33">
      <c r="A1144" s="29"/>
      <c r="B1144" s="29"/>
      <c r="C1144" s="29"/>
      <c r="D1144" s="29"/>
      <c r="E1144" s="30"/>
      <c r="F1144" s="30"/>
      <c r="X1144" s="29"/>
      <c r="Y1144" s="29"/>
      <c r="AA1144" s="18"/>
      <c r="AC1144" s="31"/>
      <c r="AE1144" s="18"/>
      <c r="AG1144" s="29"/>
    </row>
    <row r="1145" spans="1:33">
      <c r="A1145" s="29"/>
      <c r="B1145" s="29"/>
      <c r="C1145" s="29"/>
      <c r="D1145" s="29"/>
      <c r="E1145" s="30"/>
      <c r="F1145" s="30"/>
      <c r="X1145" s="29"/>
      <c r="Y1145" s="29"/>
      <c r="AA1145" s="18"/>
      <c r="AC1145" s="31"/>
      <c r="AE1145" s="18"/>
      <c r="AG1145" s="29"/>
    </row>
    <row r="1146" spans="1:33">
      <c r="A1146" s="29"/>
      <c r="B1146" s="29"/>
      <c r="C1146" s="29"/>
      <c r="D1146" s="29"/>
      <c r="E1146" s="30"/>
      <c r="F1146" s="30"/>
      <c r="X1146" s="29"/>
      <c r="Y1146" s="29"/>
      <c r="AA1146" s="18"/>
      <c r="AC1146" s="30"/>
      <c r="AE1146" s="18"/>
      <c r="AG1146" s="29"/>
    </row>
    <row r="1147" spans="1:33">
      <c r="A1147" s="29"/>
      <c r="B1147" s="29"/>
      <c r="C1147" s="29"/>
      <c r="D1147" s="29"/>
      <c r="E1147" s="30"/>
      <c r="F1147" s="30"/>
      <c r="X1147" s="29"/>
      <c r="Y1147" s="29"/>
      <c r="AA1147" s="18"/>
      <c r="AC1147" s="31"/>
      <c r="AE1147" s="18"/>
      <c r="AG1147" s="29"/>
    </row>
    <row r="1148" spans="1:33">
      <c r="A1148" s="29"/>
      <c r="B1148" s="29"/>
      <c r="C1148" s="29"/>
      <c r="D1148" s="29"/>
      <c r="E1148" s="30"/>
      <c r="F1148" s="30"/>
      <c r="X1148" s="29"/>
      <c r="Y1148" s="29"/>
      <c r="AA1148" s="18"/>
      <c r="AC1148" s="30"/>
      <c r="AE1148" s="18"/>
      <c r="AG1148" s="29"/>
    </row>
    <row r="1149" spans="1:33">
      <c r="A1149" s="29"/>
      <c r="B1149" s="29"/>
      <c r="C1149" s="29"/>
      <c r="D1149" s="29"/>
      <c r="E1149" s="30"/>
      <c r="F1149" s="30"/>
      <c r="X1149" s="29"/>
      <c r="Y1149" s="29"/>
      <c r="AA1149" s="18"/>
      <c r="AC1149" s="31"/>
      <c r="AE1149" s="18"/>
      <c r="AG1149" s="29"/>
    </row>
    <row r="1150" spans="1:33">
      <c r="A1150" s="29"/>
      <c r="B1150" s="29"/>
      <c r="C1150" s="29"/>
      <c r="D1150" s="29"/>
      <c r="E1150" s="30"/>
      <c r="F1150" s="30"/>
      <c r="X1150" s="29"/>
      <c r="Y1150" s="29"/>
      <c r="AA1150" s="18"/>
      <c r="AC1150" s="31"/>
      <c r="AE1150" s="18"/>
      <c r="AG1150" s="29"/>
    </row>
    <row r="1151" spans="1:33">
      <c r="A1151" s="29"/>
      <c r="B1151" s="29"/>
      <c r="C1151" s="29"/>
      <c r="D1151" s="29"/>
      <c r="E1151" s="30"/>
      <c r="F1151" s="30"/>
      <c r="X1151" s="29"/>
      <c r="Y1151" s="29"/>
      <c r="AA1151" s="18"/>
      <c r="AC1151" s="30"/>
      <c r="AE1151" s="18"/>
      <c r="AG1151" s="29"/>
    </row>
    <row r="1152" spans="1:33">
      <c r="A1152" s="29"/>
      <c r="B1152" s="29"/>
      <c r="C1152" s="29"/>
      <c r="D1152" s="29"/>
      <c r="E1152" s="30"/>
      <c r="F1152" s="30"/>
      <c r="X1152" s="29"/>
      <c r="Y1152" s="29"/>
      <c r="AA1152" s="18"/>
      <c r="AC1152" s="31"/>
      <c r="AE1152" s="18"/>
      <c r="AG1152" s="29"/>
    </row>
    <row r="1153" spans="1:33">
      <c r="A1153" s="29"/>
      <c r="B1153" s="29"/>
      <c r="C1153" s="29"/>
      <c r="D1153" s="29"/>
      <c r="E1153" s="30"/>
      <c r="F1153" s="30"/>
      <c r="X1153" s="29"/>
      <c r="Y1153" s="29"/>
      <c r="AA1153" s="18"/>
      <c r="AC1153" s="30"/>
      <c r="AE1153" s="18"/>
      <c r="AG1153" s="29"/>
    </row>
    <row r="1154" spans="1:33">
      <c r="A1154" s="29"/>
      <c r="B1154" s="29"/>
      <c r="C1154" s="29"/>
      <c r="D1154" s="29"/>
      <c r="E1154" s="30"/>
      <c r="F1154" s="30"/>
      <c r="X1154" s="29"/>
      <c r="Y1154" s="29"/>
      <c r="AA1154" s="18"/>
      <c r="AC1154" s="30"/>
      <c r="AE1154" s="18"/>
      <c r="AG1154" s="29"/>
    </row>
    <row r="1155" spans="1:33">
      <c r="A1155" s="29"/>
      <c r="B1155" s="29"/>
      <c r="C1155" s="29"/>
      <c r="D1155" s="29"/>
      <c r="E1155" s="30"/>
      <c r="F1155" s="30"/>
      <c r="X1155" s="29"/>
      <c r="Y1155" s="29"/>
      <c r="AA1155" s="18"/>
      <c r="AC1155" s="31"/>
      <c r="AE1155" s="18"/>
      <c r="AG1155" s="29"/>
    </row>
    <row r="1156" spans="1:33">
      <c r="A1156" s="29"/>
      <c r="B1156" s="29"/>
      <c r="C1156" s="29"/>
      <c r="D1156" s="29"/>
      <c r="E1156" s="30"/>
      <c r="F1156" s="30"/>
      <c r="X1156" s="29"/>
      <c r="Y1156" s="29"/>
      <c r="AA1156" s="18"/>
      <c r="AC1156" s="31"/>
      <c r="AE1156" s="18"/>
      <c r="AG1156" s="29"/>
    </row>
    <row r="1157" spans="1:33">
      <c r="A1157" s="29"/>
      <c r="B1157" s="29"/>
      <c r="C1157" s="29"/>
      <c r="D1157" s="29"/>
      <c r="E1157" s="30"/>
      <c r="F1157" s="30"/>
      <c r="X1157" s="29"/>
      <c r="Y1157" s="29"/>
      <c r="AA1157" s="18"/>
      <c r="AC1157" s="31"/>
      <c r="AE1157" s="18"/>
      <c r="AG1157" s="29"/>
    </row>
    <row r="1158" spans="1:33">
      <c r="A1158" s="29"/>
      <c r="B1158" s="29"/>
      <c r="C1158" s="29"/>
      <c r="D1158" s="29"/>
      <c r="E1158" s="30"/>
      <c r="F1158" s="30"/>
      <c r="X1158" s="29"/>
      <c r="Y1158" s="29"/>
      <c r="AA1158" s="18"/>
      <c r="AC1158" s="30"/>
      <c r="AE1158" s="18"/>
      <c r="AG1158" s="29"/>
    </row>
    <row r="1159" spans="1:33">
      <c r="A1159" s="29"/>
      <c r="B1159" s="29"/>
      <c r="C1159" s="29"/>
      <c r="D1159" s="29"/>
      <c r="E1159" s="30"/>
      <c r="F1159" s="30"/>
      <c r="X1159" s="29"/>
      <c r="Y1159" s="29"/>
      <c r="AA1159" s="18"/>
      <c r="AC1159" s="31"/>
      <c r="AE1159" s="18"/>
      <c r="AG1159" s="29"/>
    </row>
    <row r="1160" spans="1:33">
      <c r="A1160" s="29"/>
      <c r="B1160" s="29"/>
      <c r="C1160" s="29"/>
      <c r="D1160" s="29"/>
      <c r="E1160" s="30"/>
      <c r="F1160" s="30"/>
      <c r="X1160" s="29"/>
      <c r="Y1160" s="29"/>
      <c r="AA1160" s="18"/>
      <c r="AC1160" s="31"/>
      <c r="AE1160" s="18"/>
      <c r="AG1160" s="29"/>
    </row>
    <row r="1161" spans="1:33">
      <c r="A1161" s="29"/>
      <c r="B1161" s="29"/>
      <c r="C1161" s="29"/>
      <c r="D1161" s="29"/>
      <c r="E1161" s="30"/>
      <c r="F1161" s="30"/>
      <c r="X1161" s="29"/>
      <c r="Y1161" s="29"/>
      <c r="AA1161" s="18"/>
      <c r="AC1161" s="30"/>
      <c r="AE1161" s="18"/>
      <c r="AG1161" s="29"/>
    </row>
    <row r="1162" spans="1:33">
      <c r="A1162" s="29"/>
      <c r="B1162" s="29"/>
      <c r="C1162" s="29"/>
      <c r="D1162" s="29"/>
      <c r="E1162" s="30"/>
      <c r="F1162" s="30"/>
      <c r="X1162" s="29"/>
      <c r="Y1162" s="29"/>
      <c r="AA1162" s="18"/>
      <c r="AC1162" s="31"/>
      <c r="AE1162" s="18"/>
      <c r="AG1162" s="29"/>
    </row>
    <row r="1163" spans="1:33">
      <c r="A1163" s="29"/>
      <c r="B1163" s="29"/>
      <c r="C1163" s="29"/>
      <c r="D1163" s="29"/>
      <c r="E1163" s="30"/>
      <c r="F1163" s="30"/>
      <c r="X1163" s="29"/>
      <c r="Y1163" s="29"/>
      <c r="AA1163" s="18"/>
      <c r="AC1163" s="31"/>
      <c r="AE1163" s="18"/>
      <c r="AG1163" s="29"/>
    </row>
    <row r="1164" spans="1:33">
      <c r="A1164" s="29"/>
      <c r="B1164" s="29"/>
      <c r="C1164" s="29"/>
      <c r="D1164" s="29"/>
      <c r="E1164" s="30"/>
      <c r="F1164" s="30"/>
      <c r="X1164" s="29"/>
      <c r="Y1164" s="29"/>
      <c r="AA1164" s="18"/>
      <c r="AC1164" s="31"/>
      <c r="AE1164" s="18"/>
      <c r="AG1164" s="29"/>
    </row>
    <row r="1165" spans="1:33">
      <c r="A1165" s="29"/>
      <c r="B1165" s="29"/>
      <c r="C1165" s="29"/>
      <c r="D1165" s="29"/>
      <c r="E1165" s="30"/>
      <c r="F1165" s="30"/>
      <c r="X1165" s="29"/>
      <c r="Y1165" s="29"/>
      <c r="AA1165" s="18"/>
      <c r="AC1165" s="30"/>
      <c r="AE1165" s="18"/>
      <c r="AG1165" s="29"/>
    </row>
    <row r="1166" spans="1:33">
      <c r="A1166" s="29"/>
      <c r="B1166" s="29"/>
      <c r="C1166" s="29"/>
      <c r="D1166" s="29"/>
      <c r="E1166" s="30"/>
      <c r="F1166" s="30"/>
      <c r="X1166" s="29"/>
      <c r="Y1166" s="29"/>
      <c r="AA1166" s="18"/>
      <c r="AC1166" s="31"/>
      <c r="AE1166" s="18"/>
      <c r="AG1166" s="29"/>
    </row>
    <row r="1167" spans="1:33">
      <c r="A1167" s="29"/>
      <c r="B1167" s="29"/>
      <c r="C1167" s="29"/>
      <c r="D1167" s="29"/>
      <c r="E1167" s="30"/>
      <c r="F1167" s="30"/>
      <c r="X1167" s="29"/>
      <c r="Y1167" s="29"/>
      <c r="AA1167" s="18"/>
      <c r="AC1167" s="31"/>
      <c r="AE1167" s="18"/>
      <c r="AG1167" s="29"/>
    </row>
    <row r="1168" spans="1:33">
      <c r="A1168" s="29"/>
      <c r="B1168" s="29"/>
      <c r="C1168" s="29"/>
      <c r="D1168" s="29"/>
      <c r="E1168" s="30"/>
      <c r="F1168" s="30"/>
      <c r="X1168" s="29"/>
      <c r="Y1168" s="29"/>
      <c r="AA1168" s="18"/>
      <c r="AC1168" s="31"/>
      <c r="AE1168" s="18"/>
      <c r="AG1168" s="29"/>
    </row>
    <row r="1169" spans="1:33">
      <c r="A1169" s="29"/>
      <c r="B1169" s="29"/>
      <c r="C1169" s="29"/>
      <c r="D1169" s="29"/>
      <c r="E1169" s="30"/>
      <c r="F1169" s="30"/>
      <c r="X1169" s="29"/>
      <c r="Y1169" s="29"/>
      <c r="AA1169" s="18"/>
      <c r="AC1169" s="30"/>
      <c r="AE1169" s="18"/>
      <c r="AG1169" s="29"/>
    </row>
    <row r="1170" spans="1:33">
      <c r="A1170" s="29"/>
      <c r="B1170" s="29"/>
      <c r="C1170" s="29"/>
      <c r="D1170" s="29"/>
      <c r="E1170" s="30"/>
      <c r="F1170" s="30"/>
      <c r="X1170" s="29"/>
      <c r="Y1170" s="29"/>
      <c r="AA1170" s="18"/>
      <c r="AC1170" s="31"/>
      <c r="AE1170" s="18"/>
      <c r="AG1170" s="29"/>
    </row>
    <row r="1171" spans="1:33">
      <c r="A1171" s="29"/>
      <c r="B1171" s="29"/>
      <c r="C1171" s="29"/>
      <c r="D1171" s="29"/>
      <c r="E1171" s="30"/>
      <c r="F1171" s="30"/>
      <c r="X1171" s="29"/>
      <c r="Y1171" s="29"/>
      <c r="AA1171" s="18"/>
      <c r="AC1171" s="31"/>
      <c r="AE1171" s="18"/>
      <c r="AG1171" s="29"/>
    </row>
    <row r="1172" spans="1:33">
      <c r="A1172" s="29"/>
      <c r="B1172" s="29"/>
      <c r="C1172" s="29"/>
      <c r="D1172" s="29"/>
      <c r="E1172" s="30"/>
      <c r="F1172" s="30"/>
      <c r="X1172" s="29"/>
      <c r="Y1172" s="29"/>
      <c r="AA1172" s="18"/>
      <c r="AC1172" s="30"/>
      <c r="AE1172" s="18"/>
      <c r="AG1172" s="29"/>
    </row>
    <row r="1173" spans="1:33">
      <c r="A1173" s="29"/>
      <c r="B1173" s="29"/>
      <c r="C1173" s="29"/>
      <c r="D1173" s="29"/>
      <c r="E1173" s="30"/>
      <c r="F1173" s="30"/>
      <c r="X1173" s="29"/>
      <c r="Y1173" s="29"/>
      <c r="AA1173" s="18"/>
      <c r="AC1173" s="31"/>
      <c r="AE1173" s="18"/>
      <c r="AG1173" s="29"/>
    </row>
    <row r="1174" spans="1:33">
      <c r="A1174" s="29"/>
      <c r="B1174" s="29"/>
      <c r="C1174" s="29"/>
      <c r="D1174" s="29"/>
      <c r="E1174" s="30"/>
      <c r="F1174" s="30"/>
      <c r="X1174" s="29"/>
      <c r="Y1174" s="29"/>
      <c r="AA1174" s="18"/>
      <c r="AC1174" s="30"/>
      <c r="AE1174" s="18"/>
      <c r="AG1174" s="29"/>
    </row>
    <row r="1175" spans="1:33">
      <c r="A1175" s="29"/>
      <c r="B1175" s="29"/>
      <c r="C1175" s="29"/>
      <c r="D1175" s="29"/>
      <c r="E1175" s="30"/>
      <c r="F1175" s="30"/>
      <c r="X1175" s="29"/>
      <c r="Y1175" s="29"/>
      <c r="AA1175" s="18"/>
      <c r="AC1175" s="30"/>
      <c r="AE1175" s="18"/>
      <c r="AG1175" s="29"/>
    </row>
    <row r="1176" spans="1:33">
      <c r="A1176" s="29"/>
      <c r="B1176" s="29"/>
      <c r="C1176" s="29"/>
      <c r="D1176" s="29"/>
      <c r="E1176" s="30"/>
      <c r="F1176" s="30"/>
      <c r="X1176" s="29"/>
      <c r="Y1176" s="29"/>
      <c r="AA1176" s="18"/>
      <c r="AC1176" s="31"/>
      <c r="AE1176" s="18"/>
      <c r="AG1176" s="29"/>
    </row>
    <row r="1177" spans="1:33">
      <c r="A1177" s="29"/>
      <c r="B1177" s="29"/>
      <c r="C1177" s="29"/>
      <c r="D1177" s="29"/>
      <c r="E1177" s="30"/>
      <c r="F1177" s="30"/>
      <c r="X1177" s="29"/>
      <c r="Y1177" s="29"/>
      <c r="AA1177" s="18"/>
      <c r="AC1177" s="31"/>
      <c r="AE1177" s="18"/>
      <c r="AG1177" s="29"/>
    </row>
    <row r="1178" spans="1:33">
      <c r="A1178" s="29"/>
      <c r="B1178" s="29"/>
      <c r="C1178" s="29"/>
      <c r="D1178" s="29"/>
      <c r="E1178" s="30"/>
      <c r="F1178" s="30"/>
      <c r="X1178" s="29"/>
      <c r="Y1178" s="29"/>
      <c r="AA1178" s="18"/>
      <c r="AC1178" s="30"/>
      <c r="AE1178" s="18"/>
      <c r="AG1178" s="29"/>
    </row>
    <row r="1179" spans="1:33">
      <c r="A1179" s="29"/>
      <c r="B1179" s="29"/>
      <c r="C1179" s="29"/>
      <c r="D1179" s="29"/>
      <c r="E1179" s="30"/>
      <c r="F1179" s="30"/>
      <c r="X1179" s="29"/>
      <c r="Y1179" s="29"/>
      <c r="AA1179" s="18"/>
      <c r="AC1179" s="31"/>
      <c r="AE1179" s="18"/>
      <c r="AG1179" s="29"/>
    </row>
    <row r="1180" spans="1:33">
      <c r="A1180" s="29"/>
      <c r="B1180" s="29"/>
      <c r="C1180" s="29"/>
      <c r="D1180" s="29"/>
      <c r="E1180" s="30"/>
      <c r="F1180" s="30"/>
      <c r="X1180" s="29"/>
      <c r="Y1180" s="29"/>
      <c r="AA1180" s="18"/>
      <c r="AC1180" s="31"/>
      <c r="AE1180" s="18"/>
      <c r="AG1180" s="29"/>
    </row>
    <row r="1181" spans="1:33">
      <c r="A1181" s="29"/>
      <c r="B1181" s="29"/>
      <c r="C1181" s="29"/>
      <c r="D1181" s="29"/>
      <c r="E1181" s="30"/>
      <c r="F1181" s="30"/>
      <c r="X1181" s="29"/>
      <c r="Y1181" s="29"/>
      <c r="AA1181" s="18"/>
      <c r="AC1181" s="31"/>
      <c r="AE1181" s="18"/>
      <c r="AG1181" s="29"/>
    </row>
    <row r="1182" spans="1:33">
      <c r="A1182" s="29"/>
      <c r="B1182" s="29"/>
      <c r="C1182" s="29"/>
      <c r="D1182" s="29"/>
      <c r="E1182" s="30"/>
      <c r="F1182" s="30"/>
      <c r="X1182" s="29"/>
      <c r="Y1182" s="29"/>
      <c r="AA1182" s="18"/>
      <c r="AC1182" s="31"/>
      <c r="AE1182" s="18"/>
      <c r="AG1182" s="29"/>
    </row>
    <row r="1183" spans="1:33">
      <c r="A1183" s="29"/>
      <c r="B1183" s="29"/>
      <c r="C1183" s="29"/>
      <c r="D1183" s="29"/>
      <c r="E1183" s="30"/>
      <c r="F1183" s="30"/>
      <c r="X1183" s="29"/>
      <c r="Y1183" s="29"/>
      <c r="AA1183" s="18"/>
      <c r="AC1183" s="31"/>
      <c r="AE1183" s="18"/>
      <c r="AG1183" s="29"/>
    </row>
    <row r="1184" spans="1:33">
      <c r="A1184" s="29"/>
      <c r="B1184" s="29"/>
      <c r="C1184" s="29"/>
      <c r="D1184" s="29"/>
      <c r="E1184" s="30"/>
      <c r="F1184" s="30"/>
      <c r="X1184" s="29"/>
      <c r="Y1184" s="29"/>
      <c r="AA1184" s="18"/>
      <c r="AC1184" s="31"/>
      <c r="AE1184" s="18"/>
      <c r="AG1184" s="29"/>
    </row>
    <row r="1185" spans="1:33">
      <c r="A1185" s="29"/>
      <c r="B1185" s="29"/>
      <c r="C1185" s="29"/>
      <c r="D1185" s="29"/>
      <c r="E1185" s="30"/>
      <c r="F1185" s="30"/>
      <c r="X1185" s="29"/>
      <c r="Y1185" s="29"/>
      <c r="AA1185" s="18"/>
      <c r="AC1185" s="31"/>
      <c r="AE1185" s="18"/>
      <c r="AG1185" s="29"/>
    </row>
    <row r="1186" spans="1:33">
      <c r="A1186" s="29"/>
      <c r="B1186" s="29"/>
      <c r="C1186" s="29"/>
      <c r="D1186" s="29"/>
      <c r="E1186" s="30"/>
      <c r="F1186" s="30"/>
      <c r="X1186" s="29"/>
      <c r="Y1186" s="29"/>
      <c r="AA1186" s="18"/>
      <c r="AC1186" s="31"/>
      <c r="AE1186" s="18"/>
      <c r="AG1186" s="29"/>
    </row>
    <row r="1187" spans="1:33">
      <c r="A1187" s="29"/>
      <c r="B1187" s="29"/>
      <c r="C1187" s="29"/>
      <c r="D1187" s="29"/>
      <c r="E1187" s="30"/>
      <c r="F1187" s="30"/>
      <c r="X1187" s="29"/>
      <c r="Y1187" s="29"/>
      <c r="AA1187" s="18"/>
      <c r="AC1187" s="31"/>
      <c r="AE1187" s="18"/>
      <c r="AG1187" s="29"/>
    </row>
    <row r="1188" spans="1:33">
      <c r="A1188" s="29"/>
      <c r="B1188" s="29"/>
      <c r="C1188" s="29"/>
      <c r="D1188" s="29"/>
      <c r="E1188" s="30"/>
      <c r="F1188" s="30"/>
      <c r="X1188" s="29"/>
      <c r="Y1188" s="29"/>
      <c r="AA1188" s="18"/>
      <c r="AC1188" s="31"/>
      <c r="AE1188" s="18"/>
      <c r="AG1188" s="29"/>
    </row>
    <row r="1189" spans="1:33">
      <c r="A1189" s="29"/>
      <c r="B1189" s="29"/>
      <c r="C1189" s="29"/>
      <c r="D1189" s="29"/>
      <c r="E1189" s="30"/>
      <c r="F1189" s="30"/>
      <c r="X1189" s="29"/>
      <c r="Y1189" s="29"/>
      <c r="AA1189" s="18"/>
      <c r="AC1189" s="31"/>
      <c r="AE1189" s="18"/>
      <c r="AG1189" s="29"/>
    </row>
    <row r="1190" spans="1:33">
      <c r="A1190" s="29"/>
      <c r="B1190" s="29"/>
      <c r="C1190" s="29"/>
      <c r="D1190" s="29"/>
      <c r="E1190" s="30"/>
      <c r="F1190" s="30"/>
      <c r="X1190" s="29"/>
      <c r="Y1190" s="29"/>
      <c r="AA1190" s="18"/>
      <c r="AC1190" s="31"/>
      <c r="AE1190" s="18"/>
      <c r="AG1190" s="29"/>
    </row>
    <row r="1191" spans="1:33">
      <c r="A1191" s="29"/>
      <c r="B1191" s="29"/>
      <c r="C1191" s="29"/>
      <c r="D1191" s="29"/>
      <c r="E1191" s="30"/>
      <c r="F1191" s="30"/>
      <c r="X1191" s="29"/>
      <c r="Y1191" s="29"/>
      <c r="AA1191" s="18"/>
      <c r="AC1191" s="31"/>
      <c r="AE1191" s="18"/>
      <c r="AG1191" s="29"/>
    </row>
    <row r="1192" spans="1:33">
      <c r="A1192" s="29"/>
      <c r="B1192" s="29"/>
      <c r="C1192" s="29"/>
      <c r="D1192" s="29"/>
      <c r="E1192" s="30"/>
      <c r="F1192" s="30"/>
      <c r="X1192" s="29"/>
      <c r="Y1192" s="29"/>
      <c r="AA1192" s="18"/>
      <c r="AC1192" s="30"/>
      <c r="AE1192" s="18"/>
      <c r="AG1192" s="29"/>
    </row>
    <row r="1193" spans="1:33">
      <c r="A1193" s="29"/>
      <c r="B1193" s="29"/>
      <c r="C1193" s="29"/>
      <c r="D1193" s="29"/>
      <c r="E1193" s="30"/>
      <c r="F1193" s="30"/>
      <c r="X1193" s="29"/>
      <c r="Y1193" s="29"/>
      <c r="AA1193" s="18"/>
      <c r="AC1193" s="31"/>
      <c r="AE1193" s="18"/>
      <c r="AG1193" s="29"/>
    </row>
    <row r="1194" spans="1:33">
      <c r="A1194" s="29"/>
      <c r="B1194" s="29"/>
      <c r="C1194" s="29"/>
      <c r="D1194" s="29"/>
      <c r="E1194" s="30"/>
      <c r="F1194" s="30"/>
      <c r="X1194" s="29"/>
      <c r="Y1194" s="29"/>
      <c r="AA1194" s="18"/>
      <c r="AC1194" s="31"/>
      <c r="AE1194" s="18"/>
      <c r="AG1194" s="29"/>
    </row>
    <row r="1195" spans="1:33">
      <c r="A1195" s="29"/>
      <c r="B1195" s="29"/>
      <c r="C1195" s="29"/>
      <c r="D1195" s="29"/>
      <c r="E1195" s="30"/>
      <c r="F1195" s="30"/>
      <c r="X1195" s="29"/>
      <c r="Y1195" s="29"/>
      <c r="AA1195" s="18"/>
      <c r="AC1195" s="31"/>
      <c r="AE1195" s="18"/>
      <c r="AG1195" s="29"/>
    </row>
    <row r="1196" spans="1:33">
      <c r="A1196" s="29"/>
      <c r="B1196" s="29"/>
      <c r="C1196" s="29"/>
      <c r="D1196" s="29"/>
      <c r="E1196" s="30"/>
      <c r="F1196" s="30"/>
      <c r="X1196" s="29"/>
      <c r="Y1196" s="29"/>
      <c r="AA1196" s="18"/>
      <c r="AC1196" s="31"/>
      <c r="AE1196" s="18"/>
      <c r="AG1196" s="29"/>
    </row>
    <row r="1197" spans="1:33">
      <c r="A1197" s="29"/>
      <c r="B1197" s="29"/>
      <c r="C1197" s="29"/>
      <c r="D1197" s="29"/>
      <c r="E1197" s="30"/>
      <c r="F1197" s="30"/>
      <c r="X1197" s="29"/>
      <c r="Y1197" s="29"/>
      <c r="AA1197" s="18"/>
      <c r="AC1197" s="31"/>
      <c r="AE1197" s="18"/>
      <c r="AG1197" s="29"/>
    </row>
    <row r="1198" spans="1:33">
      <c r="A1198" s="29"/>
      <c r="B1198" s="29"/>
      <c r="C1198" s="29"/>
      <c r="D1198" s="29"/>
      <c r="E1198" s="30"/>
      <c r="F1198" s="30"/>
      <c r="X1198" s="29"/>
      <c r="Y1198" s="29"/>
      <c r="AA1198" s="18"/>
      <c r="AC1198" s="31"/>
      <c r="AE1198" s="18"/>
      <c r="AG1198" s="29"/>
    </row>
    <row r="1199" spans="1:33">
      <c r="A1199" s="29"/>
      <c r="B1199" s="29"/>
      <c r="C1199" s="29"/>
      <c r="D1199" s="29"/>
      <c r="E1199" s="30"/>
      <c r="F1199" s="30"/>
      <c r="X1199" s="29"/>
      <c r="Y1199" s="29"/>
      <c r="AA1199" s="18"/>
      <c r="AC1199" s="31"/>
      <c r="AE1199" s="18"/>
      <c r="AG1199" s="29"/>
    </row>
    <row r="1200" spans="1:33">
      <c r="A1200" s="29"/>
      <c r="B1200" s="29"/>
      <c r="C1200" s="29"/>
      <c r="D1200" s="29"/>
      <c r="E1200" s="30"/>
      <c r="F1200" s="30"/>
      <c r="X1200" s="29"/>
      <c r="Y1200" s="29"/>
      <c r="AA1200" s="18"/>
      <c r="AC1200" s="31"/>
      <c r="AE1200" s="18"/>
      <c r="AG1200" s="29"/>
    </row>
    <row r="1201" spans="1:33">
      <c r="A1201" s="29"/>
      <c r="B1201" s="29"/>
      <c r="C1201" s="29"/>
      <c r="D1201" s="29"/>
      <c r="E1201" s="30"/>
      <c r="F1201" s="30"/>
      <c r="X1201" s="29"/>
      <c r="Y1201" s="29"/>
      <c r="AA1201" s="18"/>
      <c r="AC1201" s="31"/>
      <c r="AE1201" s="18"/>
      <c r="AG1201" s="29"/>
    </row>
    <row r="1202" spans="1:33">
      <c r="A1202" s="29"/>
      <c r="B1202" s="29"/>
      <c r="C1202" s="29"/>
      <c r="D1202" s="29"/>
      <c r="E1202" s="30"/>
      <c r="F1202" s="30"/>
      <c r="X1202" s="29"/>
      <c r="Y1202" s="29"/>
      <c r="AA1202" s="18"/>
      <c r="AC1202" s="30"/>
      <c r="AE1202" s="18"/>
      <c r="AG1202" s="29"/>
    </row>
    <row r="1203" spans="1:33">
      <c r="A1203" s="29"/>
      <c r="B1203" s="29"/>
      <c r="C1203" s="29"/>
      <c r="D1203" s="29"/>
      <c r="E1203" s="30"/>
      <c r="F1203" s="30"/>
      <c r="X1203" s="29"/>
      <c r="Y1203" s="29"/>
      <c r="AA1203" s="18"/>
      <c r="AC1203" s="31"/>
      <c r="AE1203" s="18"/>
      <c r="AG1203" s="29"/>
    </row>
    <row r="1204" spans="1:33">
      <c r="A1204" s="29"/>
      <c r="B1204" s="29"/>
      <c r="C1204" s="29"/>
      <c r="D1204" s="29"/>
      <c r="E1204" s="30"/>
      <c r="F1204" s="30"/>
      <c r="X1204" s="29"/>
      <c r="Y1204" s="29"/>
      <c r="AA1204" s="18"/>
      <c r="AC1204" s="31"/>
      <c r="AE1204" s="18"/>
      <c r="AG1204" s="29"/>
    </row>
    <row r="1205" spans="1:33">
      <c r="A1205" s="29"/>
      <c r="B1205" s="29"/>
      <c r="C1205" s="29"/>
      <c r="D1205" s="29"/>
      <c r="E1205" s="30"/>
      <c r="F1205" s="30"/>
      <c r="X1205" s="29"/>
      <c r="Y1205" s="29"/>
      <c r="AA1205" s="18"/>
      <c r="AC1205" s="31"/>
      <c r="AE1205" s="18"/>
      <c r="AG1205" s="29"/>
    </row>
    <row r="1206" spans="1:33">
      <c r="A1206" s="29"/>
      <c r="B1206" s="29"/>
      <c r="C1206" s="29"/>
      <c r="D1206" s="29"/>
      <c r="E1206" s="30"/>
      <c r="F1206" s="30"/>
      <c r="X1206" s="29"/>
      <c r="Y1206" s="29"/>
      <c r="AA1206" s="18"/>
      <c r="AC1206" s="31"/>
      <c r="AE1206" s="18"/>
      <c r="AG1206" s="29"/>
    </row>
    <row r="1207" spans="1:33">
      <c r="A1207" s="29"/>
      <c r="B1207" s="29"/>
      <c r="C1207" s="29"/>
      <c r="D1207" s="29"/>
      <c r="E1207" s="30"/>
      <c r="F1207" s="30"/>
      <c r="X1207" s="29"/>
      <c r="Y1207" s="29"/>
      <c r="AA1207" s="18"/>
      <c r="AC1207" s="30"/>
      <c r="AE1207" s="18"/>
      <c r="AG1207" s="29"/>
    </row>
    <row r="1208" spans="1:33">
      <c r="A1208" s="29"/>
      <c r="B1208" s="29"/>
      <c r="C1208" s="29"/>
      <c r="D1208" s="29"/>
      <c r="E1208" s="30"/>
      <c r="F1208" s="30"/>
      <c r="X1208" s="29"/>
      <c r="Y1208" s="29"/>
      <c r="AA1208" s="18"/>
      <c r="AC1208" s="30"/>
      <c r="AE1208" s="18"/>
      <c r="AG1208" s="29"/>
    </row>
    <row r="1209" spans="1:33">
      <c r="A1209" s="29"/>
      <c r="B1209" s="29"/>
      <c r="C1209" s="29"/>
      <c r="D1209" s="29"/>
      <c r="E1209" s="30"/>
      <c r="F1209" s="30"/>
      <c r="X1209" s="29"/>
      <c r="Y1209" s="29"/>
      <c r="AA1209" s="18"/>
      <c r="AC1209" s="30"/>
      <c r="AE1209" s="18"/>
      <c r="AG1209" s="29"/>
    </row>
    <row r="1210" spans="1:33">
      <c r="A1210" s="29"/>
      <c r="B1210" s="29"/>
      <c r="C1210" s="29"/>
      <c r="D1210" s="29"/>
      <c r="E1210" s="30"/>
      <c r="F1210" s="30"/>
      <c r="X1210" s="29"/>
      <c r="Y1210" s="29"/>
      <c r="AA1210" s="18"/>
      <c r="AC1210" s="30"/>
      <c r="AE1210" s="18"/>
      <c r="AG1210" s="29"/>
    </row>
    <row r="1211" spans="1:33">
      <c r="A1211" s="29"/>
      <c r="B1211" s="29"/>
      <c r="C1211" s="29"/>
      <c r="D1211" s="29"/>
      <c r="E1211" s="30"/>
      <c r="F1211" s="30"/>
      <c r="X1211" s="29"/>
      <c r="Y1211" s="29"/>
      <c r="AA1211" s="18"/>
      <c r="AC1211" s="31"/>
      <c r="AE1211" s="18"/>
      <c r="AG1211" s="29"/>
    </row>
    <row r="1212" spans="1:33">
      <c r="A1212" s="29"/>
      <c r="B1212" s="29"/>
      <c r="C1212" s="29"/>
      <c r="D1212" s="29"/>
      <c r="E1212" s="30"/>
      <c r="F1212" s="30"/>
      <c r="X1212" s="29"/>
      <c r="Y1212" s="29"/>
      <c r="AA1212" s="18"/>
      <c r="AC1212" s="30"/>
      <c r="AE1212" s="18"/>
      <c r="AG1212" s="29"/>
    </row>
    <row r="1213" spans="1:33">
      <c r="A1213" s="29"/>
      <c r="B1213" s="29"/>
      <c r="C1213" s="29"/>
      <c r="D1213" s="29"/>
      <c r="E1213" s="30"/>
      <c r="F1213" s="30"/>
      <c r="X1213" s="29"/>
      <c r="Y1213" s="29"/>
      <c r="AA1213" s="18"/>
      <c r="AC1213" s="31"/>
      <c r="AE1213" s="18"/>
      <c r="AG1213" s="29"/>
    </row>
    <row r="1214" spans="1:33">
      <c r="A1214" s="29"/>
      <c r="B1214" s="29"/>
      <c r="C1214" s="29"/>
      <c r="D1214" s="29"/>
      <c r="E1214" s="30"/>
      <c r="F1214" s="30"/>
      <c r="X1214" s="29"/>
      <c r="Y1214" s="29"/>
      <c r="AA1214" s="18"/>
      <c r="AC1214" s="30"/>
      <c r="AE1214" s="18"/>
      <c r="AG1214" s="29"/>
    </row>
    <row r="1215" spans="1:33">
      <c r="A1215" s="29"/>
      <c r="B1215" s="29"/>
      <c r="C1215" s="29"/>
      <c r="D1215" s="29"/>
      <c r="E1215" s="30"/>
      <c r="F1215" s="30"/>
      <c r="X1215" s="29"/>
      <c r="Y1215" s="29"/>
      <c r="AA1215" s="18"/>
      <c r="AC1215" s="30"/>
      <c r="AE1215" s="18"/>
      <c r="AG1215" s="29"/>
    </row>
    <row r="1216" spans="1:33">
      <c r="A1216" s="29"/>
      <c r="B1216" s="29"/>
      <c r="C1216" s="29"/>
      <c r="D1216" s="29"/>
      <c r="E1216" s="30"/>
      <c r="F1216" s="30"/>
      <c r="X1216" s="29"/>
      <c r="Y1216" s="29"/>
      <c r="AA1216" s="18"/>
      <c r="AC1216" s="30"/>
      <c r="AE1216" s="18"/>
      <c r="AG1216" s="29"/>
    </row>
    <row r="1217" spans="1:33">
      <c r="A1217" s="29"/>
      <c r="B1217" s="29"/>
      <c r="C1217" s="29"/>
      <c r="D1217" s="29"/>
      <c r="E1217" s="30"/>
      <c r="F1217" s="30"/>
      <c r="X1217" s="29"/>
      <c r="Y1217" s="29"/>
      <c r="AA1217" s="18"/>
      <c r="AC1217" s="30"/>
      <c r="AE1217" s="18"/>
      <c r="AG1217" s="29"/>
    </row>
    <row r="1218" spans="1:33">
      <c r="A1218" s="29"/>
      <c r="B1218" s="29"/>
      <c r="C1218" s="29"/>
      <c r="D1218" s="29"/>
      <c r="E1218" s="30"/>
      <c r="F1218" s="30"/>
      <c r="X1218" s="29"/>
      <c r="Y1218" s="29"/>
      <c r="AA1218" s="18"/>
      <c r="AC1218" s="30"/>
      <c r="AE1218" s="18"/>
      <c r="AG1218" s="29"/>
    </row>
    <row r="1219" spans="1:33">
      <c r="A1219" s="29"/>
      <c r="B1219" s="29"/>
      <c r="C1219" s="29"/>
      <c r="D1219" s="29"/>
      <c r="E1219" s="30"/>
      <c r="F1219" s="30"/>
      <c r="X1219" s="29"/>
      <c r="Y1219" s="29"/>
      <c r="AA1219" s="18"/>
      <c r="AC1219" s="31"/>
      <c r="AE1219" s="18"/>
      <c r="AG1219" s="29"/>
    </row>
    <row r="1220" spans="1:33">
      <c r="A1220" s="29"/>
      <c r="B1220" s="29"/>
      <c r="C1220" s="29"/>
      <c r="D1220" s="29"/>
      <c r="E1220" s="30"/>
      <c r="F1220" s="30"/>
      <c r="X1220" s="29"/>
      <c r="Y1220" s="29"/>
      <c r="AA1220" s="18"/>
      <c r="AC1220" s="31"/>
      <c r="AE1220" s="18"/>
      <c r="AG1220" s="29"/>
    </row>
    <row r="1221" spans="1:33">
      <c r="A1221" s="29"/>
      <c r="B1221" s="29"/>
      <c r="C1221" s="29"/>
      <c r="D1221" s="29"/>
      <c r="E1221" s="30"/>
      <c r="F1221" s="30"/>
      <c r="X1221" s="29"/>
      <c r="Y1221" s="29"/>
      <c r="AA1221" s="18"/>
      <c r="AC1221" s="30"/>
      <c r="AE1221" s="18"/>
      <c r="AG1221" s="29"/>
    </row>
    <row r="1222" spans="1:33">
      <c r="A1222" s="29"/>
      <c r="B1222" s="29"/>
      <c r="C1222" s="29"/>
      <c r="D1222" s="29"/>
      <c r="E1222" s="30"/>
      <c r="F1222" s="30"/>
      <c r="X1222" s="29"/>
      <c r="Y1222" s="29"/>
      <c r="AA1222" s="18"/>
      <c r="AC1222" s="30"/>
      <c r="AE1222" s="18"/>
      <c r="AG1222" s="29"/>
    </row>
    <row r="1223" spans="1:33">
      <c r="A1223" s="29"/>
      <c r="B1223" s="29"/>
      <c r="C1223" s="29"/>
      <c r="D1223" s="29"/>
      <c r="E1223" s="30"/>
      <c r="F1223" s="30"/>
      <c r="X1223" s="29"/>
      <c r="Y1223" s="29"/>
      <c r="AA1223" s="18"/>
      <c r="AC1223" s="31"/>
      <c r="AE1223" s="18"/>
      <c r="AG1223" s="29"/>
    </row>
    <row r="1224" spans="1:33">
      <c r="A1224" s="29"/>
      <c r="B1224" s="29"/>
      <c r="C1224" s="29"/>
      <c r="D1224" s="29"/>
      <c r="E1224" s="30"/>
      <c r="F1224" s="30"/>
      <c r="X1224" s="29"/>
      <c r="Y1224" s="29"/>
      <c r="AA1224" s="18"/>
      <c r="AC1224" s="31"/>
      <c r="AE1224" s="18"/>
      <c r="AG1224" s="29"/>
    </row>
    <row r="1225" spans="1:33">
      <c r="A1225" s="29"/>
      <c r="B1225" s="29"/>
      <c r="C1225" s="29"/>
      <c r="D1225" s="29"/>
      <c r="E1225" s="30"/>
      <c r="F1225" s="30"/>
      <c r="X1225" s="29"/>
      <c r="Y1225" s="29"/>
      <c r="AA1225" s="18"/>
      <c r="AC1225" s="30"/>
      <c r="AE1225" s="18"/>
      <c r="AG1225" s="29"/>
    </row>
    <row r="1226" spans="1:33">
      <c r="A1226" s="29"/>
      <c r="B1226" s="29"/>
      <c r="C1226" s="29"/>
      <c r="D1226" s="29"/>
      <c r="E1226" s="30"/>
      <c r="F1226" s="30"/>
      <c r="X1226" s="29"/>
      <c r="Y1226" s="29"/>
      <c r="AA1226" s="18"/>
      <c r="AC1226" s="30"/>
      <c r="AE1226" s="18"/>
      <c r="AG1226" s="29"/>
    </row>
    <row r="1227" spans="1:33">
      <c r="A1227" s="29"/>
      <c r="B1227" s="29"/>
      <c r="C1227" s="29"/>
      <c r="D1227" s="29"/>
      <c r="E1227" s="30"/>
      <c r="F1227" s="30"/>
      <c r="X1227" s="29"/>
      <c r="Y1227" s="29"/>
      <c r="AA1227" s="18"/>
      <c r="AC1227" s="31"/>
      <c r="AE1227" s="18"/>
      <c r="AG1227" s="29"/>
    </row>
    <row r="1228" spans="1:33">
      <c r="A1228" s="29"/>
      <c r="B1228" s="29"/>
      <c r="C1228" s="29"/>
      <c r="D1228" s="29"/>
      <c r="E1228" s="30"/>
      <c r="F1228" s="30"/>
      <c r="X1228" s="29"/>
      <c r="Y1228" s="29"/>
      <c r="AA1228" s="18"/>
      <c r="AC1228" s="30"/>
      <c r="AE1228" s="18"/>
      <c r="AG1228" s="29"/>
    </row>
    <row r="1229" spans="1:33">
      <c r="A1229" s="29"/>
      <c r="B1229" s="29"/>
      <c r="C1229" s="29"/>
      <c r="D1229" s="29"/>
      <c r="E1229" s="30"/>
      <c r="F1229" s="30"/>
      <c r="X1229" s="29"/>
      <c r="Y1229" s="29"/>
      <c r="AA1229" s="18"/>
      <c r="AC1229" s="31"/>
      <c r="AE1229" s="18"/>
      <c r="AG1229" s="29"/>
    </row>
    <row r="1230" spans="1:33">
      <c r="A1230" s="29"/>
      <c r="B1230" s="29"/>
      <c r="C1230" s="29"/>
      <c r="D1230" s="29"/>
      <c r="E1230" s="30"/>
      <c r="F1230" s="30"/>
      <c r="X1230" s="29"/>
      <c r="Y1230" s="29"/>
      <c r="AA1230" s="18"/>
      <c r="AC1230" s="31"/>
      <c r="AE1230" s="18"/>
      <c r="AG1230" s="29"/>
    </row>
    <row r="1231" spans="1:33">
      <c r="A1231" s="29"/>
      <c r="B1231" s="29"/>
      <c r="C1231" s="29"/>
      <c r="D1231" s="29"/>
      <c r="E1231" s="30"/>
      <c r="F1231" s="30"/>
      <c r="X1231" s="29"/>
      <c r="Y1231" s="29"/>
      <c r="AA1231" s="18"/>
      <c r="AC1231" s="30"/>
      <c r="AE1231" s="18"/>
      <c r="AG1231" s="29"/>
    </row>
    <row r="1232" spans="1:33">
      <c r="A1232" s="29"/>
      <c r="B1232" s="29"/>
      <c r="C1232" s="29"/>
      <c r="D1232" s="29"/>
      <c r="E1232" s="30"/>
      <c r="F1232" s="30"/>
      <c r="X1232" s="29"/>
      <c r="Y1232" s="29"/>
      <c r="AA1232" s="18"/>
      <c r="AC1232" s="30"/>
      <c r="AE1232" s="18"/>
      <c r="AG1232" s="29"/>
    </row>
    <row r="1233" spans="1:33">
      <c r="A1233" s="29"/>
      <c r="B1233" s="29"/>
      <c r="C1233" s="29"/>
      <c r="D1233" s="29"/>
      <c r="E1233" s="30"/>
      <c r="F1233" s="30"/>
      <c r="X1233" s="29"/>
      <c r="Y1233" s="29"/>
      <c r="AA1233" s="18"/>
      <c r="AC1233" s="30"/>
      <c r="AE1233" s="18"/>
      <c r="AG1233" s="29"/>
    </row>
    <row r="1234" spans="1:33">
      <c r="A1234" s="29"/>
      <c r="B1234" s="29"/>
      <c r="C1234" s="29"/>
      <c r="D1234" s="29"/>
      <c r="E1234" s="30"/>
      <c r="F1234" s="30"/>
      <c r="X1234" s="29"/>
      <c r="Y1234" s="29"/>
      <c r="AA1234" s="18"/>
      <c r="AC1234" s="31"/>
      <c r="AE1234" s="18"/>
      <c r="AG1234" s="29"/>
    </row>
    <row r="1235" spans="1:33">
      <c r="A1235" s="29"/>
      <c r="B1235" s="29"/>
      <c r="C1235" s="29"/>
      <c r="D1235" s="29"/>
      <c r="E1235" s="30"/>
      <c r="F1235" s="30"/>
      <c r="X1235" s="29"/>
      <c r="Y1235" s="29"/>
      <c r="AA1235" s="18"/>
      <c r="AC1235" s="31"/>
      <c r="AE1235" s="18"/>
      <c r="AG1235" s="29"/>
    </row>
    <row r="1236" spans="1:33">
      <c r="A1236" s="29"/>
      <c r="B1236" s="29"/>
      <c r="C1236" s="29"/>
      <c r="D1236" s="29"/>
      <c r="E1236" s="30"/>
      <c r="F1236" s="30"/>
      <c r="X1236" s="29"/>
      <c r="Y1236" s="29"/>
      <c r="AA1236" s="18"/>
      <c r="AC1236" s="31"/>
      <c r="AE1236" s="18"/>
      <c r="AG1236" s="29"/>
    </row>
    <row r="1237" spans="1:33">
      <c r="A1237" s="29"/>
      <c r="B1237" s="29"/>
      <c r="C1237" s="29"/>
      <c r="D1237" s="29"/>
      <c r="E1237" s="30"/>
      <c r="F1237" s="30"/>
      <c r="X1237" s="29"/>
      <c r="Y1237" s="29"/>
      <c r="AA1237" s="18"/>
      <c r="AC1237" s="30"/>
      <c r="AE1237" s="18"/>
      <c r="AG1237" s="29"/>
    </row>
    <row r="1238" spans="1:33">
      <c r="A1238" s="29"/>
      <c r="B1238" s="29"/>
      <c r="C1238" s="29"/>
      <c r="D1238" s="29"/>
      <c r="E1238" s="30"/>
      <c r="F1238" s="30"/>
      <c r="X1238" s="29"/>
      <c r="Y1238" s="29"/>
      <c r="AA1238" s="18"/>
      <c r="AC1238" s="31"/>
      <c r="AE1238" s="18"/>
      <c r="AG1238" s="29"/>
    </row>
    <row r="1239" spans="1:33">
      <c r="A1239" s="29"/>
      <c r="B1239" s="29"/>
      <c r="C1239" s="29"/>
      <c r="D1239" s="29"/>
      <c r="E1239" s="30"/>
      <c r="F1239" s="30"/>
      <c r="X1239" s="29"/>
      <c r="Y1239" s="29"/>
      <c r="AA1239" s="18"/>
      <c r="AC1239" s="31"/>
      <c r="AE1239" s="18"/>
      <c r="AG1239" s="29"/>
    </row>
    <row r="1240" spans="1:33">
      <c r="A1240" s="29"/>
      <c r="B1240" s="29"/>
      <c r="C1240" s="29"/>
      <c r="D1240" s="29"/>
      <c r="E1240" s="30"/>
      <c r="F1240" s="30"/>
      <c r="X1240" s="29"/>
      <c r="Y1240" s="29"/>
      <c r="AA1240" s="18"/>
      <c r="AC1240" s="31"/>
      <c r="AE1240" s="18"/>
      <c r="AG1240" s="29"/>
    </row>
    <row r="1241" spans="1:33">
      <c r="A1241" s="29"/>
      <c r="B1241" s="29"/>
      <c r="C1241" s="29"/>
      <c r="D1241" s="29"/>
      <c r="E1241" s="30"/>
      <c r="F1241" s="30"/>
      <c r="X1241" s="29"/>
      <c r="Y1241" s="29"/>
      <c r="AA1241" s="18"/>
      <c r="AC1241" s="30"/>
      <c r="AE1241" s="18"/>
      <c r="AG1241" s="29"/>
    </row>
    <row r="1242" spans="1:33">
      <c r="A1242" s="29"/>
      <c r="B1242" s="29"/>
      <c r="C1242" s="29"/>
      <c r="D1242" s="29"/>
      <c r="E1242" s="30"/>
      <c r="F1242" s="30"/>
      <c r="X1242" s="29"/>
      <c r="Y1242" s="29"/>
      <c r="AA1242" s="18"/>
      <c r="AC1242" s="30"/>
      <c r="AE1242" s="18"/>
      <c r="AG1242" s="29"/>
    </row>
    <row r="1243" spans="1:33">
      <c r="A1243" s="29"/>
      <c r="B1243" s="29"/>
      <c r="C1243" s="29"/>
      <c r="D1243" s="29"/>
      <c r="E1243" s="30"/>
      <c r="F1243" s="30"/>
      <c r="X1243" s="29"/>
      <c r="Y1243" s="29"/>
      <c r="AA1243" s="18"/>
      <c r="AC1243" s="31"/>
      <c r="AE1243" s="18"/>
      <c r="AG1243" s="29"/>
    </row>
    <row r="1244" spans="1:33">
      <c r="A1244" s="29"/>
      <c r="B1244" s="29"/>
      <c r="C1244" s="29"/>
      <c r="D1244" s="29"/>
      <c r="E1244" s="30"/>
      <c r="F1244" s="30"/>
      <c r="X1244" s="29"/>
      <c r="Y1244" s="29"/>
      <c r="AA1244" s="18"/>
      <c r="AC1244" s="31"/>
      <c r="AE1244" s="18"/>
      <c r="AG1244" s="29"/>
    </row>
    <row r="1245" spans="1:33">
      <c r="A1245" s="29"/>
      <c r="B1245" s="29"/>
      <c r="C1245" s="29"/>
      <c r="D1245" s="29"/>
      <c r="E1245" s="30"/>
      <c r="F1245" s="30"/>
      <c r="X1245" s="29"/>
      <c r="Y1245" s="29"/>
      <c r="AA1245" s="18"/>
      <c r="AC1245" s="31"/>
      <c r="AE1245" s="18"/>
      <c r="AG1245" s="29"/>
    </row>
    <row r="1246" spans="1:33">
      <c r="A1246" s="29"/>
      <c r="B1246" s="29"/>
      <c r="C1246" s="29"/>
      <c r="D1246" s="29"/>
      <c r="E1246" s="30"/>
      <c r="F1246" s="30"/>
      <c r="X1246" s="29"/>
      <c r="Y1246" s="29"/>
      <c r="AA1246" s="18"/>
      <c r="AC1246" s="31"/>
      <c r="AE1246" s="18"/>
      <c r="AG1246" s="29"/>
    </row>
    <row r="1247" spans="1:33">
      <c r="A1247" s="29"/>
      <c r="B1247" s="29"/>
      <c r="C1247" s="29"/>
      <c r="D1247" s="29"/>
      <c r="E1247" s="30"/>
      <c r="F1247" s="30"/>
      <c r="X1247" s="29"/>
      <c r="Y1247" s="29"/>
      <c r="AA1247" s="18"/>
      <c r="AC1247" s="31"/>
      <c r="AE1247" s="18"/>
      <c r="AG1247" s="29"/>
    </row>
    <row r="1248" spans="1:33">
      <c r="A1248" s="29"/>
      <c r="B1248" s="29"/>
      <c r="C1248" s="29"/>
      <c r="D1248" s="29"/>
      <c r="E1248" s="30"/>
      <c r="F1248" s="30"/>
      <c r="X1248" s="29"/>
      <c r="Y1248" s="29"/>
      <c r="AA1248" s="18"/>
      <c r="AC1248" s="31"/>
      <c r="AE1248" s="18"/>
      <c r="AG1248" s="29"/>
    </row>
    <row r="1249" spans="1:33">
      <c r="A1249" s="29"/>
      <c r="B1249" s="29"/>
      <c r="C1249" s="29"/>
      <c r="D1249" s="29"/>
      <c r="E1249" s="30"/>
      <c r="F1249" s="30"/>
      <c r="X1249" s="29"/>
      <c r="Y1249" s="29"/>
      <c r="AA1249" s="18"/>
      <c r="AC1249" s="31"/>
      <c r="AE1249" s="18"/>
      <c r="AG1249" s="29"/>
    </row>
    <row r="1250" spans="1:33">
      <c r="A1250" s="29"/>
      <c r="B1250" s="29"/>
      <c r="C1250" s="29"/>
      <c r="D1250" s="29"/>
      <c r="E1250" s="30"/>
      <c r="F1250" s="30"/>
      <c r="X1250" s="29"/>
      <c r="Y1250" s="29"/>
      <c r="AA1250" s="18"/>
      <c r="AC1250" s="31"/>
      <c r="AE1250" s="18"/>
      <c r="AG1250" s="29"/>
    </row>
    <row r="1251" spans="1:33">
      <c r="A1251" s="29"/>
      <c r="B1251" s="29"/>
      <c r="C1251" s="29"/>
      <c r="D1251" s="29"/>
      <c r="E1251" s="30"/>
      <c r="F1251" s="30"/>
      <c r="X1251" s="29"/>
      <c r="Y1251" s="29"/>
      <c r="AA1251" s="18"/>
      <c r="AC1251" s="31"/>
      <c r="AE1251" s="18"/>
      <c r="AG1251" s="29"/>
    </row>
    <row r="1252" spans="1:33">
      <c r="A1252" s="29"/>
      <c r="B1252" s="29"/>
      <c r="C1252" s="29"/>
      <c r="D1252" s="29"/>
      <c r="E1252" s="30"/>
      <c r="F1252" s="30"/>
      <c r="X1252" s="29"/>
      <c r="Y1252" s="29"/>
      <c r="AA1252" s="18"/>
      <c r="AC1252" s="31"/>
      <c r="AE1252" s="18"/>
      <c r="AG1252" s="29"/>
    </row>
    <row r="1253" spans="1:33">
      <c r="A1253" s="29"/>
      <c r="B1253" s="29"/>
      <c r="C1253" s="29"/>
      <c r="D1253" s="29"/>
      <c r="E1253" s="30"/>
      <c r="F1253" s="30"/>
      <c r="X1253" s="29"/>
      <c r="Y1253" s="29"/>
      <c r="AA1253" s="18"/>
      <c r="AC1253" s="31"/>
      <c r="AE1253" s="18"/>
      <c r="AG1253" s="29"/>
    </row>
    <row r="1254" spans="1:33">
      <c r="A1254" s="29"/>
      <c r="B1254" s="29"/>
      <c r="C1254" s="29"/>
      <c r="D1254" s="29"/>
      <c r="E1254" s="30"/>
      <c r="F1254" s="30"/>
      <c r="X1254" s="29"/>
      <c r="Y1254" s="29"/>
      <c r="AA1254" s="18"/>
      <c r="AC1254" s="31"/>
      <c r="AE1254" s="18"/>
      <c r="AG1254" s="29"/>
    </row>
    <row r="1255" spans="1:33">
      <c r="A1255" s="29"/>
      <c r="B1255" s="29"/>
      <c r="C1255" s="29"/>
      <c r="D1255" s="29"/>
      <c r="E1255" s="30"/>
      <c r="F1255" s="30"/>
      <c r="X1255" s="29"/>
      <c r="Y1255" s="29"/>
      <c r="AA1255" s="18"/>
      <c r="AC1255" s="31"/>
      <c r="AE1255" s="18"/>
      <c r="AG1255" s="29"/>
    </row>
    <row r="1256" spans="1:33">
      <c r="A1256" s="29"/>
      <c r="B1256" s="29"/>
      <c r="C1256" s="29"/>
      <c r="D1256" s="29"/>
      <c r="E1256" s="30"/>
      <c r="F1256" s="30"/>
      <c r="X1256" s="29"/>
      <c r="Y1256" s="29"/>
      <c r="AA1256" s="18"/>
      <c r="AC1256" s="31"/>
      <c r="AE1256" s="18"/>
      <c r="AG1256" s="29"/>
    </row>
    <row r="1257" spans="1:33">
      <c r="A1257" s="29"/>
      <c r="B1257" s="29"/>
      <c r="C1257" s="29"/>
      <c r="D1257" s="29"/>
      <c r="E1257" s="30"/>
      <c r="F1257" s="30"/>
      <c r="X1257" s="29"/>
      <c r="Y1257" s="29"/>
      <c r="AA1257" s="18"/>
      <c r="AC1257" s="31"/>
      <c r="AE1257" s="18"/>
      <c r="AG1257" s="29"/>
    </row>
    <row r="1258" spans="1:33">
      <c r="A1258" s="29"/>
      <c r="B1258" s="29"/>
      <c r="C1258" s="29"/>
      <c r="D1258" s="29"/>
      <c r="E1258" s="30"/>
      <c r="F1258" s="30"/>
      <c r="X1258" s="29"/>
      <c r="Y1258" s="29"/>
      <c r="AA1258" s="18"/>
      <c r="AC1258" s="30"/>
      <c r="AE1258" s="18"/>
      <c r="AG1258" s="29"/>
    </row>
    <row r="1259" spans="1:33">
      <c r="A1259" s="29"/>
      <c r="B1259" s="29"/>
      <c r="C1259" s="29"/>
      <c r="D1259" s="29"/>
      <c r="E1259" s="30"/>
      <c r="F1259" s="30"/>
      <c r="X1259" s="29"/>
      <c r="Y1259" s="29"/>
      <c r="AA1259" s="18"/>
      <c r="AC1259" s="30"/>
      <c r="AE1259" s="18"/>
      <c r="AG1259" s="29"/>
    </row>
    <row r="1260" spans="1:33">
      <c r="A1260" s="29"/>
      <c r="B1260" s="29"/>
      <c r="C1260" s="29"/>
      <c r="D1260" s="29"/>
      <c r="E1260" s="30"/>
      <c r="F1260" s="30"/>
      <c r="X1260" s="29"/>
      <c r="Y1260" s="29"/>
      <c r="AA1260" s="18"/>
      <c r="AC1260" s="30"/>
      <c r="AE1260" s="18"/>
      <c r="AG1260" s="29"/>
    </row>
    <row r="1261" spans="1:33">
      <c r="A1261" s="29"/>
      <c r="B1261" s="29"/>
      <c r="C1261" s="29"/>
      <c r="D1261" s="29"/>
      <c r="E1261" s="30"/>
      <c r="F1261" s="30"/>
      <c r="X1261" s="29"/>
      <c r="Y1261" s="29"/>
      <c r="AA1261" s="18"/>
      <c r="AC1261" s="30"/>
      <c r="AE1261" s="18"/>
      <c r="AG1261" s="29"/>
    </row>
    <row r="1262" spans="1:33">
      <c r="A1262" s="29"/>
      <c r="B1262" s="29"/>
      <c r="C1262" s="29"/>
      <c r="D1262" s="29"/>
      <c r="E1262" s="30"/>
      <c r="F1262" s="30"/>
      <c r="X1262" s="29"/>
      <c r="Y1262" s="29"/>
      <c r="AA1262" s="18"/>
      <c r="AC1262" s="30"/>
      <c r="AE1262" s="18"/>
      <c r="AG1262" s="29"/>
    </row>
    <row r="1263" spans="1:33">
      <c r="A1263" s="29"/>
      <c r="B1263" s="29"/>
      <c r="C1263" s="29"/>
      <c r="D1263" s="29"/>
      <c r="E1263" s="30"/>
      <c r="F1263" s="30"/>
      <c r="X1263" s="29"/>
      <c r="Y1263" s="29"/>
      <c r="AA1263" s="18"/>
      <c r="AC1263" s="30"/>
      <c r="AE1263" s="18"/>
      <c r="AG1263" s="29"/>
    </row>
    <row r="1264" spans="1:33">
      <c r="A1264" s="29"/>
      <c r="B1264" s="29"/>
      <c r="C1264" s="29"/>
      <c r="D1264" s="29"/>
      <c r="E1264" s="30"/>
      <c r="F1264" s="30"/>
      <c r="X1264" s="29"/>
      <c r="Y1264" s="29"/>
      <c r="AA1264" s="18"/>
      <c r="AC1264" s="31"/>
      <c r="AE1264" s="18"/>
      <c r="AG1264" s="29"/>
    </row>
    <row r="1265" spans="1:33">
      <c r="A1265" s="29"/>
      <c r="B1265" s="29"/>
      <c r="C1265" s="29"/>
      <c r="D1265" s="29"/>
      <c r="E1265" s="30"/>
      <c r="F1265" s="30"/>
      <c r="X1265" s="29"/>
      <c r="Y1265" s="29"/>
      <c r="AA1265" s="18"/>
      <c r="AC1265" s="31"/>
      <c r="AE1265" s="18"/>
      <c r="AG1265" s="29"/>
    </row>
    <row r="1266" spans="1:33">
      <c r="A1266" s="29"/>
      <c r="B1266" s="29"/>
      <c r="C1266" s="29"/>
      <c r="D1266" s="29"/>
      <c r="E1266" s="30"/>
      <c r="F1266" s="30"/>
      <c r="X1266" s="29"/>
      <c r="Y1266" s="29"/>
      <c r="AA1266" s="18"/>
      <c r="AC1266" s="31"/>
      <c r="AE1266" s="18"/>
      <c r="AG1266" s="29"/>
    </row>
    <row r="1267" spans="1:33">
      <c r="A1267" s="29"/>
      <c r="B1267" s="29"/>
      <c r="C1267" s="29"/>
      <c r="D1267" s="29"/>
      <c r="E1267" s="30"/>
      <c r="F1267" s="30"/>
      <c r="X1267" s="29"/>
      <c r="Y1267" s="29"/>
      <c r="AA1267" s="18"/>
      <c r="AC1267" s="31"/>
      <c r="AE1267" s="18"/>
      <c r="AG1267" s="29"/>
    </row>
    <row r="1268" spans="1:33">
      <c r="A1268" s="29"/>
      <c r="B1268" s="29"/>
      <c r="C1268" s="29"/>
      <c r="D1268" s="29"/>
      <c r="E1268" s="30"/>
      <c r="F1268" s="30"/>
      <c r="X1268" s="29"/>
      <c r="Y1268" s="29"/>
      <c r="AA1268" s="18"/>
      <c r="AC1268" s="31"/>
      <c r="AE1268" s="18"/>
      <c r="AG1268" s="29"/>
    </row>
    <row r="1269" spans="1:33">
      <c r="A1269" s="29"/>
      <c r="B1269" s="29"/>
      <c r="C1269" s="29"/>
      <c r="D1269" s="29"/>
      <c r="E1269" s="30"/>
      <c r="F1269" s="30"/>
      <c r="X1269" s="29"/>
      <c r="Y1269" s="29"/>
      <c r="AA1269" s="18"/>
      <c r="AC1269" s="31"/>
      <c r="AE1269" s="18"/>
      <c r="AG1269" s="29"/>
    </row>
    <row r="1270" spans="1:33">
      <c r="A1270" s="29"/>
      <c r="B1270" s="29"/>
      <c r="C1270" s="29"/>
      <c r="D1270" s="29"/>
      <c r="E1270" s="30"/>
      <c r="F1270" s="30"/>
      <c r="X1270" s="29"/>
      <c r="Y1270" s="29"/>
      <c r="AA1270" s="18"/>
      <c r="AC1270" s="31"/>
      <c r="AE1270" s="18"/>
      <c r="AG1270" s="29"/>
    </row>
    <row r="1271" spans="1:33">
      <c r="A1271" s="29"/>
      <c r="B1271" s="29"/>
      <c r="C1271" s="29"/>
      <c r="D1271" s="29"/>
      <c r="E1271" s="30"/>
      <c r="F1271" s="30"/>
      <c r="X1271" s="29"/>
      <c r="Y1271" s="29"/>
      <c r="AA1271" s="18"/>
      <c r="AC1271" s="30"/>
      <c r="AE1271" s="18"/>
      <c r="AG1271" s="29"/>
    </row>
    <row r="1272" spans="1:33">
      <c r="A1272" s="29"/>
      <c r="B1272" s="29"/>
      <c r="C1272" s="29"/>
      <c r="D1272" s="29"/>
      <c r="E1272" s="30"/>
      <c r="F1272" s="30"/>
      <c r="X1272" s="29"/>
      <c r="Y1272" s="29"/>
      <c r="AA1272" s="18"/>
      <c r="AC1272" s="31"/>
      <c r="AE1272" s="18"/>
      <c r="AG1272" s="29"/>
    </row>
    <row r="1273" spans="1:33">
      <c r="A1273" s="29"/>
      <c r="B1273" s="29"/>
      <c r="C1273" s="29"/>
      <c r="D1273" s="29"/>
      <c r="E1273" s="30"/>
      <c r="F1273" s="30"/>
      <c r="X1273" s="29"/>
      <c r="Y1273" s="29"/>
      <c r="AA1273" s="18"/>
      <c r="AC1273" s="30"/>
      <c r="AE1273" s="18"/>
      <c r="AG1273" s="29"/>
    </row>
    <row r="1274" spans="1:33">
      <c r="A1274" s="29"/>
      <c r="B1274" s="29"/>
      <c r="C1274" s="29"/>
      <c r="D1274" s="29"/>
      <c r="E1274" s="30"/>
      <c r="F1274" s="30"/>
      <c r="X1274" s="29"/>
      <c r="Y1274" s="29"/>
      <c r="AA1274" s="18"/>
      <c r="AC1274" s="31"/>
      <c r="AE1274" s="18"/>
      <c r="AG1274" s="29"/>
    </row>
    <row r="1275" spans="1:33">
      <c r="A1275" s="29"/>
      <c r="B1275" s="29"/>
      <c r="C1275" s="29"/>
      <c r="D1275" s="29"/>
      <c r="E1275" s="30"/>
      <c r="F1275" s="30"/>
      <c r="X1275" s="29"/>
      <c r="Y1275" s="29"/>
      <c r="AA1275" s="18"/>
      <c r="AC1275" s="30"/>
      <c r="AE1275" s="18"/>
      <c r="AG1275" s="29"/>
    </row>
    <row r="1276" spans="1:33">
      <c r="A1276" s="29"/>
      <c r="B1276" s="29"/>
      <c r="C1276" s="29"/>
      <c r="D1276" s="29"/>
      <c r="E1276" s="30"/>
      <c r="F1276" s="30"/>
      <c r="X1276" s="29"/>
      <c r="Y1276" s="29"/>
      <c r="AA1276" s="18"/>
      <c r="AC1276" s="30"/>
      <c r="AE1276" s="18"/>
      <c r="AG1276" s="29"/>
    </row>
    <row r="1277" spans="1:33">
      <c r="A1277" s="29"/>
      <c r="B1277" s="29"/>
      <c r="C1277" s="29"/>
      <c r="D1277" s="29"/>
      <c r="E1277" s="30"/>
      <c r="F1277" s="30"/>
      <c r="X1277" s="29"/>
      <c r="Y1277" s="29"/>
      <c r="AA1277" s="18"/>
      <c r="AC1277" s="31"/>
      <c r="AE1277" s="18"/>
      <c r="AG1277" s="29"/>
    </row>
    <row r="1278" spans="1:33">
      <c r="A1278" s="29"/>
      <c r="B1278" s="29"/>
      <c r="C1278" s="29"/>
      <c r="D1278" s="29"/>
      <c r="E1278" s="30"/>
      <c r="F1278" s="30"/>
      <c r="X1278" s="29"/>
      <c r="Y1278" s="29"/>
      <c r="AA1278" s="18"/>
      <c r="AC1278" s="30"/>
      <c r="AE1278" s="18"/>
      <c r="AG1278" s="29"/>
    </row>
    <row r="1279" spans="1:33">
      <c r="A1279" s="29"/>
      <c r="B1279" s="29"/>
      <c r="C1279" s="29"/>
      <c r="D1279" s="29"/>
      <c r="E1279" s="30"/>
      <c r="F1279" s="30"/>
      <c r="X1279" s="29"/>
      <c r="Y1279" s="29"/>
      <c r="AA1279" s="18"/>
      <c r="AC1279" s="30"/>
      <c r="AE1279" s="18"/>
      <c r="AG1279" s="29"/>
    </row>
    <row r="1280" spans="1:33">
      <c r="A1280" s="29"/>
      <c r="B1280" s="29"/>
      <c r="C1280" s="29"/>
      <c r="D1280" s="29"/>
      <c r="E1280" s="30"/>
      <c r="F1280" s="30"/>
      <c r="X1280" s="29"/>
      <c r="Y1280" s="29"/>
      <c r="AA1280" s="18"/>
      <c r="AC1280" s="31"/>
      <c r="AE1280" s="18"/>
      <c r="AG1280" s="29"/>
    </row>
    <row r="1281" spans="1:33">
      <c r="A1281" s="29"/>
      <c r="B1281" s="29"/>
      <c r="C1281" s="29"/>
      <c r="D1281" s="29"/>
      <c r="E1281" s="30"/>
      <c r="F1281" s="30"/>
      <c r="X1281" s="29"/>
      <c r="Y1281" s="29"/>
      <c r="AA1281" s="18"/>
      <c r="AC1281" s="31"/>
      <c r="AE1281" s="18"/>
      <c r="AG1281" s="29"/>
    </row>
    <row r="1282" spans="1:33">
      <c r="A1282" s="29"/>
      <c r="B1282" s="29"/>
      <c r="C1282" s="29"/>
      <c r="D1282" s="29"/>
      <c r="E1282" s="30"/>
      <c r="F1282" s="30"/>
      <c r="X1282" s="29"/>
      <c r="Y1282" s="29"/>
      <c r="AA1282" s="18"/>
      <c r="AC1282" s="31"/>
      <c r="AE1282" s="18"/>
      <c r="AG1282" s="29"/>
    </row>
    <row r="1283" spans="1:33">
      <c r="A1283" s="29"/>
      <c r="B1283" s="29"/>
      <c r="C1283" s="29"/>
      <c r="D1283" s="29"/>
      <c r="E1283" s="30"/>
      <c r="F1283" s="30"/>
      <c r="X1283" s="29"/>
      <c r="Y1283" s="29"/>
      <c r="AA1283" s="18"/>
      <c r="AC1283" s="31"/>
      <c r="AE1283" s="18"/>
      <c r="AG1283" s="29"/>
    </row>
    <row r="1284" spans="1:33">
      <c r="A1284" s="29"/>
      <c r="B1284" s="29"/>
      <c r="C1284" s="29"/>
      <c r="D1284" s="29"/>
      <c r="E1284" s="30"/>
      <c r="F1284" s="30"/>
      <c r="X1284" s="29"/>
      <c r="Y1284" s="29"/>
      <c r="AA1284" s="18"/>
      <c r="AC1284" s="31"/>
      <c r="AE1284" s="18"/>
      <c r="AG1284" s="29"/>
    </row>
    <row r="1285" spans="1:33">
      <c r="A1285" s="29"/>
      <c r="B1285" s="29"/>
      <c r="C1285" s="29"/>
      <c r="D1285" s="29"/>
      <c r="E1285" s="30"/>
      <c r="F1285" s="30"/>
      <c r="X1285" s="29"/>
      <c r="Y1285" s="29"/>
      <c r="AA1285" s="18"/>
      <c r="AC1285" s="31"/>
      <c r="AE1285" s="18"/>
      <c r="AG1285" s="29"/>
    </row>
    <row r="1286" spans="1:33">
      <c r="A1286" s="29"/>
      <c r="B1286" s="29"/>
      <c r="C1286" s="29"/>
      <c r="D1286" s="29"/>
      <c r="E1286" s="30"/>
      <c r="F1286" s="30"/>
      <c r="X1286" s="29"/>
      <c r="Y1286" s="29"/>
      <c r="AA1286" s="18"/>
      <c r="AC1286" s="31"/>
      <c r="AE1286" s="18"/>
      <c r="AG1286" s="29"/>
    </row>
    <row r="1287" spans="1:33">
      <c r="A1287" s="29"/>
      <c r="B1287" s="29"/>
      <c r="C1287" s="29"/>
      <c r="D1287" s="29"/>
      <c r="E1287" s="30"/>
      <c r="F1287" s="30"/>
      <c r="X1287" s="29"/>
      <c r="Y1287" s="29"/>
      <c r="AA1287" s="18"/>
      <c r="AC1287" s="31"/>
      <c r="AE1287" s="18"/>
      <c r="AG1287" s="29"/>
    </row>
    <row r="1288" spans="1:33">
      <c r="A1288" s="29"/>
      <c r="B1288" s="29"/>
      <c r="C1288" s="29"/>
      <c r="D1288" s="29"/>
      <c r="E1288" s="30"/>
      <c r="F1288" s="30"/>
      <c r="X1288" s="29"/>
      <c r="Y1288" s="29"/>
      <c r="AA1288" s="18"/>
      <c r="AC1288" s="31"/>
      <c r="AE1288" s="18"/>
      <c r="AG1288" s="29"/>
    </row>
    <row r="1289" spans="1:33">
      <c r="A1289" s="29"/>
      <c r="B1289" s="29"/>
      <c r="C1289" s="29"/>
      <c r="D1289" s="29"/>
      <c r="E1289" s="30"/>
      <c r="F1289" s="30"/>
      <c r="X1289" s="29"/>
      <c r="Y1289" s="29"/>
      <c r="AA1289" s="18"/>
      <c r="AC1289" s="31"/>
      <c r="AE1289" s="18"/>
      <c r="AG1289" s="29"/>
    </row>
    <row r="1290" spans="1:33">
      <c r="A1290" s="29"/>
      <c r="B1290" s="29"/>
      <c r="C1290" s="29"/>
      <c r="D1290" s="29"/>
      <c r="E1290" s="30"/>
      <c r="F1290" s="30"/>
      <c r="X1290" s="29"/>
      <c r="Y1290" s="29"/>
      <c r="AA1290" s="18"/>
      <c r="AC1290" s="31"/>
      <c r="AE1290" s="18"/>
      <c r="AG1290" s="29"/>
    </row>
    <row r="1291" spans="1:33">
      <c r="A1291" s="29"/>
      <c r="B1291" s="29"/>
      <c r="C1291" s="29"/>
      <c r="D1291" s="29"/>
      <c r="E1291" s="30"/>
      <c r="F1291" s="30"/>
      <c r="X1291" s="29"/>
      <c r="Y1291" s="29"/>
      <c r="AA1291" s="18"/>
      <c r="AC1291" s="31"/>
      <c r="AE1291" s="18"/>
      <c r="AG1291" s="29"/>
    </row>
    <row r="1292" spans="1:33">
      <c r="A1292" s="29"/>
      <c r="B1292" s="29"/>
      <c r="C1292" s="29"/>
      <c r="D1292" s="29"/>
      <c r="E1292" s="30"/>
      <c r="F1292" s="30"/>
      <c r="X1292" s="29"/>
      <c r="Y1292" s="29"/>
      <c r="AA1292" s="18"/>
      <c r="AC1292" s="31"/>
      <c r="AE1292" s="18"/>
      <c r="AG1292" s="29"/>
    </row>
    <row r="1293" spans="1:33">
      <c r="A1293" s="29"/>
      <c r="B1293" s="29"/>
      <c r="C1293" s="29"/>
      <c r="D1293" s="29"/>
      <c r="E1293" s="30"/>
      <c r="F1293" s="30"/>
      <c r="X1293" s="29"/>
      <c r="Y1293" s="29"/>
      <c r="AA1293" s="18"/>
      <c r="AC1293" s="31"/>
      <c r="AE1293" s="18"/>
      <c r="AG1293" s="29"/>
    </row>
    <row r="1294" spans="1:33">
      <c r="A1294" s="29"/>
      <c r="B1294" s="29"/>
      <c r="C1294" s="29"/>
      <c r="D1294" s="29"/>
      <c r="E1294" s="30"/>
      <c r="F1294" s="30"/>
      <c r="X1294" s="29"/>
      <c r="Y1294" s="29"/>
      <c r="AA1294" s="18"/>
      <c r="AC1294" s="31"/>
      <c r="AE1294" s="18"/>
      <c r="AG1294" s="29"/>
    </row>
    <row r="1295" spans="1:33">
      <c r="A1295" s="29"/>
      <c r="B1295" s="29"/>
      <c r="C1295" s="29"/>
      <c r="D1295" s="29"/>
      <c r="E1295" s="30"/>
      <c r="F1295" s="30"/>
      <c r="X1295" s="29"/>
      <c r="Y1295" s="29"/>
      <c r="AA1295" s="18"/>
      <c r="AC1295" s="31"/>
      <c r="AE1295" s="18"/>
      <c r="AG1295" s="29"/>
    </row>
    <row r="1296" spans="1:33">
      <c r="A1296" s="29"/>
      <c r="B1296" s="29"/>
      <c r="C1296" s="29"/>
      <c r="D1296" s="29"/>
      <c r="E1296" s="30"/>
      <c r="F1296" s="30"/>
      <c r="X1296" s="29"/>
      <c r="Y1296" s="29"/>
      <c r="AA1296" s="18"/>
      <c r="AC1296" s="31"/>
      <c r="AE1296" s="18"/>
      <c r="AG1296" s="29"/>
    </row>
    <row r="1297" spans="1:33">
      <c r="A1297" s="29"/>
      <c r="B1297" s="29"/>
      <c r="C1297" s="29"/>
      <c r="D1297" s="29"/>
      <c r="E1297" s="30"/>
      <c r="F1297" s="30"/>
      <c r="X1297" s="29"/>
      <c r="Y1297" s="29"/>
      <c r="AA1297" s="18"/>
      <c r="AC1297" s="31"/>
      <c r="AE1297" s="18"/>
      <c r="AG1297" s="29"/>
    </row>
    <row r="1298" spans="1:33">
      <c r="A1298" s="29"/>
      <c r="B1298" s="29"/>
      <c r="C1298" s="29"/>
      <c r="D1298" s="29"/>
      <c r="E1298" s="30"/>
      <c r="F1298" s="30"/>
      <c r="X1298" s="29"/>
      <c r="Y1298" s="29"/>
      <c r="AA1298" s="18"/>
      <c r="AC1298" s="31"/>
      <c r="AE1298" s="18"/>
      <c r="AG1298" s="29"/>
    </row>
    <row r="1299" spans="1:33">
      <c r="A1299" s="29"/>
      <c r="B1299" s="29"/>
      <c r="C1299" s="29"/>
      <c r="D1299" s="29"/>
      <c r="E1299" s="30"/>
      <c r="F1299" s="30"/>
      <c r="X1299" s="29"/>
      <c r="Y1299" s="29"/>
      <c r="AA1299" s="18"/>
      <c r="AC1299" s="31"/>
      <c r="AE1299" s="18"/>
      <c r="AG1299" s="29"/>
    </row>
    <row r="1300" spans="1:33">
      <c r="A1300" s="29"/>
      <c r="B1300" s="29"/>
      <c r="C1300" s="29"/>
      <c r="D1300" s="29"/>
      <c r="E1300" s="30"/>
      <c r="F1300" s="30"/>
      <c r="X1300" s="29"/>
      <c r="Y1300" s="29"/>
      <c r="AA1300" s="18"/>
      <c r="AC1300" s="31"/>
      <c r="AE1300" s="18"/>
      <c r="AG1300" s="29"/>
    </row>
    <row r="1301" spans="1:33">
      <c r="A1301" s="29"/>
      <c r="B1301" s="29"/>
      <c r="C1301" s="29"/>
      <c r="D1301" s="29"/>
      <c r="E1301" s="30"/>
      <c r="F1301" s="30"/>
      <c r="X1301" s="29"/>
      <c r="Y1301" s="29"/>
      <c r="AA1301" s="18"/>
      <c r="AC1301" s="31"/>
      <c r="AE1301" s="18"/>
      <c r="AG1301" s="29"/>
    </row>
    <row r="1302" spans="1:33">
      <c r="A1302" s="29"/>
      <c r="B1302" s="29"/>
      <c r="C1302" s="29"/>
      <c r="D1302" s="29"/>
      <c r="E1302" s="30"/>
      <c r="F1302" s="30"/>
      <c r="X1302" s="29"/>
      <c r="Y1302" s="29"/>
      <c r="AA1302" s="18"/>
      <c r="AC1302" s="31"/>
      <c r="AE1302" s="18"/>
      <c r="AG1302" s="29"/>
    </row>
    <row r="1303" spans="1:33">
      <c r="A1303" s="29"/>
      <c r="B1303" s="29"/>
      <c r="C1303" s="29"/>
      <c r="D1303" s="29"/>
      <c r="E1303" s="30"/>
      <c r="F1303" s="30"/>
      <c r="X1303" s="29"/>
      <c r="Y1303" s="29"/>
      <c r="AA1303" s="18"/>
      <c r="AC1303" s="31"/>
      <c r="AE1303" s="18"/>
      <c r="AG1303" s="29"/>
    </row>
    <row r="1304" spans="1:33">
      <c r="A1304" s="29"/>
      <c r="B1304" s="29"/>
      <c r="C1304" s="29"/>
      <c r="D1304" s="29"/>
      <c r="E1304" s="30"/>
      <c r="F1304" s="30"/>
      <c r="X1304" s="29"/>
      <c r="Y1304" s="29"/>
      <c r="AA1304" s="18"/>
      <c r="AC1304" s="31"/>
      <c r="AE1304" s="18"/>
      <c r="AG1304" s="29"/>
    </row>
    <row r="1305" spans="1:33">
      <c r="A1305" s="29"/>
      <c r="B1305" s="29"/>
      <c r="C1305" s="29"/>
      <c r="D1305" s="29"/>
      <c r="E1305" s="30"/>
      <c r="F1305" s="30"/>
      <c r="X1305" s="29"/>
      <c r="Y1305" s="29"/>
      <c r="AA1305" s="18"/>
      <c r="AC1305" s="31"/>
      <c r="AE1305" s="18"/>
      <c r="AG1305" s="29"/>
    </row>
    <row r="1306" spans="1:33">
      <c r="A1306" s="29"/>
      <c r="B1306" s="29"/>
      <c r="C1306" s="29"/>
      <c r="D1306" s="29"/>
      <c r="E1306" s="30"/>
      <c r="F1306" s="30"/>
      <c r="X1306" s="29"/>
      <c r="Y1306" s="29"/>
      <c r="AA1306" s="18"/>
      <c r="AC1306" s="31"/>
      <c r="AE1306" s="18"/>
      <c r="AG1306" s="29"/>
    </row>
    <row r="1307" spans="1:33">
      <c r="A1307" s="29"/>
      <c r="B1307" s="29"/>
      <c r="C1307" s="29"/>
      <c r="D1307" s="29"/>
      <c r="E1307" s="30"/>
      <c r="F1307" s="30"/>
      <c r="X1307" s="29"/>
      <c r="Y1307" s="29"/>
      <c r="AA1307" s="18"/>
      <c r="AC1307" s="31"/>
      <c r="AE1307" s="18"/>
      <c r="AG1307" s="29"/>
    </row>
    <row r="1308" spans="1:33">
      <c r="A1308" s="29"/>
      <c r="B1308" s="29"/>
      <c r="C1308" s="29"/>
      <c r="D1308" s="29"/>
      <c r="E1308" s="30"/>
      <c r="F1308" s="30"/>
      <c r="X1308" s="29"/>
      <c r="Y1308" s="29"/>
      <c r="AA1308" s="18"/>
      <c r="AC1308" s="31"/>
      <c r="AE1308" s="18"/>
      <c r="AG1308" s="29"/>
    </row>
    <row r="1309" spans="1:33">
      <c r="A1309" s="29"/>
      <c r="B1309" s="29"/>
      <c r="C1309" s="29"/>
      <c r="D1309" s="29"/>
      <c r="E1309" s="30"/>
      <c r="F1309" s="30"/>
      <c r="X1309" s="29"/>
      <c r="Y1309" s="29"/>
      <c r="AA1309" s="18"/>
      <c r="AC1309" s="31"/>
      <c r="AE1309" s="18"/>
      <c r="AG1309" s="29"/>
    </row>
    <row r="1310" spans="1:33">
      <c r="A1310" s="29"/>
      <c r="B1310" s="29"/>
      <c r="C1310" s="29"/>
      <c r="D1310" s="29"/>
      <c r="E1310" s="30"/>
      <c r="F1310" s="30"/>
      <c r="X1310" s="29"/>
      <c r="Y1310" s="29"/>
      <c r="AA1310" s="18"/>
      <c r="AC1310" s="31"/>
      <c r="AE1310" s="18"/>
      <c r="AG1310" s="29"/>
    </row>
    <row r="1311" spans="1:33">
      <c r="A1311" s="29"/>
      <c r="B1311" s="29"/>
      <c r="C1311" s="29"/>
      <c r="D1311" s="29"/>
      <c r="E1311" s="30"/>
      <c r="F1311" s="30"/>
      <c r="X1311" s="29"/>
      <c r="Y1311" s="29"/>
      <c r="AA1311" s="18"/>
      <c r="AC1311" s="31"/>
      <c r="AE1311" s="18"/>
      <c r="AG1311" s="29"/>
    </row>
    <row r="1312" spans="1:33">
      <c r="A1312" s="29"/>
      <c r="B1312" s="29"/>
      <c r="C1312" s="29"/>
      <c r="D1312" s="29"/>
      <c r="E1312" s="30"/>
      <c r="F1312" s="30"/>
      <c r="X1312" s="29"/>
      <c r="Y1312" s="29"/>
      <c r="AA1312" s="18"/>
      <c r="AC1312" s="31"/>
      <c r="AE1312" s="18"/>
      <c r="AG1312" s="29"/>
    </row>
    <row r="1313" spans="1:33">
      <c r="A1313" s="29"/>
      <c r="B1313" s="29"/>
      <c r="C1313" s="29"/>
      <c r="D1313" s="29"/>
      <c r="E1313" s="30"/>
      <c r="F1313" s="30"/>
      <c r="X1313" s="29"/>
      <c r="Y1313" s="29"/>
      <c r="AA1313" s="18"/>
      <c r="AC1313" s="31"/>
      <c r="AE1313" s="18"/>
      <c r="AG1313" s="29"/>
    </row>
    <row r="1314" spans="1:33">
      <c r="A1314" s="29"/>
      <c r="B1314" s="29"/>
      <c r="C1314" s="29"/>
      <c r="D1314" s="29"/>
      <c r="E1314" s="30"/>
      <c r="F1314" s="30"/>
      <c r="X1314" s="29"/>
      <c r="Y1314" s="29"/>
      <c r="AA1314" s="18"/>
      <c r="AC1314" s="31"/>
      <c r="AE1314" s="18"/>
      <c r="AG1314" s="29"/>
    </row>
    <row r="1315" spans="1:33">
      <c r="A1315" s="29"/>
      <c r="B1315" s="29"/>
      <c r="C1315" s="29"/>
      <c r="D1315" s="29"/>
      <c r="E1315" s="30"/>
      <c r="F1315" s="30"/>
      <c r="X1315" s="29"/>
      <c r="Y1315" s="29"/>
      <c r="AA1315" s="18"/>
      <c r="AC1315" s="31"/>
      <c r="AE1315" s="18"/>
      <c r="AG1315" s="29"/>
    </row>
    <row r="1316" spans="1:33">
      <c r="A1316" s="29"/>
      <c r="B1316" s="29"/>
      <c r="C1316" s="29"/>
      <c r="D1316" s="29"/>
      <c r="E1316" s="30"/>
      <c r="F1316" s="30"/>
      <c r="X1316" s="29"/>
      <c r="Y1316" s="29"/>
      <c r="AA1316" s="18"/>
      <c r="AC1316" s="31"/>
      <c r="AE1316" s="18"/>
      <c r="AG1316" s="29"/>
    </row>
    <row r="1317" spans="1:33">
      <c r="A1317" s="29"/>
      <c r="B1317" s="29"/>
      <c r="C1317" s="29"/>
      <c r="D1317" s="29"/>
      <c r="E1317" s="30"/>
      <c r="F1317" s="30"/>
      <c r="X1317" s="29"/>
      <c r="Y1317" s="29"/>
      <c r="AA1317" s="18"/>
      <c r="AC1317" s="31"/>
      <c r="AE1317" s="18"/>
      <c r="AG1317" s="29"/>
    </row>
    <row r="1318" spans="1:33">
      <c r="A1318" s="29"/>
      <c r="B1318" s="29"/>
      <c r="C1318" s="29"/>
      <c r="D1318" s="29"/>
      <c r="E1318" s="30"/>
      <c r="F1318" s="30"/>
      <c r="X1318" s="29"/>
      <c r="Y1318" s="29"/>
      <c r="AA1318" s="18"/>
      <c r="AC1318" s="31"/>
      <c r="AE1318" s="18"/>
      <c r="AG1318" s="29"/>
    </row>
    <row r="1319" spans="1:33">
      <c r="A1319" s="29"/>
      <c r="B1319" s="29"/>
      <c r="C1319" s="29"/>
      <c r="D1319" s="29"/>
      <c r="E1319" s="30"/>
      <c r="F1319" s="30"/>
      <c r="X1319" s="29"/>
      <c r="Y1319" s="29"/>
      <c r="AA1319" s="18"/>
      <c r="AC1319" s="31"/>
      <c r="AE1319" s="18"/>
      <c r="AG1319" s="29"/>
    </row>
    <row r="1320" spans="1:33">
      <c r="A1320" s="29"/>
      <c r="B1320" s="29"/>
      <c r="C1320" s="29"/>
      <c r="D1320" s="29"/>
      <c r="E1320" s="30"/>
      <c r="F1320" s="30"/>
      <c r="X1320" s="29"/>
      <c r="Y1320" s="29"/>
      <c r="AA1320" s="18"/>
      <c r="AC1320" s="31"/>
      <c r="AE1320" s="18"/>
      <c r="AG1320" s="29"/>
    </row>
    <row r="1321" spans="1:33">
      <c r="A1321" s="29"/>
      <c r="B1321" s="29"/>
      <c r="C1321" s="29"/>
      <c r="D1321" s="29"/>
      <c r="E1321" s="30"/>
      <c r="F1321" s="30"/>
      <c r="X1321" s="29"/>
      <c r="Y1321" s="29"/>
      <c r="AA1321" s="18"/>
      <c r="AC1321" s="31"/>
      <c r="AE1321" s="18"/>
      <c r="AG1321" s="29"/>
    </row>
    <row r="1322" spans="1:33">
      <c r="A1322" s="29"/>
      <c r="B1322" s="29"/>
      <c r="C1322" s="29"/>
      <c r="D1322" s="29"/>
      <c r="E1322" s="30"/>
      <c r="F1322" s="30"/>
      <c r="X1322" s="29"/>
      <c r="Y1322" s="29"/>
      <c r="AA1322" s="18"/>
      <c r="AC1322" s="31"/>
      <c r="AE1322" s="18"/>
      <c r="AG1322" s="29"/>
    </row>
    <row r="1323" spans="1:33">
      <c r="A1323" s="29"/>
      <c r="B1323" s="29"/>
      <c r="C1323" s="29"/>
      <c r="D1323" s="29"/>
      <c r="E1323" s="30"/>
      <c r="F1323" s="30"/>
      <c r="X1323" s="29"/>
      <c r="Y1323" s="29"/>
      <c r="AA1323" s="18"/>
      <c r="AC1323" s="31"/>
      <c r="AE1323" s="18"/>
      <c r="AG1323" s="29"/>
    </row>
    <row r="1324" spans="1:33">
      <c r="A1324" s="29"/>
      <c r="B1324" s="29"/>
      <c r="C1324" s="29"/>
      <c r="D1324" s="29"/>
      <c r="E1324" s="30"/>
      <c r="F1324" s="30"/>
      <c r="X1324" s="29"/>
      <c r="Y1324" s="29"/>
      <c r="AA1324" s="18"/>
      <c r="AC1324" s="31"/>
      <c r="AE1324" s="18"/>
      <c r="AG1324" s="29"/>
    </row>
    <row r="1325" spans="1:33">
      <c r="A1325" s="29"/>
      <c r="B1325" s="29"/>
      <c r="C1325" s="29"/>
      <c r="D1325" s="29"/>
      <c r="E1325" s="30"/>
      <c r="F1325" s="30"/>
      <c r="X1325" s="29"/>
      <c r="Y1325" s="29"/>
      <c r="AA1325" s="18"/>
      <c r="AC1325" s="31"/>
      <c r="AE1325" s="18"/>
      <c r="AG1325" s="29"/>
    </row>
    <row r="1326" spans="1:33">
      <c r="A1326" s="29"/>
      <c r="B1326" s="29"/>
      <c r="C1326" s="29"/>
      <c r="D1326" s="29"/>
      <c r="E1326" s="30"/>
      <c r="F1326" s="30"/>
      <c r="X1326" s="29"/>
      <c r="Y1326" s="29"/>
      <c r="AA1326" s="18"/>
      <c r="AC1326" s="31"/>
      <c r="AE1326" s="18"/>
      <c r="AG1326" s="29"/>
    </row>
    <row r="1327" spans="1:33">
      <c r="A1327" s="29"/>
      <c r="B1327" s="29"/>
      <c r="C1327" s="29"/>
      <c r="D1327" s="29"/>
      <c r="E1327" s="30"/>
      <c r="F1327" s="30"/>
      <c r="X1327" s="29"/>
      <c r="Y1327" s="29"/>
      <c r="AA1327" s="18"/>
      <c r="AC1327" s="31"/>
      <c r="AE1327" s="18"/>
      <c r="AG1327" s="29"/>
    </row>
    <row r="1328" spans="1:33">
      <c r="A1328" s="29"/>
      <c r="B1328" s="29"/>
      <c r="C1328" s="29"/>
      <c r="D1328" s="29"/>
      <c r="E1328" s="30"/>
      <c r="F1328" s="30"/>
      <c r="X1328" s="29"/>
      <c r="Y1328" s="29"/>
      <c r="AA1328" s="18"/>
      <c r="AC1328" s="31"/>
      <c r="AE1328" s="18"/>
      <c r="AG1328" s="29"/>
    </row>
    <row r="1329" spans="1:33">
      <c r="A1329" s="29"/>
      <c r="B1329" s="29"/>
      <c r="C1329" s="29"/>
      <c r="D1329" s="29"/>
      <c r="E1329" s="30"/>
      <c r="F1329" s="30"/>
      <c r="X1329" s="29"/>
      <c r="Y1329" s="29"/>
      <c r="AA1329" s="18"/>
      <c r="AC1329" s="31"/>
      <c r="AE1329" s="18"/>
      <c r="AG1329" s="29"/>
    </row>
    <row r="1330" spans="1:33">
      <c r="A1330" s="29"/>
      <c r="B1330" s="29"/>
      <c r="C1330" s="29"/>
      <c r="D1330" s="29"/>
      <c r="E1330" s="30"/>
      <c r="F1330" s="30"/>
      <c r="X1330" s="29"/>
      <c r="Y1330" s="29"/>
      <c r="AA1330" s="18"/>
      <c r="AC1330" s="31"/>
      <c r="AE1330" s="18"/>
      <c r="AG1330" s="29"/>
    </row>
    <row r="1331" spans="1:33">
      <c r="A1331" s="29"/>
      <c r="B1331" s="29"/>
      <c r="C1331" s="29"/>
      <c r="D1331" s="29"/>
      <c r="E1331" s="30"/>
      <c r="F1331" s="30"/>
      <c r="X1331" s="29"/>
      <c r="Y1331" s="29"/>
      <c r="AA1331" s="18"/>
      <c r="AC1331" s="31"/>
      <c r="AE1331" s="18"/>
      <c r="AG1331" s="29"/>
    </row>
    <row r="1332" spans="1:33">
      <c r="A1332" s="29"/>
      <c r="B1332" s="29"/>
      <c r="C1332" s="29"/>
      <c r="D1332" s="29"/>
      <c r="E1332" s="30"/>
      <c r="F1332" s="30"/>
      <c r="X1332" s="29"/>
      <c r="Y1332" s="29"/>
      <c r="AA1332" s="18"/>
      <c r="AC1332" s="31"/>
      <c r="AE1332" s="18"/>
      <c r="AG1332" s="29"/>
    </row>
    <row r="1333" spans="1:33">
      <c r="A1333" s="29"/>
      <c r="B1333" s="29"/>
      <c r="C1333" s="29"/>
      <c r="D1333" s="29"/>
      <c r="E1333" s="30"/>
      <c r="F1333" s="30"/>
      <c r="X1333" s="29"/>
      <c r="Y1333" s="29"/>
      <c r="AA1333" s="18"/>
      <c r="AC1333" s="31"/>
      <c r="AE1333" s="18"/>
      <c r="AG1333" s="29"/>
    </row>
    <row r="1334" spans="1:33">
      <c r="A1334" s="29"/>
      <c r="B1334" s="29"/>
      <c r="C1334" s="29"/>
      <c r="D1334" s="29"/>
      <c r="E1334" s="30"/>
      <c r="F1334" s="30"/>
      <c r="X1334" s="29"/>
      <c r="Y1334" s="29"/>
      <c r="AA1334" s="18"/>
      <c r="AC1334" s="31"/>
      <c r="AE1334" s="18"/>
      <c r="AG1334" s="29"/>
    </row>
    <row r="1335" spans="1:33">
      <c r="A1335" s="29"/>
      <c r="B1335" s="29"/>
      <c r="C1335" s="29"/>
      <c r="D1335" s="29"/>
      <c r="E1335" s="30"/>
      <c r="F1335" s="30"/>
      <c r="X1335" s="29"/>
      <c r="Y1335" s="29"/>
      <c r="AA1335" s="18"/>
      <c r="AC1335" s="31"/>
      <c r="AE1335" s="18"/>
      <c r="AG1335" s="29"/>
    </row>
    <row r="1336" spans="1:33">
      <c r="A1336" s="29"/>
      <c r="B1336" s="29"/>
      <c r="C1336" s="29"/>
      <c r="D1336" s="29"/>
      <c r="E1336" s="30"/>
      <c r="F1336" s="30"/>
      <c r="X1336" s="29"/>
      <c r="Y1336" s="29"/>
      <c r="AA1336" s="18"/>
      <c r="AC1336" s="31"/>
      <c r="AE1336" s="18"/>
      <c r="AG1336" s="29"/>
    </row>
    <row r="1337" spans="1:33">
      <c r="A1337" s="29"/>
      <c r="B1337" s="29"/>
      <c r="C1337" s="29"/>
      <c r="D1337" s="29"/>
      <c r="E1337" s="30"/>
      <c r="F1337" s="30"/>
      <c r="X1337" s="29"/>
      <c r="Y1337" s="29"/>
      <c r="AA1337" s="18"/>
      <c r="AC1337" s="31"/>
      <c r="AE1337" s="18"/>
      <c r="AG1337" s="29"/>
    </row>
    <row r="1338" spans="1:33">
      <c r="A1338" s="29"/>
      <c r="B1338" s="29"/>
      <c r="C1338" s="29"/>
      <c r="D1338" s="29"/>
      <c r="E1338" s="30"/>
      <c r="F1338" s="30"/>
      <c r="X1338" s="29"/>
      <c r="Y1338" s="29"/>
      <c r="AA1338" s="18"/>
      <c r="AC1338" s="31"/>
      <c r="AE1338" s="18"/>
      <c r="AG1338" s="29"/>
    </row>
    <row r="1339" spans="1:33">
      <c r="A1339" s="29"/>
      <c r="B1339" s="29"/>
      <c r="C1339" s="29"/>
      <c r="D1339" s="29"/>
      <c r="E1339" s="30"/>
      <c r="F1339" s="30"/>
      <c r="X1339" s="29"/>
      <c r="Y1339" s="29"/>
      <c r="AA1339" s="18"/>
      <c r="AC1339" s="31"/>
      <c r="AE1339" s="18"/>
      <c r="AG1339" s="29"/>
    </row>
    <row r="1340" spans="1:33">
      <c r="A1340" s="29"/>
      <c r="B1340" s="29"/>
      <c r="C1340" s="29"/>
      <c r="D1340" s="29"/>
      <c r="E1340" s="30"/>
      <c r="F1340" s="30"/>
      <c r="X1340" s="29"/>
      <c r="Y1340" s="29"/>
      <c r="AA1340" s="18"/>
      <c r="AC1340" s="31"/>
      <c r="AE1340" s="18"/>
      <c r="AG1340" s="29"/>
    </row>
    <row r="1341" spans="1:33">
      <c r="A1341" s="29"/>
      <c r="B1341" s="29"/>
      <c r="C1341" s="29"/>
      <c r="D1341" s="29"/>
      <c r="E1341" s="30"/>
      <c r="F1341" s="30"/>
      <c r="X1341" s="29"/>
      <c r="Y1341" s="29"/>
      <c r="AA1341" s="18"/>
      <c r="AC1341" s="31"/>
      <c r="AE1341" s="18"/>
      <c r="AG1341" s="29"/>
    </row>
    <row r="1342" spans="1:33">
      <c r="A1342" s="29"/>
      <c r="B1342" s="29"/>
      <c r="C1342" s="29"/>
      <c r="D1342" s="29"/>
      <c r="E1342" s="30"/>
      <c r="F1342" s="30"/>
      <c r="X1342" s="29"/>
      <c r="Y1342" s="29"/>
      <c r="AA1342" s="18"/>
      <c r="AC1342" s="31"/>
      <c r="AE1342" s="18"/>
      <c r="AG1342" s="29"/>
    </row>
    <row r="1343" spans="1:33">
      <c r="A1343" s="29"/>
      <c r="B1343" s="29"/>
      <c r="C1343" s="29"/>
      <c r="D1343" s="29"/>
      <c r="E1343" s="30"/>
      <c r="F1343" s="30"/>
      <c r="X1343" s="29"/>
      <c r="Y1343" s="29"/>
      <c r="AA1343" s="18"/>
      <c r="AC1343" s="31"/>
      <c r="AE1343" s="18"/>
      <c r="AG1343" s="29"/>
    </row>
    <row r="1344" spans="1:33">
      <c r="A1344" s="29"/>
      <c r="B1344" s="29"/>
      <c r="C1344" s="29"/>
      <c r="D1344" s="29"/>
      <c r="E1344" s="30"/>
      <c r="F1344" s="30"/>
      <c r="X1344" s="29"/>
      <c r="Y1344" s="29"/>
      <c r="AA1344" s="18"/>
      <c r="AC1344" s="31"/>
      <c r="AE1344" s="18"/>
      <c r="AG1344" s="29"/>
    </row>
    <row r="1345" spans="1:33">
      <c r="A1345" s="29"/>
      <c r="B1345" s="29"/>
      <c r="C1345" s="29"/>
      <c r="D1345" s="29"/>
      <c r="E1345" s="30"/>
      <c r="F1345" s="30"/>
      <c r="X1345" s="29"/>
      <c r="Y1345" s="29"/>
      <c r="AA1345" s="18"/>
      <c r="AC1345" s="31"/>
      <c r="AE1345" s="18"/>
      <c r="AG1345" s="29"/>
    </row>
    <row r="1346" spans="1:33">
      <c r="A1346" s="29"/>
      <c r="B1346" s="29"/>
      <c r="C1346" s="29"/>
      <c r="D1346" s="29"/>
      <c r="E1346" s="30"/>
      <c r="F1346" s="30"/>
      <c r="X1346" s="29"/>
      <c r="Y1346" s="29"/>
      <c r="AA1346" s="18"/>
      <c r="AC1346" s="31"/>
      <c r="AE1346" s="18"/>
      <c r="AG1346" s="29"/>
    </row>
    <row r="1347" spans="1:33">
      <c r="A1347" s="29"/>
      <c r="B1347" s="29"/>
      <c r="C1347" s="29"/>
      <c r="D1347" s="29"/>
      <c r="E1347" s="30"/>
      <c r="F1347" s="30"/>
      <c r="X1347" s="29"/>
      <c r="Y1347" s="29"/>
      <c r="AA1347" s="18"/>
      <c r="AC1347" s="31"/>
      <c r="AE1347" s="18"/>
      <c r="AG1347" s="29"/>
    </row>
    <row r="1348" spans="1:33">
      <c r="A1348" s="29"/>
      <c r="B1348" s="29"/>
      <c r="C1348" s="29"/>
      <c r="D1348" s="29"/>
      <c r="E1348" s="30"/>
      <c r="F1348" s="30"/>
      <c r="X1348" s="29"/>
      <c r="Y1348" s="29"/>
      <c r="AA1348" s="18"/>
      <c r="AC1348" s="31"/>
      <c r="AE1348" s="18"/>
      <c r="AG1348" s="29"/>
    </row>
    <row r="1349" spans="1:33">
      <c r="A1349" s="29"/>
      <c r="B1349" s="29"/>
      <c r="C1349" s="29"/>
      <c r="D1349" s="29"/>
      <c r="E1349" s="30"/>
      <c r="F1349" s="30"/>
      <c r="X1349" s="29"/>
      <c r="Y1349" s="29"/>
      <c r="AA1349" s="18"/>
      <c r="AC1349" s="31"/>
      <c r="AE1349" s="18"/>
      <c r="AG1349" s="29"/>
    </row>
    <row r="1350" spans="1:33">
      <c r="A1350" s="29"/>
      <c r="B1350" s="29"/>
      <c r="C1350" s="29"/>
      <c r="D1350" s="29"/>
      <c r="E1350" s="30"/>
      <c r="F1350" s="30"/>
      <c r="X1350" s="29"/>
      <c r="Y1350" s="29"/>
      <c r="AA1350" s="18"/>
      <c r="AC1350" s="31"/>
      <c r="AE1350" s="18"/>
      <c r="AG1350" s="29"/>
    </row>
    <row r="1351" spans="1:33">
      <c r="A1351" s="29"/>
      <c r="B1351" s="29"/>
      <c r="C1351" s="29"/>
      <c r="D1351" s="29"/>
      <c r="E1351" s="30"/>
      <c r="F1351" s="30"/>
      <c r="X1351" s="29"/>
      <c r="Y1351" s="29"/>
      <c r="AA1351" s="18"/>
      <c r="AC1351" s="31"/>
      <c r="AE1351" s="18"/>
      <c r="AG1351" s="29"/>
    </row>
    <row r="1352" spans="1:33">
      <c r="A1352" s="29"/>
      <c r="B1352" s="29"/>
      <c r="C1352" s="29"/>
      <c r="D1352" s="29"/>
      <c r="E1352" s="30"/>
      <c r="F1352" s="30"/>
      <c r="X1352" s="29"/>
      <c r="Y1352" s="29"/>
      <c r="AA1352" s="18"/>
      <c r="AC1352" s="31"/>
      <c r="AE1352" s="18"/>
      <c r="AG1352" s="29"/>
    </row>
    <row r="1353" spans="1:33">
      <c r="A1353" s="29"/>
      <c r="B1353" s="29"/>
      <c r="C1353" s="29"/>
      <c r="D1353" s="29"/>
      <c r="E1353" s="30"/>
      <c r="F1353" s="30"/>
      <c r="X1353" s="29"/>
      <c r="Y1353" s="29"/>
      <c r="AA1353" s="18"/>
      <c r="AC1353" s="31"/>
      <c r="AE1353" s="18"/>
      <c r="AG1353" s="29"/>
    </row>
    <row r="1354" spans="1:33">
      <c r="A1354" s="29"/>
      <c r="B1354" s="29"/>
      <c r="C1354" s="29"/>
      <c r="D1354" s="29"/>
      <c r="E1354" s="30"/>
      <c r="F1354" s="30"/>
      <c r="X1354" s="29"/>
      <c r="Y1354" s="29"/>
      <c r="AA1354" s="18"/>
      <c r="AC1354" s="31"/>
      <c r="AE1354" s="18"/>
      <c r="AG1354" s="29"/>
    </row>
    <row r="1355" spans="1:33">
      <c r="A1355" s="29"/>
      <c r="B1355" s="29"/>
      <c r="C1355" s="29"/>
      <c r="D1355" s="29"/>
      <c r="E1355" s="30"/>
      <c r="F1355" s="30"/>
      <c r="X1355" s="29"/>
      <c r="Y1355" s="29"/>
      <c r="AA1355" s="18"/>
      <c r="AC1355" s="31"/>
      <c r="AE1355" s="18"/>
      <c r="AG1355" s="29"/>
    </row>
    <row r="1356" spans="1:33">
      <c r="A1356" s="29"/>
      <c r="B1356" s="29"/>
      <c r="C1356" s="29"/>
      <c r="D1356" s="29"/>
      <c r="E1356" s="30"/>
      <c r="F1356" s="30"/>
      <c r="X1356" s="29"/>
      <c r="Y1356" s="29"/>
      <c r="AA1356" s="18"/>
      <c r="AC1356" s="31"/>
      <c r="AE1356" s="18"/>
      <c r="AG1356" s="29"/>
    </row>
    <row r="1357" spans="1:33">
      <c r="A1357" s="29"/>
      <c r="B1357" s="29"/>
      <c r="C1357" s="29"/>
      <c r="D1357" s="29"/>
      <c r="E1357" s="30"/>
      <c r="F1357" s="30"/>
      <c r="X1357" s="29"/>
      <c r="Y1357" s="29"/>
      <c r="AA1357" s="18"/>
      <c r="AC1357" s="31"/>
      <c r="AE1357" s="18"/>
      <c r="AG1357" s="29"/>
    </row>
    <row r="1358" spans="1:33">
      <c r="A1358" s="29"/>
      <c r="B1358" s="29"/>
      <c r="C1358" s="29"/>
      <c r="D1358" s="29"/>
      <c r="E1358" s="30"/>
      <c r="F1358" s="30"/>
      <c r="X1358" s="29"/>
      <c r="Y1358" s="29"/>
      <c r="AA1358" s="18"/>
      <c r="AC1358" s="31"/>
      <c r="AE1358" s="18"/>
      <c r="AG1358" s="29"/>
    </row>
    <row r="1359" spans="1:33">
      <c r="A1359" s="29"/>
      <c r="B1359" s="29"/>
      <c r="C1359" s="29"/>
      <c r="D1359" s="29"/>
      <c r="E1359" s="30"/>
      <c r="F1359" s="30"/>
      <c r="X1359" s="29"/>
      <c r="Y1359" s="29"/>
      <c r="AA1359" s="18"/>
      <c r="AC1359" s="31"/>
      <c r="AE1359" s="18"/>
      <c r="AG1359" s="29"/>
    </row>
    <row r="1360" spans="1:33">
      <c r="A1360" s="29"/>
      <c r="B1360" s="29"/>
      <c r="C1360" s="29"/>
      <c r="D1360" s="29"/>
      <c r="E1360" s="30"/>
      <c r="F1360" s="30"/>
      <c r="X1360" s="29"/>
      <c r="Y1360" s="29"/>
      <c r="AA1360" s="18"/>
      <c r="AC1360" s="30"/>
      <c r="AE1360" s="18"/>
      <c r="AG1360" s="29"/>
    </row>
    <row r="1361" spans="1:33">
      <c r="A1361" s="29"/>
      <c r="B1361" s="29"/>
      <c r="C1361" s="29"/>
      <c r="D1361" s="29"/>
      <c r="E1361" s="30"/>
      <c r="F1361" s="30"/>
      <c r="X1361" s="29"/>
      <c r="Y1361" s="29"/>
      <c r="AA1361" s="18"/>
      <c r="AC1361" s="30"/>
      <c r="AE1361" s="18"/>
      <c r="AG1361" s="29"/>
    </row>
    <row r="1362" spans="1:33">
      <c r="A1362" s="29"/>
      <c r="B1362" s="29"/>
      <c r="C1362" s="29"/>
      <c r="D1362" s="29"/>
      <c r="E1362" s="30"/>
      <c r="F1362" s="30"/>
      <c r="X1362" s="29"/>
      <c r="Y1362" s="29"/>
      <c r="AA1362" s="18"/>
      <c r="AC1362" s="31"/>
      <c r="AE1362" s="18"/>
      <c r="AG1362" s="29"/>
    </row>
    <row r="1363" spans="1:33">
      <c r="A1363" s="29"/>
      <c r="B1363" s="29"/>
      <c r="C1363" s="29"/>
      <c r="D1363" s="29"/>
      <c r="E1363" s="30"/>
      <c r="F1363" s="30"/>
      <c r="X1363" s="29"/>
      <c r="Y1363" s="29"/>
      <c r="AA1363" s="18"/>
      <c r="AC1363" s="31"/>
      <c r="AE1363" s="18"/>
      <c r="AG1363" s="29"/>
    </row>
    <row r="1364" spans="1:33">
      <c r="A1364" s="29"/>
      <c r="B1364" s="29"/>
      <c r="C1364" s="29"/>
      <c r="D1364" s="29"/>
      <c r="E1364" s="30"/>
      <c r="F1364" s="30"/>
      <c r="X1364" s="29"/>
      <c r="Y1364" s="29"/>
      <c r="AA1364" s="18"/>
      <c r="AC1364" s="31"/>
      <c r="AE1364" s="18"/>
      <c r="AG1364" s="29"/>
    </row>
    <row r="1365" spans="1:33">
      <c r="A1365" s="29"/>
      <c r="B1365" s="29"/>
      <c r="C1365" s="29"/>
      <c r="D1365" s="29"/>
      <c r="E1365" s="30"/>
      <c r="F1365" s="30"/>
      <c r="X1365" s="29"/>
      <c r="Y1365" s="29"/>
      <c r="AA1365" s="18"/>
      <c r="AC1365" s="31"/>
      <c r="AE1365" s="18"/>
      <c r="AG1365" s="29"/>
    </row>
    <row r="1366" spans="1:33">
      <c r="A1366" s="29"/>
      <c r="B1366" s="29"/>
      <c r="C1366" s="29"/>
      <c r="D1366" s="29"/>
      <c r="E1366" s="30"/>
      <c r="F1366" s="30"/>
      <c r="X1366" s="29"/>
      <c r="Y1366" s="29"/>
      <c r="AA1366" s="18"/>
      <c r="AC1366" s="31"/>
      <c r="AE1366" s="18"/>
      <c r="AG1366" s="29"/>
    </row>
    <row r="1367" spans="1:33">
      <c r="A1367" s="29"/>
      <c r="B1367" s="29"/>
      <c r="C1367" s="29"/>
      <c r="D1367" s="29"/>
      <c r="E1367" s="30"/>
      <c r="F1367" s="30"/>
      <c r="X1367" s="29"/>
      <c r="Y1367" s="29"/>
      <c r="AA1367" s="18"/>
      <c r="AC1367" s="31"/>
      <c r="AE1367" s="18"/>
      <c r="AG1367" s="29"/>
    </row>
    <row r="1368" spans="1:33">
      <c r="A1368" s="29"/>
      <c r="B1368" s="29"/>
      <c r="C1368" s="29"/>
      <c r="D1368" s="29"/>
      <c r="E1368" s="30"/>
      <c r="F1368" s="30"/>
      <c r="X1368" s="29"/>
      <c r="Y1368" s="29"/>
      <c r="AA1368" s="18"/>
      <c r="AC1368" s="31"/>
      <c r="AE1368" s="18"/>
      <c r="AG1368" s="29"/>
    </row>
    <row r="1369" spans="1:33">
      <c r="A1369" s="29"/>
      <c r="B1369" s="29"/>
      <c r="C1369" s="29"/>
      <c r="D1369" s="29"/>
      <c r="E1369" s="30"/>
      <c r="F1369" s="30"/>
      <c r="X1369" s="29"/>
      <c r="Y1369" s="29"/>
      <c r="AA1369" s="18"/>
      <c r="AC1369" s="31"/>
      <c r="AE1369" s="18"/>
      <c r="AG1369" s="29"/>
    </row>
    <row r="1370" spans="1:33">
      <c r="A1370" s="29"/>
      <c r="B1370" s="29"/>
      <c r="C1370" s="29"/>
      <c r="D1370" s="29"/>
      <c r="E1370" s="30"/>
      <c r="F1370" s="30"/>
      <c r="X1370" s="29"/>
      <c r="Y1370" s="29"/>
      <c r="AA1370" s="18"/>
      <c r="AC1370" s="31"/>
      <c r="AE1370" s="18"/>
      <c r="AG1370" s="29"/>
    </row>
    <row r="1371" spans="1:33">
      <c r="A1371" s="29"/>
      <c r="B1371" s="29"/>
      <c r="C1371" s="29"/>
      <c r="D1371" s="29"/>
      <c r="E1371" s="30"/>
      <c r="F1371" s="30"/>
      <c r="X1371" s="29"/>
      <c r="Y1371" s="29"/>
      <c r="AA1371" s="18"/>
      <c r="AC1371" s="31"/>
      <c r="AE1371" s="18"/>
      <c r="AG1371" s="29"/>
    </row>
    <row r="1372" spans="1:33">
      <c r="A1372" s="29"/>
      <c r="B1372" s="29"/>
      <c r="C1372" s="29"/>
      <c r="D1372" s="29"/>
      <c r="E1372" s="30"/>
      <c r="F1372" s="30"/>
      <c r="X1372" s="29"/>
      <c r="Y1372" s="29"/>
      <c r="AA1372" s="18"/>
      <c r="AC1372" s="31"/>
      <c r="AE1372" s="18"/>
      <c r="AG1372" s="29"/>
    </row>
    <row r="1373" spans="1:33">
      <c r="A1373" s="29"/>
      <c r="B1373" s="29"/>
      <c r="C1373" s="29"/>
      <c r="D1373" s="29"/>
      <c r="E1373" s="30"/>
      <c r="F1373" s="30"/>
      <c r="X1373" s="29"/>
      <c r="Y1373" s="29"/>
      <c r="AA1373" s="18"/>
      <c r="AC1373" s="31"/>
      <c r="AE1373" s="18"/>
      <c r="AG1373" s="29"/>
    </row>
    <row r="1374" spans="1:33">
      <c r="A1374" s="29"/>
      <c r="B1374" s="29"/>
      <c r="C1374" s="29"/>
      <c r="D1374" s="29"/>
      <c r="E1374" s="30"/>
      <c r="F1374" s="30"/>
      <c r="X1374" s="29"/>
      <c r="Y1374" s="29"/>
      <c r="AA1374" s="18"/>
      <c r="AC1374" s="31"/>
      <c r="AE1374" s="18"/>
      <c r="AG1374" s="29"/>
    </row>
    <row r="1375" spans="1:33">
      <c r="A1375" s="29"/>
      <c r="B1375" s="29"/>
      <c r="C1375" s="29"/>
      <c r="D1375" s="29"/>
      <c r="E1375" s="30"/>
      <c r="F1375" s="30"/>
      <c r="X1375" s="29"/>
      <c r="Y1375" s="29"/>
      <c r="AA1375" s="18"/>
      <c r="AC1375" s="31"/>
      <c r="AE1375" s="18"/>
      <c r="AG1375" s="29"/>
    </row>
    <row r="1376" spans="1:33">
      <c r="A1376" s="29"/>
      <c r="B1376" s="29"/>
      <c r="C1376" s="29"/>
      <c r="D1376" s="29"/>
      <c r="E1376" s="30"/>
      <c r="F1376" s="30"/>
      <c r="X1376" s="29"/>
      <c r="Y1376" s="29"/>
      <c r="AA1376" s="18"/>
      <c r="AC1376" s="31"/>
      <c r="AE1376" s="18"/>
      <c r="AG1376" s="29"/>
    </row>
    <row r="1377" spans="1:33">
      <c r="A1377" s="29"/>
      <c r="B1377" s="29"/>
      <c r="C1377" s="29"/>
      <c r="D1377" s="29"/>
      <c r="E1377" s="30"/>
      <c r="F1377" s="30"/>
      <c r="X1377" s="29"/>
      <c r="Y1377" s="29"/>
      <c r="AA1377" s="18"/>
      <c r="AC1377" s="31"/>
      <c r="AE1377" s="18"/>
      <c r="AG1377" s="29"/>
    </row>
    <row r="1378" spans="1:33">
      <c r="A1378" s="29"/>
      <c r="B1378" s="29"/>
      <c r="C1378" s="29"/>
      <c r="D1378" s="29"/>
      <c r="E1378" s="30"/>
      <c r="F1378" s="30"/>
      <c r="X1378" s="29"/>
      <c r="Y1378" s="29"/>
      <c r="AA1378" s="18"/>
      <c r="AC1378" s="31"/>
      <c r="AE1378" s="18"/>
      <c r="AG1378" s="29"/>
    </row>
    <row r="1379" spans="1:33">
      <c r="A1379" s="29"/>
      <c r="B1379" s="29"/>
      <c r="C1379" s="29"/>
      <c r="D1379" s="29"/>
      <c r="E1379" s="30"/>
      <c r="F1379" s="30"/>
      <c r="X1379" s="29"/>
      <c r="Y1379" s="29"/>
      <c r="AA1379" s="18"/>
      <c r="AC1379" s="31"/>
      <c r="AE1379" s="18"/>
      <c r="AG1379" s="29"/>
    </row>
    <row r="1380" spans="1:33">
      <c r="A1380" s="29"/>
      <c r="B1380" s="29"/>
      <c r="C1380" s="29"/>
      <c r="D1380" s="29"/>
      <c r="E1380" s="30"/>
      <c r="F1380" s="30"/>
      <c r="X1380" s="29"/>
      <c r="Y1380" s="29"/>
      <c r="AA1380" s="18"/>
      <c r="AC1380" s="31"/>
      <c r="AE1380" s="18"/>
      <c r="AG1380" s="29"/>
    </row>
    <row r="1381" spans="1:33">
      <c r="A1381" s="29"/>
      <c r="B1381" s="29"/>
      <c r="C1381" s="29"/>
      <c r="D1381" s="29"/>
      <c r="E1381" s="30"/>
      <c r="F1381" s="30"/>
      <c r="X1381" s="29"/>
      <c r="Y1381" s="29"/>
      <c r="AA1381" s="18"/>
      <c r="AC1381" s="31"/>
      <c r="AE1381" s="18"/>
      <c r="AG1381" s="29"/>
    </row>
    <row r="1382" spans="1:33">
      <c r="A1382" s="29"/>
      <c r="B1382" s="29"/>
      <c r="C1382" s="29"/>
      <c r="D1382" s="29"/>
      <c r="E1382" s="30"/>
      <c r="F1382" s="30"/>
      <c r="X1382" s="29"/>
      <c r="Y1382" s="29"/>
      <c r="AA1382" s="18"/>
      <c r="AC1382" s="31"/>
      <c r="AE1382" s="18"/>
      <c r="AG1382" s="29"/>
    </row>
    <row r="1383" spans="1:33">
      <c r="A1383" s="29"/>
      <c r="B1383" s="29"/>
      <c r="C1383" s="29"/>
      <c r="D1383" s="29"/>
      <c r="E1383" s="30"/>
      <c r="F1383" s="30"/>
      <c r="X1383" s="29"/>
      <c r="Y1383" s="29"/>
      <c r="AA1383" s="18"/>
      <c r="AC1383" s="31"/>
      <c r="AE1383" s="18"/>
      <c r="AG1383" s="29"/>
    </row>
    <row r="1384" spans="1:33">
      <c r="A1384" s="29"/>
      <c r="B1384" s="29"/>
      <c r="C1384" s="29"/>
      <c r="D1384" s="29"/>
      <c r="E1384" s="30"/>
      <c r="F1384" s="30"/>
      <c r="X1384" s="29"/>
      <c r="Y1384" s="29"/>
      <c r="AA1384" s="18"/>
      <c r="AC1384" s="31"/>
      <c r="AE1384" s="18"/>
      <c r="AG1384" s="29"/>
    </row>
    <row r="1385" spans="1:33">
      <c r="A1385" s="29"/>
      <c r="B1385" s="29"/>
      <c r="C1385" s="29"/>
      <c r="D1385" s="29"/>
      <c r="E1385" s="30"/>
      <c r="F1385" s="30"/>
      <c r="X1385" s="29"/>
      <c r="Y1385" s="29"/>
      <c r="AA1385" s="18"/>
      <c r="AC1385" s="31"/>
      <c r="AE1385" s="18"/>
      <c r="AG1385" s="29"/>
    </row>
    <row r="1386" spans="1:33">
      <c r="A1386" s="29"/>
      <c r="B1386" s="29"/>
      <c r="C1386" s="29"/>
      <c r="D1386" s="29"/>
      <c r="E1386" s="30"/>
      <c r="F1386" s="30"/>
      <c r="X1386" s="29"/>
      <c r="Y1386" s="29"/>
      <c r="AA1386" s="18"/>
      <c r="AC1386" s="31"/>
      <c r="AE1386" s="18"/>
      <c r="AG1386" s="29"/>
    </row>
    <row r="1387" spans="1:33">
      <c r="A1387" s="29"/>
      <c r="B1387" s="29"/>
      <c r="C1387" s="29"/>
      <c r="D1387" s="29"/>
      <c r="E1387" s="30"/>
      <c r="F1387" s="30"/>
      <c r="X1387" s="29"/>
      <c r="Y1387" s="29"/>
      <c r="AA1387" s="18"/>
      <c r="AC1387" s="31"/>
      <c r="AE1387" s="18"/>
      <c r="AG1387" s="29"/>
    </row>
    <row r="1388" spans="1:33">
      <c r="A1388" s="29"/>
      <c r="B1388" s="29"/>
      <c r="C1388" s="29"/>
      <c r="D1388" s="29"/>
      <c r="E1388" s="30"/>
      <c r="F1388" s="30"/>
      <c r="X1388" s="29"/>
      <c r="Y1388" s="29"/>
      <c r="AA1388" s="18"/>
      <c r="AC1388" s="31"/>
      <c r="AE1388" s="18"/>
      <c r="AG1388" s="29"/>
    </row>
    <row r="1389" spans="1:33">
      <c r="A1389" s="29"/>
      <c r="B1389" s="29"/>
      <c r="C1389" s="29"/>
      <c r="D1389" s="29"/>
      <c r="E1389" s="30"/>
      <c r="F1389" s="30"/>
      <c r="X1389" s="29"/>
      <c r="Y1389" s="29"/>
      <c r="AA1389" s="18"/>
      <c r="AC1389" s="31"/>
      <c r="AE1389" s="18"/>
      <c r="AG1389" s="29"/>
    </row>
    <row r="1390" spans="1:33">
      <c r="A1390" s="29"/>
      <c r="B1390" s="29"/>
      <c r="C1390" s="29"/>
      <c r="D1390" s="29"/>
      <c r="E1390" s="30"/>
      <c r="F1390" s="30"/>
      <c r="X1390" s="29"/>
      <c r="Y1390" s="29"/>
      <c r="AA1390" s="18"/>
      <c r="AC1390" s="31"/>
      <c r="AE1390" s="18"/>
      <c r="AG1390" s="29"/>
    </row>
    <row r="1391" spans="1:33">
      <c r="A1391" s="29"/>
      <c r="B1391" s="29"/>
      <c r="C1391" s="29"/>
      <c r="D1391" s="29"/>
      <c r="E1391" s="30"/>
      <c r="F1391" s="30"/>
      <c r="X1391" s="29"/>
      <c r="Y1391" s="29"/>
      <c r="AA1391" s="18"/>
      <c r="AC1391" s="31"/>
      <c r="AE1391" s="18"/>
      <c r="AG1391" s="29"/>
    </row>
    <row r="1392" spans="1:33">
      <c r="A1392" s="29"/>
      <c r="B1392" s="29"/>
      <c r="C1392" s="29"/>
      <c r="D1392" s="29"/>
      <c r="E1392" s="30"/>
      <c r="F1392" s="30"/>
      <c r="X1392" s="29"/>
      <c r="Y1392" s="29"/>
      <c r="AA1392" s="18"/>
      <c r="AC1392" s="31"/>
      <c r="AE1392" s="18"/>
      <c r="AG1392" s="29"/>
    </row>
    <row r="1393" spans="1:33">
      <c r="A1393" s="29"/>
      <c r="B1393" s="29"/>
      <c r="C1393" s="29"/>
      <c r="D1393" s="29"/>
      <c r="E1393" s="30"/>
      <c r="F1393" s="30"/>
      <c r="X1393" s="29"/>
      <c r="Y1393" s="29"/>
      <c r="AA1393" s="18"/>
      <c r="AC1393" s="31"/>
      <c r="AE1393" s="18"/>
      <c r="AG1393" s="29"/>
    </row>
    <row r="1394" spans="1:33">
      <c r="A1394" s="29"/>
      <c r="B1394" s="29"/>
      <c r="C1394" s="29"/>
      <c r="D1394" s="29"/>
      <c r="E1394" s="30"/>
      <c r="F1394" s="30"/>
      <c r="X1394" s="29"/>
      <c r="Y1394" s="29"/>
      <c r="AA1394" s="18"/>
      <c r="AC1394" s="31"/>
      <c r="AE1394" s="18"/>
      <c r="AG1394" s="29"/>
    </row>
    <row r="1395" spans="1:33">
      <c r="A1395" s="29"/>
      <c r="B1395" s="29"/>
      <c r="C1395" s="29"/>
      <c r="D1395" s="29"/>
      <c r="E1395" s="30"/>
      <c r="F1395" s="30"/>
      <c r="X1395" s="29"/>
      <c r="Y1395" s="29"/>
      <c r="AA1395" s="18"/>
      <c r="AC1395" s="31"/>
      <c r="AE1395" s="18"/>
      <c r="AG1395" s="29"/>
    </row>
    <row r="1396" spans="1:33">
      <c r="A1396" s="29"/>
      <c r="B1396" s="29"/>
      <c r="C1396" s="29"/>
      <c r="D1396" s="29"/>
      <c r="E1396" s="30"/>
      <c r="F1396" s="30"/>
      <c r="X1396" s="29"/>
      <c r="Y1396" s="29"/>
      <c r="AA1396" s="18"/>
      <c r="AC1396" s="31"/>
      <c r="AE1396" s="18"/>
      <c r="AG1396" s="29"/>
    </row>
    <row r="1397" spans="1:33">
      <c r="A1397" s="29"/>
      <c r="B1397" s="29"/>
      <c r="C1397" s="29"/>
      <c r="D1397" s="29"/>
      <c r="E1397" s="30"/>
      <c r="F1397" s="30"/>
      <c r="X1397" s="29"/>
      <c r="Y1397" s="29"/>
      <c r="AA1397" s="18"/>
      <c r="AC1397" s="31"/>
      <c r="AE1397" s="18"/>
      <c r="AG1397" s="29"/>
    </row>
    <row r="1398" spans="1:33">
      <c r="A1398" s="29"/>
      <c r="B1398" s="29"/>
      <c r="C1398" s="29"/>
      <c r="D1398" s="29"/>
      <c r="E1398" s="30"/>
      <c r="F1398" s="30"/>
      <c r="X1398" s="29"/>
      <c r="Y1398" s="29"/>
      <c r="AA1398" s="18"/>
      <c r="AC1398" s="31"/>
      <c r="AE1398" s="18"/>
      <c r="AG1398" s="29"/>
    </row>
    <row r="1399" spans="1:33">
      <c r="A1399" s="29"/>
      <c r="B1399" s="29"/>
      <c r="C1399" s="29"/>
      <c r="D1399" s="29"/>
      <c r="E1399" s="30"/>
      <c r="F1399" s="30"/>
      <c r="X1399" s="29"/>
      <c r="Y1399" s="29"/>
      <c r="AA1399" s="18"/>
      <c r="AC1399" s="31"/>
      <c r="AE1399" s="18"/>
      <c r="AG1399" s="29"/>
    </row>
    <row r="1400" spans="1:33">
      <c r="A1400" s="29"/>
      <c r="B1400" s="29"/>
      <c r="C1400" s="29"/>
      <c r="D1400" s="29"/>
      <c r="E1400" s="30"/>
      <c r="F1400" s="30"/>
      <c r="X1400" s="29"/>
      <c r="Y1400" s="29"/>
      <c r="AA1400" s="18"/>
      <c r="AC1400" s="31"/>
      <c r="AE1400" s="18"/>
      <c r="AG1400" s="29"/>
    </row>
    <row r="1401" spans="1:33">
      <c r="A1401" s="29"/>
      <c r="B1401" s="29"/>
      <c r="C1401" s="29"/>
      <c r="D1401" s="29"/>
      <c r="E1401" s="30"/>
      <c r="F1401" s="30"/>
      <c r="X1401" s="29"/>
      <c r="Y1401" s="29"/>
      <c r="AA1401" s="18"/>
      <c r="AC1401" s="31"/>
      <c r="AE1401" s="18"/>
      <c r="AG1401" s="29"/>
    </row>
    <row r="1402" spans="1:33">
      <c r="A1402" s="29"/>
      <c r="B1402" s="29"/>
      <c r="C1402" s="29"/>
      <c r="D1402" s="29"/>
      <c r="E1402" s="30"/>
      <c r="F1402" s="30"/>
      <c r="X1402" s="29"/>
      <c r="Y1402" s="29"/>
      <c r="AA1402" s="18"/>
      <c r="AC1402" s="31"/>
      <c r="AE1402" s="18"/>
      <c r="AG1402" s="29"/>
    </row>
    <row r="1403" spans="1:33">
      <c r="A1403" s="29"/>
      <c r="B1403" s="29"/>
      <c r="C1403" s="29"/>
      <c r="D1403" s="29"/>
      <c r="E1403" s="30"/>
      <c r="F1403" s="30"/>
      <c r="X1403" s="29"/>
      <c r="Y1403" s="29"/>
      <c r="AA1403" s="18"/>
      <c r="AC1403" s="31"/>
      <c r="AE1403" s="18"/>
      <c r="AG1403" s="29"/>
    </row>
    <row r="1404" spans="1:33">
      <c r="A1404" s="29"/>
      <c r="B1404" s="29"/>
      <c r="C1404" s="29"/>
      <c r="D1404" s="29"/>
      <c r="E1404" s="30"/>
      <c r="F1404" s="30"/>
      <c r="X1404" s="29"/>
      <c r="Y1404" s="29"/>
      <c r="AA1404" s="18"/>
      <c r="AC1404" s="31"/>
      <c r="AE1404" s="18"/>
      <c r="AG1404" s="29"/>
    </row>
    <row r="1405" spans="1:33">
      <c r="A1405" s="29"/>
      <c r="B1405" s="29"/>
      <c r="C1405" s="29"/>
      <c r="D1405" s="29"/>
      <c r="E1405" s="30"/>
      <c r="F1405" s="30"/>
      <c r="X1405" s="29"/>
      <c r="Y1405" s="29"/>
      <c r="AA1405" s="18"/>
      <c r="AC1405" s="31"/>
      <c r="AE1405" s="18"/>
      <c r="AG1405" s="29"/>
    </row>
    <row r="1406" spans="1:33">
      <c r="A1406" s="29"/>
      <c r="B1406" s="29"/>
      <c r="C1406" s="29"/>
      <c r="D1406" s="29"/>
      <c r="E1406" s="30"/>
      <c r="F1406" s="30"/>
      <c r="X1406" s="29"/>
      <c r="Y1406" s="29"/>
      <c r="AA1406" s="18"/>
      <c r="AC1406" s="31"/>
      <c r="AE1406" s="18"/>
      <c r="AG1406" s="29"/>
    </row>
    <row r="1407" spans="1:33">
      <c r="A1407" s="29"/>
      <c r="B1407" s="29"/>
      <c r="C1407" s="29"/>
      <c r="D1407" s="29"/>
      <c r="E1407" s="30"/>
      <c r="F1407" s="30"/>
      <c r="X1407" s="29"/>
      <c r="Y1407" s="29"/>
      <c r="AA1407" s="18"/>
      <c r="AC1407" s="31"/>
      <c r="AE1407" s="18"/>
      <c r="AG1407" s="29"/>
    </row>
    <row r="1408" spans="1:33">
      <c r="A1408" s="29"/>
      <c r="B1408" s="29"/>
      <c r="C1408" s="29"/>
      <c r="D1408" s="29"/>
      <c r="E1408" s="30"/>
      <c r="F1408" s="30"/>
      <c r="X1408" s="29"/>
      <c r="Y1408" s="29"/>
      <c r="AA1408" s="18"/>
      <c r="AC1408" s="31"/>
      <c r="AE1408" s="18"/>
      <c r="AG1408" s="29"/>
    </row>
    <row r="1409" spans="1:33">
      <c r="A1409" s="29"/>
      <c r="B1409" s="29"/>
      <c r="C1409" s="29"/>
      <c r="D1409" s="29"/>
      <c r="E1409" s="30"/>
      <c r="F1409" s="30"/>
      <c r="X1409" s="29"/>
      <c r="Y1409" s="29"/>
      <c r="AA1409" s="18"/>
      <c r="AC1409" s="31"/>
      <c r="AE1409" s="18"/>
      <c r="AG1409" s="29"/>
    </row>
    <row r="1410" spans="1:33">
      <c r="A1410" s="29"/>
      <c r="B1410" s="29"/>
      <c r="C1410" s="29"/>
      <c r="D1410" s="29"/>
      <c r="E1410" s="30"/>
      <c r="F1410" s="30"/>
      <c r="X1410" s="29"/>
      <c r="Y1410" s="29"/>
      <c r="AA1410" s="18"/>
      <c r="AC1410" s="31"/>
      <c r="AE1410" s="18"/>
      <c r="AG1410" s="29"/>
    </row>
    <row r="1411" spans="1:33">
      <c r="A1411" s="29"/>
      <c r="B1411" s="29"/>
      <c r="C1411" s="29"/>
      <c r="D1411" s="29"/>
      <c r="E1411" s="30"/>
      <c r="F1411" s="30"/>
      <c r="X1411" s="29"/>
      <c r="Y1411" s="29"/>
      <c r="AA1411" s="18"/>
      <c r="AC1411" s="31"/>
      <c r="AE1411" s="18"/>
      <c r="AG1411" s="29"/>
    </row>
    <row r="1412" spans="1:33">
      <c r="A1412" s="29"/>
      <c r="B1412" s="29"/>
      <c r="C1412" s="29"/>
      <c r="D1412" s="29"/>
      <c r="E1412" s="30"/>
      <c r="F1412" s="30"/>
      <c r="X1412" s="29"/>
      <c r="Y1412" s="29"/>
      <c r="AA1412" s="18"/>
      <c r="AC1412" s="31"/>
      <c r="AE1412" s="18"/>
      <c r="AG1412" s="29"/>
    </row>
    <row r="1413" spans="1:33">
      <c r="A1413" s="29"/>
      <c r="B1413" s="29"/>
      <c r="C1413" s="29"/>
      <c r="D1413" s="29"/>
      <c r="E1413" s="30"/>
      <c r="F1413" s="30"/>
      <c r="X1413" s="29"/>
      <c r="Y1413" s="29"/>
      <c r="AA1413" s="18"/>
      <c r="AC1413" s="31"/>
      <c r="AE1413" s="18"/>
      <c r="AG1413" s="29"/>
    </row>
    <row r="1414" spans="1:33">
      <c r="A1414" s="29"/>
      <c r="B1414" s="29"/>
      <c r="C1414" s="29"/>
      <c r="D1414" s="29"/>
      <c r="E1414" s="30"/>
      <c r="F1414" s="30"/>
      <c r="X1414" s="29"/>
      <c r="Y1414" s="29"/>
      <c r="AA1414" s="18"/>
      <c r="AC1414" s="31"/>
      <c r="AE1414" s="18"/>
      <c r="AG1414" s="29"/>
    </row>
    <row r="1415" spans="1:33">
      <c r="A1415" s="29"/>
      <c r="B1415" s="29"/>
      <c r="C1415" s="29"/>
      <c r="D1415" s="29"/>
      <c r="E1415" s="30"/>
      <c r="F1415" s="30"/>
      <c r="X1415" s="29"/>
      <c r="Y1415" s="29"/>
      <c r="AA1415" s="18"/>
      <c r="AC1415" s="31"/>
      <c r="AE1415" s="18"/>
      <c r="AG1415" s="29"/>
    </row>
    <row r="1416" spans="1:33">
      <c r="A1416" s="29"/>
      <c r="B1416" s="29"/>
      <c r="C1416" s="29"/>
      <c r="D1416" s="29"/>
      <c r="E1416" s="30"/>
      <c r="F1416" s="30"/>
      <c r="X1416" s="29"/>
      <c r="Y1416" s="29"/>
      <c r="AA1416" s="18"/>
      <c r="AC1416" s="31"/>
      <c r="AE1416" s="18"/>
      <c r="AG1416" s="29"/>
    </row>
    <row r="1417" spans="1:33">
      <c r="A1417" s="29"/>
      <c r="B1417" s="29"/>
      <c r="C1417" s="29"/>
      <c r="D1417" s="29"/>
      <c r="E1417" s="30"/>
      <c r="F1417" s="30"/>
      <c r="X1417" s="29"/>
      <c r="Y1417" s="29"/>
      <c r="AA1417" s="18"/>
      <c r="AC1417" s="31"/>
      <c r="AE1417" s="18"/>
      <c r="AG1417" s="29"/>
    </row>
    <row r="1418" spans="1:33">
      <c r="A1418" s="29"/>
      <c r="B1418" s="29"/>
      <c r="C1418" s="29"/>
      <c r="D1418" s="29"/>
      <c r="E1418" s="30"/>
      <c r="F1418" s="30"/>
      <c r="X1418" s="29"/>
      <c r="Y1418" s="29"/>
      <c r="AA1418" s="18"/>
      <c r="AC1418" s="31"/>
      <c r="AE1418" s="18"/>
      <c r="AG1418" s="29"/>
    </row>
    <row r="1419" spans="1:33">
      <c r="A1419" s="29"/>
      <c r="B1419" s="29"/>
      <c r="C1419" s="29"/>
      <c r="D1419" s="29"/>
      <c r="E1419" s="30"/>
      <c r="F1419" s="30"/>
      <c r="X1419" s="29"/>
      <c r="Y1419" s="29"/>
      <c r="AA1419" s="18"/>
      <c r="AC1419" s="31"/>
      <c r="AE1419" s="18"/>
      <c r="AG1419" s="29"/>
    </row>
    <row r="1420" spans="1:33">
      <c r="A1420" s="29"/>
      <c r="B1420" s="29"/>
      <c r="C1420" s="29"/>
      <c r="D1420" s="29"/>
      <c r="E1420" s="30"/>
      <c r="F1420" s="30"/>
      <c r="X1420" s="29"/>
      <c r="Y1420" s="29"/>
      <c r="AA1420" s="18"/>
      <c r="AC1420" s="31"/>
      <c r="AE1420" s="18"/>
      <c r="AG1420" s="29"/>
    </row>
    <row r="1421" spans="1:33">
      <c r="A1421" s="29"/>
      <c r="B1421" s="29"/>
      <c r="C1421" s="29"/>
      <c r="D1421" s="29"/>
      <c r="E1421" s="30"/>
      <c r="F1421" s="30"/>
      <c r="X1421" s="29"/>
      <c r="Y1421" s="29"/>
      <c r="AA1421" s="18"/>
      <c r="AC1421" s="31"/>
      <c r="AE1421" s="18"/>
      <c r="AG1421" s="29"/>
    </row>
    <row r="1422" spans="1:33">
      <c r="A1422" s="29"/>
      <c r="B1422" s="29"/>
      <c r="C1422" s="29"/>
      <c r="D1422" s="29"/>
      <c r="E1422" s="30"/>
      <c r="F1422" s="30"/>
      <c r="X1422" s="29"/>
      <c r="Y1422" s="29"/>
      <c r="AA1422" s="18"/>
      <c r="AC1422" s="31"/>
      <c r="AE1422" s="18"/>
      <c r="AG1422" s="29"/>
    </row>
    <row r="1423" spans="1:33">
      <c r="A1423" s="29"/>
      <c r="B1423" s="29"/>
      <c r="C1423" s="29"/>
      <c r="D1423" s="29"/>
      <c r="E1423" s="30"/>
      <c r="F1423" s="30"/>
      <c r="X1423" s="29"/>
      <c r="Y1423" s="29"/>
      <c r="AA1423" s="18"/>
      <c r="AC1423" s="31"/>
      <c r="AE1423" s="18"/>
      <c r="AG1423" s="29"/>
    </row>
    <row r="1424" spans="1:33">
      <c r="A1424" s="29"/>
      <c r="B1424" s="29"/>
      <c r="C1424" s="29"/>
      <c r="D1424" s="29"/>
      <c r="E1424" s="30"/>
      <c r="F1424" s="30"/>
      <c r="X1424" s="29"/>
      <c r="Y1424" s="29"/>
      <c r="AA1424" s="18"/>
      <c r="AC1424" s="31"/>
      <c r="AE1424" s="18"/>
      <c r="AG1424" s="29"/>
    </row>
    <row r="1425" spans="1:33">
      <c r="A1425" s="29"/>
      <c r="B1425" s="29"/>
      <c r="C1425" s="29"/>
      <c r="D1425" s="29"/>
      <c r="E1425" s="30"/>
      <c r="F1425" s="30"/>
      <c r="X1425" s="29"/>
      <c r="Y1425" s="29"/>
      <c r="AA1425" s="18"/>
      <c r="AC1425" s="31"/>
      <c r="AE1425" s="18"/>
      <c r="AG1425" s="29"/>
    </row>
    <row r="1426" spans="1:33">
      <c r="A1426" s="29"/>
      <c r="B1426" s="29"/>
      <c r="C1426" s="29"/>
      <c r="D1426" s="29"/>
      <c r="E1426" s="30"/>
      <c r="F1426" s="30"/>
      <c r="X1426" s="29"/>
      <c r="Y1426" s="29"/>
      <c r="AA1426" s="18"/>
      <c r="AC1426" s="31"/>
      <c r="AE1426" s="18"/>
      <c r="AG1426" s="29"/>
    </row>
    <row r="1427" spans="1:33">
      <c r="A1427" s="29"/>
      <c r="B1427" s="29"/>
      <c r="C1427" s="29"/>
      <c r="D1427" s="29"/>
      <c r="E1427" s="30"/>
      <c r="F1427" s="30"/>
      <c r="X1427" s="29"/>
      <c r="Y1427" s="29"/>
      <c r="AA1427" s="18"/>
      <c r="AC1427" s="30"/>
      <c r="AE1427" s="18"/>
      <c r="AG1427" s="29"/>
    </row>
    <row r="1428" spans="1:33">
      <c r="A1428" s="29"/>
      <c r="B1428" s="29"/>
      <c r="C1428" s="29"/>
      <c r="D1428" s="29"/>
      <c r="E1428" s="30"/>
      <c r="F1428" s="30"/>
      <c r="X1428" s="29"/>
      <c r="Y1428" s="29"/>
      <c r="AA1428" s="18"/>
      <c r="AC1428" s="30"/>
      <c r="AE1428" s="18"/>
      <c r="AG1428" s="29"/>
    </row>
    <row r="1429" spans="1:33">
      <c r="A1429" s="29"/>
      <c r="B1429" s="29"/>
      <c r="C1429" s="29"/>
      <c r="D1429" s="29"/>
      <c r="E1429" s="30"/>
      <c r="F1429" s="30"/>
      <c r="X1429" s="29"/>
      <c r="Y1429" s="29"/>
      <c r="AA1429" s="18"/>
      <c r="AC1429" s="30"/>
      <c r="AE1429" s="18"/>
      <c r="AG1429" s="29"/>
    </row>
    <row r="1430" spans="1:33">
      <c r="A1430" s="29"/>
      <c r="B1430" s="29"/>
      <c r="C1430" s="29"/>
      <c r="D1430" s="29"/>
      <c r="E1430" s="30"/>
      <c r="F1430" s="30"/>
      <c r="X1430" s="29"/>
      <c r="Y1430" s="29"/>
      <c r="AA1430" s="18"/>
      <c r="AC1430" s="30"/>
      <c r="AE1430" s="18"/>
      <c r="AG1430" s="29"/>
    </row>
    <row r="1431" spans="1:33">
      <c r="A1431" s="29"/>
      <c r="B1431" s="29"/>
      <c r="C1431" s="29"/>
      <c r="D1431" s="29"/>
      <c r="E1431" s="30"/>
      <c r="F1431" s="30"/>
      <c r="X1431" s="29"/>
      <c r="Y1431" s="29"/>
      <c r="AA1431" s="18"/>
      <c r="AC1431" s="31"/>
      <c r="AE1431" s="18"/>
      <c r="AG1431" s="29"/>
    </row>
    <row r="1432" spans="1:33">
      <c r="A1432" s="29"/>
      <c r="B1432" s="29"/>
      <c r="C1432" s="29"/>
      <c r="D1432" s="29"/>
      <c r="E1432" s="30"/>
      <c r="F1432" s="30"/>
      <c r="X1432" s="29"/>
      <c r="Y1432" s="29"/>
      <c r="AA1432" s="18"/>
      <c r="AC1432" s="31"/>
      <c r="AE1432" s="18"/>
      <c r="AG1432" s="29"/>
    </row>
    <row r="1433" spans="1:33">
      <c r="A1433" s="29"/>
      <c r="B1433" s="29"/>
      <c r="C1433" s="29"/>
      <c r="D1433" s="29"/>
      <c r="E1433" s="30"/>
      <c r="F1433" s="30"/>
      <c r="X1433" s="29"/>
      <c r="Y1433" s="29"/>
      <c r="AA1433" s="18"/>
      <c r="AC1433" s="31"/>
      <c r="AE1433" s="18"/>
      <c r="AG1433" s="29"/>
    </row>
    <row r="1434" spans="1:33">
      <c r="A1434" s="29"/>
      <c r="B1434" s="29"/>
      <c r="C1434" s="29"/>
      <c r="D1434" s="29"/>
      <c r="E1434" s="30"/>
      <c r="F1434" s="30"/>
      <c r="X1434" s="29"/>
      <c r="Y1434" s="29"/>
      <c r="AA1434" s="18"/>
      <c r="AC1434" s="31"/>
      <c r="AE1434" s="18"/>
      <c r="AG1434" s="29"/>
    </row>
    <row r="1435" spans="1:33">
      <c r="A1435" s="29"/>
      <c r="B1435" s="29"/>
      <c r="C1435" s="29"/>
      <c r="D1435" s="29"/>
      <c r="E1435" s="30"/>
      <c r="F1435" s="30"/>
      <c r="X1435" s="29"/>
      <c r="Y1435" s="29"/>
      <c r="AA1435" s="18"/>
      <c r="AC1435" s="31"/>
      <c r="AE1435" s="18"/>
      <c r="AG1435" s="29"/>
    </row>
    <row r="1436" spans="1:33">
      <c r="A1436" s="29"/>
      <c r="B1436" s="29"/>
      <c r="C1436" s="29"/>
      <c r="D1436" s="29"/>
      <c r="E1436" s="30"/>
      <c r="F1436" s="30"/>
      <c r="X1436" s="29"/>
      <c r="Y1436" s="29"/>
      <c r="AA1436" s="18"/>
      <c r="AC1436" s="31"/>
      <c r="AE1436" s="18"/>
      <c r="AG1436" s="29"/>
    </row>
    <row r="1437" spans="1:33">
      <c r="A1437" s="29"/>
      <c r="B1437" s="29"/>
      <c r="C1437" s="29"/>
      <c r="D1437" s="29"/>
      <c r="E1437" s="30"/>
      <c r="F1437" s="30"/>
      <c r="X1437" s="29"/>
      <c r="Y1437" s="29"/>
      <c r="AA1437" s="18"/>
      <c r="AC1437" s="31"/>
      <c r="AE1437" s="18"/>
      <c r="AG1437" s="29"/>
    </row>
    <row r="1438" spans="1:33">
      <c r="A1438" s="29"/>
      <c r="B1438" s="29"/>
      <c r="C1438" s="29"/>
      <c r="D1438" s="29"/>
      <c r="E1438" s="30"/>
      <c r="F1438" s="30"/>
      <c r="X1438" s="29"/>
      <c r="Y1438" s="29"/>
      <c r="AA1438" s="18"/>
      <c r="AC1438" s="31"/>
      <c r="AE1438" s="18"/>
      <c r="AG1438" s="29"/>
    </row>
    <row r="1439" spans="1:33">
      <c r="A1439" s="29"/>
      <c r="B1439" s="29"/>
      <c r="C1439" s="29"/>
      <c r="D1439" s="29"/>
      <c r="E1439" s="30"/>
      <c r="F1439" s="30"/>
      <c r="X1439" s="29"/>
      <c r="Y1439" s="29"/>
      <c r="AA1439" s="18"/>
      <c r="AC1439" s="31"/>
      <c r="AE1439" s="18"/>
      <c r="AG1439" s="29"/>
    </row>
    <row r="1440" spans="1:33">
      <c r="A1440" s="29"/>
      <c r="B1440" s="29"/>
      <c r="C1440" s="29"/>
      <c r="D1440" s="29"/>
      <c r="E1440" s="30"/>
      <c r="F1440" s="30"/>
      <c r="X1440" s="29"/>
      <c r="Y1440" s="29"/>
      <c r="AA1440" s="18"/>
      <c r="AC1440" s="31"/>
      <c r="AE1440" s="18"/>
      <c r="AG1440" s="29"/>
    </row>
    <row r="1441" spans="1:33">
      <c r="A1441" s="29"/>
      <c r="B1441" s="29"/>
      <c r="C1441" s="29"/>
      <c r="D1441" s="29"/>
      <c r="E1441" s="30"/>
      <c r="F1441" s="30"/>
      <c r="X1441" s="29"/>
      <c r="Y1441" s="29"/>
      <c r="AA1441" s="18"/>
      <c r="AC1441" s="31"/>
      <c r="AE1441" s="18"/>
      <c r="AG1441" s="29"/>
    </row>
    <row r="1442" spans="1:33">
      <c r="A1442" s="29"/>
      <c r="B1442" s="29"/>
      <c r="C1442" s="29"/>
      <c r="D1442" s="29"/>
      <c r="E1442" s="30"/>
      <c r="F1442" s="30"/>
      <c r="X1442" s="29"/>
      <c r="Y1442" s="29"/>
      <c r="AA1442" s="18"/>
      <c r="AC1442" s="31"/>
      <c r="AE1442" s="18"/>
      <c r="AG1442" s="29"/>
    </row>
    <row r="1443" spans="1:33">
      <c r="A1443" s="29"/>
      <c r="B1443" s="29"/>
      <c r="C1443" s="29"/>
      <c r="D1443" s="29"/>
      <c r="E1443" s="30"/>
      <c r="F1443" s="30"/>
      <c r="X1443" s="29"/>
      <c r="Y1443" s="29"/>
      <c r="AA1443" s="18"/>
      <c r="AC1443" s="31"/>
      <c r="AE1443" s="18"/>
      <c r="AG1443" s="29"/>
    </row>
    <row r="1444" spans="1:33">
      <c r="A1444" s="29"/>
      <c r="B1444" s="29"/>
      <c r="C1444" s="29"/>
      <c r="D1444" s="29"/>
      <c r="E1444" s="30"/>
      <c r="F1444" s="30"/>
      <c r="X1444" s="29"/>
      <c r="Y1444" s="29"/>
      <c r="AA1444" s="18"/>
      <c r="AC1444" s="31"/>
      <c r="AE1444" s="18"/>
      <c r="AG1444" s="29"/>
    </row>
    <row r="1445" spans="1:33">
      <c r="A1445" s="29"/>
      <c r="B1445" s="29"/>
      <c r="C1445" s="29"/>
      <c r="D1445" s="29"/>
      <c r="E1445" s="30"/>
      <c r="F1445" s="30"/>
      <c r="X1445" s="29"/>
      <c r="Y1445" s="29"/>
      <c r="AA1445" s="18"/>
      <c r="AC1445" s="31"/>
      <c r="AE1445" s="18"/>
      <c r="AG1445" s="29"/>
    </row>
    <row r="1446" spans="1:33">
      <c r="A1446" s="29"/>
      <c r="B1446" s="29"/>
      <c r="C1446" s="29"/>
      <c r="D1446" s="29"/>
      <c r="E1446" s="30"/>
      <c r="F1446" s="30"/>
      <c r="X1446" s="29"/>
      <c r="Y1446" s="29"/>
      <c r="AA1446" s="18"/>
      <c r="AC1446" s="31"/>
      <c r="AE1446" s="18"/>
      <c r="AG1446" s="29"/>
    </row>
    <row r="1447" spans="1:33">
      <c r="A1447" s="29"/>
      <c r="B1447" s="29"/>
      <c r="C1447" s="29"/>
      <c r="D1447" s="29"/>
      <c r="E1447" s="30"/>
      <c r="F1447" s="30"/>
      <c r="X1447" s="29"/>
      <c r="Y1447" s="29"/>
      <c r="AA1447" s="18"/>
      <c r="AC1447" s="31"/>
      <c r="AE1447" s="18"/>
      <c r="AG1447" s="29"/>
    </row>
    <row r="1448" spans="1:33">
      <c r="A1448" s="29"/>
      <c r="B1448" s="29"/>
      <c r="C1448" s="29"/>
      <c r="D1448" s="29"/>
      <c r="E1448" s="30"/>
      <c r="F1448" s="30"/>
      <c r="X1448" s="29"/>
      <c r="Y1448" s="29"/>
      <c r="AA1448" s="18"/>
      <c r="AC1448" s="31"/>
      <c r="AE1448" s="18"/>
      <c r="AG1448" s="29"/>
    </row>
    <row r="1449" spans="1:33">
      <c r="A1449" s="29"/>
      <c r="B1449" s="29"/>
      <c r="C1449" s="29"/>
      <c r="D1449" s="29"/>
      <c r="E1449" s="30"/>
      <c r="F1449" s="30"/>
      <c r="X1449" s="29"/>
      <c r="Y1449" s="29"/>
      <c r="AA1449" s="18"/>
      <c r="AC1449" s="31"/>
      <c r="AE1449" s="18"/>
      <c r="AG1449" s="29"/>
    </row>
    <row r="1450" spans="1:33">
      <c r="A1450" s="29"/>
      <c r="B1450" s="29"/>
      <c r="C1450" s="29"/>
      <c r="D1450" s="29"/>
      <c r="E1450" s="30"/>
      <c r="F1450" s="30"/>
      <c r="X1450" s="29"/>
      <c r="Y1450" s="29"/>
      <c r="AA1450" s="18"/>
      <c r="AC1450" s="31"/>
      <c r="AE1450" s="18"/>
      <c r="AG1450" s="29"/>
    </row>
    <row r="1451" spans="1:33">
      <c r="A1451" s="29"/>
      <c r="B1451" s="29"/>
      <c r="C1451" s="29"/>
      <c r="D1451" s="29"/>
      <c r="E1451" s="30"/>
      <c r="F1451" s="30"/>
      <c r="X1451" s="29"/>
      <c r="Y1451" s="29"/>
      <c r="AA1451" s="18"/>
      <c r="AC1451" s="31"/>
      <c r="AE1451" s="18"/>
      <c r="AG1451" s="29"/>
    </row>
    <row r="1452" spans="1:33">
      <c r="A1452" s="29"/>
      <c r="B1452" s="29"/>
      <c r="C1452" s="29"/>
      <c r="D1452" s="29"/>
      <c r="E1452" s="30"/>
      <c r="F1452" s="30"/>
      <c r="X1452" s="29"/>
      <c r="Y1452" s="29"/>
      <c r="AA1452" s="18"/>
      <c r="AC1452" s="31"/>
      <c r="AE1452" s="18"/>
      <c r="AG1452" s="29"/>
    </row>
    <row r="1453" spans="1:33">
      <c r="A1453" s="29"/>
      <c r="B1453" s="29"/>
      <c r="C1453" s="29"/>
      <c r="D1453" s="29"/>
      <c r="E1453" s="30"/>
      <c r="F1453" s="30"/>
      <c r="X1453" s="29"/>
      <c r="Y1453" s="29"/>
      <c r="AA1453" s="18"/>
      <c r="AC1453" s="31"/>
      <c r="AE1453" s="18"/>
      <c r="AG1453" s="29"/>
    </row>
    <row r="1454" spans="1:33">
      <c r="A1454" s="29"/>
      <c r="B1454" s="29"/>
      <c r="C1454" s="29"/>
      <c r="D1454" s="29"/>
      <c r="E1454" s="30"/>
      <c r="F1454" s="30"/>
      <c r="X1454" s="29"/>
      <c r="Y1454" s="29"/>
      <c r="AA1454" s="18"/>
      <c r="AC1454" s="31"/>
      <c r="AE1454" s="18"/>
      <c r="AG1454" s="29"/>
    </row>
    <row r="1455" spans="1:33">
      <c r="A1455" s="29"/>
      <c r="B1455" s="29"/>
      <c r="C1455" s="29"/>
      <c r="D1455" s="29"/>
      <c r="E1455" s="30"/>
      <c r="F1455" s="30"/>
      <c r="X1455" s="29"/>
      <c r="Y1455" s="29"/>
      <c r="AA1455" s="18"/>
      <c r="AC1455" s="31"/>
      <c r="AE1455" s="18"/>
      <c r="AG1455" s="29"/>
    </row>
    <row r="1456" spans="1:33">
      <c r="A1456" s="29"/>
      <c r="B1456" s="29"/>
      <c r="C1456" s="29"/>
      <c r="D1456" s="29"/>
      <c r="E1456" s="30"/>
      <c r="F1456" s="30"/>
      <c r="X1456" s="29"/>
      <c r="Y1456" s="29"/>
      <c r="AA1456" s="18"/>
      <c r="AC1456" s="31"/>
      <c r="AE1456" s="18"/>
      <c r="AG1456" s="29"/>
    </row>
    <row r="1457" spans="1:33">
      <c r="A1457" s="29"/>
      <c r="B1457" s="29"/>
      <c r="C1457" s="29"/>
      <c r="D1457" s="29"/>
      <c r="E1457" s="30"/>
      <c r="F1457" s="30"/>
      <c r="X1457" s="29"/>
      <c r="Y1457" s="29"/>
      <c r="AA1457" s="18"/>
      <c r="AC1457" s="31"/>
      <c r="AE1457" s="18"/>
      <c r="AG1457" s="29"/>
    </row>
    <row r="1458" spans="1:33">
      <c r="A1458" s="29"/>
      <c r="B1458" s="29"/>
      <c r="C1458" s="29"/>
      <c r="D1458" s="29"/>
      <c r="E1458" s="30"/>
      <c r="F1458" s="30"/>
      <c r="X1458" s="29"/>
      <c r="Y1458" s="29"/>
      <c r="AA1458" s="18"/>
      <c r="AC1458" s="31"/>
      <c r="AE1458" s="18"/>
      <c r="AG1458" s="29"/>
    </row>
    <row r="1459" spans="1:33">
      <c r="A1459" s="29"/>
      <c r="B1459" s="29"/>
      <c r="C1459" s="29"/>
      <c r="D1459" s="29"/>
      <c r="E1459" s="30"/>
      <c r="F1459" s="30"/>
      <c r="X1459" s="29"/>
      <c r="Y1459" s="29"/>
      <c r="AA1459" s="18"/>
      <c r="AC1459" s="31"/>
      <c r="AE1459" s="18"/>
      <c r="AG1459" s="29"/>
    </row>
    <row r="1460" spans="1:33">
      <c r="A1460" s="29"/>
      <c r="B1460" s="29"/>
      <c r="C1460" s="29"/>
      <c r="D1460" s="29"/>
      <c r="E1460" s="30"/>
      <c r="F1460" s="30"/>
      <c r="X1460" s="29"/>
      <c r="Y1460" s="29"/>
      <c r="AA1460" s="18"/>
      <c r="AC1460" s="31"/>
      <c r="AE1460" s="18"/>
      <c r="AG1460" s="29"/>
    </row>
    <row r="1461" spans="1:33">
      <c r="A1461" s="29"/>
      <c r="B1461" s="29"/>
      <c r="C1461" s="29"/>
      <c r="D1461" s="29"/>
      <c r="E1461" s="30"/>
      <c r="F1461" s="30"/>
      <c r="X1461" s="29"/>
      <c r="Y1461" s="29"/>
      <c r="AA1461" s="18"/>
      <c r="AC1461" s="31"/>
      <c r="AE1461" s="18"/>
      <c r="AG1461" s="29"/>
    </row>
    <row r="1462" spans="1:33">
      <c r="A1462" s="29"/>
      <c r="B1462" s="29"/>
      <c r="C1462" s="29"/>
      <c r="D1462" s="29"/>
      <c r="E1462" s="30"/>
      <c r="F1462" s="30"/>
      <c r="X1462" s="29"/>
      <c r="Y1462" s="29"/>
      <c r="AA1462" s="18"/>
      <c r="AC1462" s="31"/>
      <c r="AE1462" s="18"/>
      <c r="AG1462" s="29"/>
    </row>
    <row r="1463" spans="1:33">
      <c r="A1463" s="29"/>
      <c r="B1463" s="29"/>
      <c r="C1463" s="29"/>
      <c r="D1463" s="29"/>
      <c r="E1463" s="30"/>
      <c r="F1463" s="30"/>
      <c r="X1463" s="29"/>
      <c r="Y1463" s="29"/>
      <c r="AA1463" s="18"/>
      <c r="AC1463" s="31"/>
      <c r="AE1463" s="18"/>
      <c r="AG1463" s="29"/>
    </row>
    <row r="1464" spans="1:33">
      <c r="A1464" s="29"/>
      <c r="B1464" s="29"/>
      <c r="C1464" s="29"/>
      <c r="D1464" s="29"/>
      <c r="E1464" s="30"/>
      <c r="F1464" s="30"/>
      <c r="X1464" s="29"/>
      <c r="Y1464" s="29"/>
      <c r="AA1464" s="18"/>
      <c r="AC1464" s="31"/>
      <c r="AE1464" s="18"/>
      <c r="AG1464" s="29"/>
    </row>
    <row r="1465" spans="1:33">
      <c r="A1465" s="29"/>
      <c r="B1465" s="29"/>
      <c r="C1465" s="29"/>
      <c r="D1465" s="29"/>
      <c r="E1465" s="30"/>
      <c r="F1465" s="30"/>
      <c r="X1465" s="29"/>
      <c r="Y1465" s="29"/>
      <c r="AA1465" s="18"/>
      <c r="AC1465" s="31"/>
      <c r="AE1465" s="18"/>
      <c r="AG1465" s="29"/>
    </row>
    <row r="1466" spans="1:33">
      <c r="A1466" s="29"/>
      <c r="B1466" s="29"/>
      <c r="C1466" s="29"/>
      <c r="D1466" s="29"/>
      <c r="E1466" s="30"/>
      <c r="F1466" s="30"/>
      <c r="X1466" s="29"/>
      <c r="Y1466" s="29"/>
      <c r="AA1466" s="18"/>
      <c r="AC1466" s="31"/>
      <c r="AE1466" s="18"/>
      <c r="AG1466" s="29"/>
    </row>
    <row r="1467" spans="1:33">
      <c r="A1467" s="29"/>
      <c r="B1467" s="29"/>
      <c r="C1467" s="29"/>
      <c r="D1467" s="29"/>
      <c r="E1467" s="30"/>
      <c r="F1467" s="30"/>
      <c r="X1467" s="29"/>
      <c r="Y1467" s="29"/>
      <c r="AA1467" s="18"/>
      <c r="AC1467" s="31"/>
      <c r="AE1467" s="18"/>
      <c r="AG1467" s="29"/>
    </row>
    <row r="1468" spans="1:33">
      <c r="A1468" s="29"/>
      <c r="B1468" s="29"/>
      <c r="C1468" s="29"/>
      <c r="D1468" s="29"/>
      <c r="E1468" s="30"/>
      <c r="F1468" s="30"/>
      <c r="X1468" s="29"/>
      <c r="Y1468" s="29"/>
      <c r="AA1468" s="18"/>
      <c r="AC1468" s="31"/>
      <c r="AE1468" s="18"/>
      <c r="AG1468" s="29"/>
    </row>
    <row r="1469" spans="1:33">
      <c r="A1469" s="29"/>
      <c r="B1469" s="29"/>
      <c r="C1469" s="29"/>
      <c r="D1469" s="29"/>
      <c r="E1469" s="30"/>
      <c r="F1469" s="30"/>
      <c r="X1469" s="29"/>
      <c r="Y1469" s="29"/>
      <c r="AA1469" s="18"/>
      <c r="AC1469" s="31"/>
      <c r="AE1469" s="18"/>
      <c r="AG1469" s="29"/>
    </row>
    <row r="1470" spans="1:33">
      <c r="A1470" s="29"/>
      <c r="B1470" s="29"/>
      <c r="C1470" s="29"/>
      <c r="D1470" s="29"/>
      <c r="E1470" s="30"/>
      <c r="F1470" s="30"/>
      <c r="X1470" s="29"/>
      <c r="Y1470" s="29"/>
      <c r="AA1470" s="18"/>
      <c r="AC1470" s="31"/>
      <c r="AE1470" s="18"/>
      <c r="AG1470" s="29"/>
    </row>
    <row r="1471" spans="1:33">
      <c r="A1471" s="29"/>
      <c r="B1471" s="29"/>
      <c r="C1471" s="29"/>
      <c r="D1471" s="29"/>
      <c r="E1471" s="30"/>
      <c r="F1471" s="30"/>
      <c r="X1471" s="29"/>
      <c r="Y1471" s="29"/>
      <c r="AA1471" s="18"/>
      <c r="AC1471" s="31"/>
      <c r="AE1471" s="18"/>
      <c r="AG1471" s="29"/>
    </row>
    <row r="1472" spans="1:33">
      <c r="A1472" s="29"/>
      <c r="B1472" s="29"/>
      <c r="C1472" s="29"/>
      <c r="D1472" s="29"/>
      <c r="E1472" s="30"/>
      <c r="F1472" s="30"/>
      <c r="X1472" s="29"/>
      <c r="Y1472" s="29"/>
      <c r="AA1472" s="18"/>
      <c r="AC1472" s="31"/>
      <c r="AE1472" s="18"/>
      <c r="AG1472" s="29"/>
    </row>
    <row r="1473" spans="1:33">
      <c r="A1473" s="29"/>
      <c r="B1473" s="29"/>
      <c r="C1473" s="29"/>
      <c r="D1473" s="29"/>
      <c r="E1473" s="30"/>
      <c r="F1473" s="30"/>
      <c r="X1473" s="29"/>
      <c r="Y1473" s="29"/>
      <c r="AA1473" s="18"/>
      <c r="AC1473" s="31"/>
      <c r="AE1473" s="18"/>
      <c r="AG1473" s="29"/>
    </row>
    <row r="1474" spans="1:33">
      <c r="A1474" s="29"/>
      <c r="B1474" s="29"/>
      <c r="C1474" s="29"/>
      <c r="D1474" s="29"/>
      <c r="E1474" s="30"/>
      <c r="F1474" s="30"/>
      <c r="X1474" s="29"/>
      <c r="Y1474" s="29"/>
      <c r="AA1474" s="18"/>
      <c r="AC1474" s="31"/>
      <c r="AE1474" s="18"/>
      <c r="AG1474" s="29"/>
    </row>
    <row r="1475" spans="1:33">
      <c r="A1475" s="29"/>
      <c r="B1475" s="29"/>
      <c r="C1475" s="29"/>
      <c r="D1475" s="29"/>
      <c r="E1475" s="30"/>
      <c r="F1475" s="30"/>
      <c r="X1475" s="29"/>
      <c r="Y1475" s="29"/>
      <c r="AA1475" s="18"/>
      <c r="AC1475" s="31"/>
      <c r="AE1475" s="18"/>
      <c r="AG1475" s="29"/>
    </row>
    <row r="1476" spans="1:33">
      <c r="A1476" s="29"/>
      <c r="B1476" s="29"/>
      <c r="C1476" s="29"/>
      <c r="D1476" s="29"/>
      <c r="E1476" s="30"/>
      <c r="F1476" s="30"/>
      <c r="X1476" s="29"/>
      <c r="Y1476" s="29"/>
      <c r="AA1476" s="18"/>
      <c r="AC1476" s="31"/>
      <c r="AE1476" s="18"/>
      <c r="AG1476" s="29"/>
    </row>
    <row r="1477" spans="1:33">
      <c r="A1477" s="29"/>
      <c r="B1477" s="29"/>
      <c r="C1477" s="29"/>
      <c r="D1477" s="29"/>
      <c r="E1477" s="30"/>
      <c r="F1477" s="30"/>
      <c r="X1477" s="29"/>
      <c r="Y1477" s="29"/>
      <c r="AA1477" s="18"/>
      <c r="AC1477" s="31"/>
      <c r="AE1477" s="18"/>
      <c r="AG1477" s="29"/>
    </row>
    <row r="1478" spans="1:33">
      <c r="A1478" s="29"/>
      <c r="B1478" s="29"/>
      <c r="C1478" s="29"/>
      <c r="D1478" s="29"/>
      <c r="E1478" s="30"/>
      <c r="F1478" s="30"/>
      <c r="X1478" s="29"/>
      <c r="Y1478" s="29"/>
      <c r="AA1478" s="18"/>
      <c r="AC1478" s="31"/>
      <c r="AE1478" s="18"/>
      <c r="AG1478" s="29"/>
    </row>
    <row r="1479" spans="1:33">
      <c r="A1479" s="29"/>
      <c r="B1479" s="29"/>
      <c r="C1479" s="29"/>
      <c r="D1479" s="29"/>
      <c r="E1479" s="30"/>
      <c r="F1479" s="30"/>
      <c r="X1479" s="29"/>
      <c r="Y1479" s="29"/>
      <c r="AA1479" s="18"/>
      <c r="AC1479" s="31"/>
      <c r="AE1479" s="18"/>
      <c r="AG1479" s="29"/>
    </row>
    <row r="1480" spans="1:33">
      <c r="A1480" s="29"/>
      <c r="B1480" s="29"/>
      <c r="C1480" s="29"/>
      <c r="D1480" s="29"/>
      <c r="E1480" s="30"/>
      <c r="F1480" s="30"/>
      <c r="X1480" s="29"/>
      <c r="Y1480" s="29"/>
      <c r="AA1480" s="18"/>
      <c r="AC1480" s="31"/>
      <c r="AE1480" s="18"/>
      <c r="AG1480" s="29"/>
    </row>
    <row r="1481" spans="1:33">
      <c r="A1481" s="29"/>
      <c r="B1481" s="29"/>
      <c r="C1481" s="29"/>
      <c r="D1481" s="29"/>
      <c r="E1481" s="30"/>
      <c r="F1481" s="30"/>
      <c r="X1481" s="29"/>
      <c r="Y1481" s="29"/>
      <c r="AA1481" s="18"/>
      <c r="AC1481" s="31"/>
      <c r="AE1481" s="18"/>
      <c r="AG1481" s="29"/>
    </row>
    <row r="1482" spans="1:33">
      <c r="A1482" s="29"/>
      <c r="B1482" s="29"/>
      <c r="C1482" s="29"/>
      <c r="D1482" s="29"/>
      <c r="E1482" s="30"/>
      <c r="F1482" s="30"/>
      <c r="X1482" s="29"/>
      <c r="Y1482" s="29"/>
      <c r="AA1482" s="18"/>
      <c r="AC1482" s="31"/>
      <c r="AE1482" s="18"/>
      <c r="AG1482" s="29"/>
    </row>
    <row r="1483" spans="1:33">
      <c r="A1483" s="29"/>
      <c r="B1483" s="29"/>
      <c r="C1483" s="29"/>
      <c r="D1483" s="29"/>
      <c r="E1483" s="30"/>
      <c r="F1483" s="30"/>
      <c r="X1483" s="29"/>
      <c r="Y1483" s="29"/>
      <c r="AA1483" s="18"/>
      <c r="AC1483" s="31"/>
      <c r="AE1483" s="18"/>
      <c r="AG1483" s="29"/>
    </row>
    <row r="1484" spans="1:33">
      <c r="A1484" s="29"/>
      <c r="B1484" s="29"/>
      <c r="C1484" s="29"/>
      <c r="D1484" s="29"/>
      <c r="E1484" s="30"/>
      <c r="F1484" s="30"/>
      <c r="X1484" s="29"/>
      <c r="Y1484" s="29"/>
      <c r="AA1484" s="18"/>
      <c r="AC1484" s="31"/>
      <c r="AE1484" s="18"/>
      <c r="AG1484" s="29"/>
    </row>
    <row r="1485" spans="1:33">
      <c r="A1485" s="29"/>
      <c r="B1485" s="29"/>
      <c r="C1485" s="29"/>
      <c r="D1485" s="29"/>
      <c r="E1485" s="30"/>
      <c r="F1485" s="30"/>
      <c r="X1485" s="29"/>
      <c r="Y1485" s="29"/>
      <c r="AA1485" s="18"/>
      <c r="AC1485" s="31"/>
      <c r="AE1485" s="18"/>
      <c r="AG1485" s="29"/>
    </row>
    <row r="1486" spans="1:33">
      <c r="A1486" s="29"/>
      <c r="B1486" s="29"/>
      <c r="C1486" s="29"/>
      <c r="D1486" s="29"/>
      <c r="E1486" s="30"/>
      <c r="F1486" s="30"/>
      <c r="X1486" s="29"/>
      <c r="Y1486" s="29"/>
      <c r="AA1486" s="18"/>
      <c r="AC1486" s="31"/>
      <c r="AE1486" s="18"/>
      <c r="AG1486" s="29"/>
    </row>
    <row r="1487" spans="1:33">
      <c r="A1487" s="29"/>
      <c r="B1487" s="29"/>
      <c r="C1487" s="29"/>
      <c r="D1487" s="29"/>
      <c r="E1487" s="30"/>
      <c r="F1487" s="30"/>
      <c r="X1487" s="29"/>
      <c r="Y1487" s="29"/>
      <c r="AA1487" s="18"/>
      <c r="AC1487" s="31"/>
      <c r="AE1487" s="18"/>
      <c r="AG1487" s="29"/>
    </row>
    <row r="1488" spans="1:33">
      <c r="A1488" s="29"/>
      <c r="B1488" s="29"/>
      <c r="C1488" s="29"/>
      <c r="D1488" s="29"/>
      <c r="E1488" s="30"/>
      <c r="F1488" s="30"/>
      <c r="X1488" s="29"/>
      <c r="Y1488" s="29"/>
      <c r="AA1488" s="18"/>
      <c r="AC1488" s="31"/>
      <c r="AE1488" s="18"/>
      <c r="AG1488" s="29"/>
    </row>
    <row r="1489" spans="1:33">
      <c r="A1489" s="29"/>
      <c r="B1489" s="29"/>
      <c r="C1489" s="29"/>
      <c r="D1489" s="29"/>
      <c r="E1489" s="30"/>
      <c r="F1489" s="30"/>
      <c r="X1489" s="29"/>
      <c r="Y1489" s="29"/>
      <c r="AA1489" s="18"/>
      <c r="AC1489" s="31"/>
      <c r="AE1489" s="18"/>
      <c r="AG1489" s="29"/>
    </row>
    <row r="1490" spans="1:33">
      <c r="A1490" s="29"/>
      <c r="B1490" s="29"/>
      <c r="C1490" s="29"/>
      <c r="D1490" s="29"/>
      <c r="E1490" s="30"/>
      <c r="F1490" s="30"/>
      <c r="X1490" s="29"/>
      <c r="Y1490" s="29"/>
      <c r="AA1490" s="18"/>
      <c r="AC1490" s="31"/>
      <c r="AE1490" s="18"/>
      <c r="AG1490" s="29"/>
    </row>
    <row r="1491" spans="1:33">
      <c r="A1491" s="29"/>
      <c r="B1491" s="29"/>
      <c r="C1491" s="29"/>
      <c r="D1491" s="29"/>
      <c r="E1491" s="30"/>
      <c r="F1491" s="30"/>
      <c r="X1491" s="29"/>
      <c r="Y1491" s="29"/>
      <c r="AA1491" s="18"/>
      <c r="AC1491" s="31"/>
      <c r="AE1491" s="18"/>
      <c r="AG1491" s="29"/>
    </row>
    <row r="1492" spans="1:33">
      <c r="A1492" s="29"/>
      <c r="B1492" s="29"/>
      <c r="C1492" s="29"/>
      <c r="D1492" s="29"/>
      <c r="E1492" s="30"/>
      <c r="F1492" s="30"/>
      <c r="X1492" s="29"/>
      <c r="Y1492" s="29"/>
      <c r="AA1492" s="18"/>
      <c r="AC1492" s="31"/>
      <c r="AE1492" s="18"/>
      <c r="AG1492" s="29"/>
    </row>
    <row r="1493" spans="1:33">
      <c r="A1493" s="29"/>
      <c r="B1493" s="29"/>
      <c r="C1493" s="29"/>
      <c r="D1493" s="29"/>
      <c r="E1493" s="30"/>
      <c r="F1493" s="30"/>
      <c r="X1493" s="29"/>
      <c r="Y1493" s="29"/>
      <c r="AA1493" s="18"/>
      <c r="AC1493" s="31"/>
      <c r="AE1493" s="18"/>
      <c r="AG1493" s="29"/>
    </row>
    <row r="1494" spans="1:33">
      <c r="A1494" s="29"/>
      <c r="B1494" s="29"/>
      <c r="C1494" s="29"/>
      <c r="D1494" s="29"/>
      <c r="E1494" s="30"/>
      <c r="F1494" s="30"/>
      <c r="X1494" s="29"/>
      <c r="Y1494" s="29"/>
      <c r="AA1494" s="18"/>
      <c r="AC1494" s="31"/>
      <c r="AE1494" s="18"/>
      <c r="AG1494" s="29"/>
    </row>
    <row r="1495" spans="1:33">
      <c r="A1495" s="29"/>
      <c r="B1495" s="29"/>
      <c r="C1495" s="29"/>
      <c r="D1495" s="29"/>
      <c r="E1495" s="30"/>
      <c r="F1495" s="30"/>
      <c r="X1495" s="29"/>
      <c r="Y1495" s="29"/>
      <c r="AA1495" s="18"/>
      <c r="AC1495" s="31"/>
      <c r="AE1495" s="18"/>
      <c r="AG1495" s="29"/>
    </row>
    <row r="1496" spans="1:33">
      <c r="A1496" s="29"/>
      <c r="B1496" s="29"/>
      <c r="C1496" s="29"/>
      <c r="D1496" s="29"/>
      <c r="E1496" s="30"/>
      <c r="F1496" s="30"/>
      <c r="X1496" s="29"/>
      <c r="Y1496" s="29"/>
      <c r="AA1496" s="18"/>
      <c r="AC1496" s="31"/>
      <c r="AE1496" s="18"/>
      <c r="AG1496" s="29"/>
    </row>
    <row r="1497" spans="1:33">
      <c r="A1497" s="29"/>
      <c r="B1497" s="29"/>
      <c r="C1497" s="29"/>
      <c r="D1497" s="29"/>
      <c r="E1497" s="30"/>
      <c r="F1497" s="30"/>
      <c r="X1497" s="29"/>
      <c r="Y1497" s="29"/>
      <c r="AA1497" s="18"/>
      <c r="AC1497" s="30"/>
      <c r="AE1497" s="18"/>
      <c r="AG1497" s="29"/>
    </row>
    <row r="1498" spans="1:33">
      <c r="A1498" s="29"/>
      <c r="B1498" s="29"/>
      <c r="C1498" s="29"/>
      <c r="D1498" s="29"/>
      <c r="E1498" s="30"/>
      <c r="F1498" s="30"/>
      <c r="X1498" s="29"/>
      <c r="Y1498" s="29"/>
      <c r="AA1498" s="18"/>
      <c r="AC1498" s="31"/>
      <c r="AE1498" s="18"/>
      <c r="AG1498" s="29"/>
    </row>
    <row r="1499" spans="1:33">
      <c r="A1499" s="29"/>
      <c r="B1499" s="29"/>
      <c r="C1499" s="29"/>
      <c r="D1499" s="29"/>
      <c r="E1499" s="30"/>
      <c r="F1499" s="30"/>
      <c r="X1499" s="29"/>
      <c r="Y1499" s="29"/>
      <c r="AA1499" s="18"/>
      <c r="AC1499" s="31"/>
      <c r="AE1499" s="18"/>
      <c r="AG1499" s="29"/>
    </row>
    <row r="1500" spans="1:33">
      <c r="A1500" s="29"/>
      <c r="B1500" s="29"/>
      <c r="C1500" s="29"/>
      <c r="D1500" s="29"/>
      <c r="E1500" s="30"/>
      <c r="F1500" s="30"/>
      <c r="X1500" s="29"/>
      <c r="Y1500" s="29"/>
      <c r="AA1500" s="18"/>
      <c r="AC1500" s="31"/>
      <c r="AE1500" s="18"/>
      <c r="AG1500" s="29"/>
    </row>
    <row r="1501" spans="1:33">
      <c r="A1501" s="29"/>
      <c r="B1501" s="29"/>
      <c r="C1501" s="29"/>
      <c r="D1501" s="29"/>
      <c r="E1501" s="30"/>
      <c r="F1501" s="30"/>
      <c r="X1501" s="29"/>
      <c r="Y1501" s="29"/>
      <c r="AA1501" s="18"/>
      <c r="AC1501" s="31"/>
      <c r="AE1501" s="18"/>
      <c r="AG1501" s="29"/>
    </row>
    <row r="1502" spans="1:33">
      <c r="A1502" s="29"/>
      <c r="B1502" s="29"/>
      <c r="C1502" s="29"/>
      <c r="D1502" s="29"/>
      <c r="E1502" s="30"/>
      <c r="F1502" s="30"/>
      <c r="X1502" s="29"/>
      <c r="Y1502" s="29"/>
      <c r="AA1502" s="18"/>
      <c r="AC1502" s="31"/>
      <c r="AE1502" s="18"/>
      <c r="AG1502" s="29"/>
    </row>
    <row r="1503" spans="1:33">
      <c r="A1503" s="29"/>
      <c r="B1503" s="29"/>
      <c r="C1503" s="29"/>
      <c r="D1503" s="29"/>
      <c r="E1503" s="30"/>
      <c r="F1503" s="30"/>
      <c r="X1503" s="29"/>
      <c r="Y1503" s="29"/>
      <c r="AA1503" s="18"/>
      <c r="AC1503" s="31"/>
      <c r="AE1503" s="18"/>
      <c r="AG1503" s="29"/>
    </row>
    <row r="1504" spans="1:33">
      <c r="A1504" s="29"/>
      <c r="B1504" s="29"/>
      <c r="C1504" s="29"/>
      <c r="D1504" s="29"/>
      <c r="E1504" s="30"/>
      <c r="F1504" s="30"/>
      <c r="X1504" s="29"/>
      <c r="Y1504" s="29"/>
      <c r="AA1504" s="18"/>
      <c r="AC1504" s="31"/>
      <c r="AE1504" s="18"/>
      <c r="AG1504" s="29"/>
    </row>
    <row r="1505" spans="1:33">
      <c r="A1505" s="29"/>
      <c r="B1505" s="29"/>
      <c r="C1505" s="29"/>
      <c r="D1505" s="29"/>
      <c r="E1505" s="30"/>
      <c r="F1505" s="30"/>
      <c r="X1505" s="29"/>
      <c r="Y1505" s="29"/>
      <c r="AA1505" s="18"/>
      <c r="AC1505" s="31"/>
      <c r="AE1505" s="18"/>
      <c r="AG1505" s="29"/>
    </row>
    <row r="1506" spans="1:33">
      <c r="A1506" s="29"/>
      <c r="B1506" s="29"/>
      <c r="C1506" s="29"/>
      <c r="D1506" s="29"/>
      <c r="E1506" s="30"/>
      <c r="F1506" s="30"/>
      <c r="X1506" s="29"/>
      <c r="Y1506" s="29"/>
      <c r="AA1506" s="18"/>
      <c r="AC1506" s="31"/>
      <c r="AE1506" s="18"/>
      <c r="AG1506" s="29"/>
    </row>
    <row r="1507" spans="1:33">
      <c r="A1507" s="29"/>
      <c r="B1507" s="29"/>
      <c r="C1507" s="29"/>
      <c r="D1507" s="29"/>
      <c r="E1507" s="30"/>
      <c r="F1507" s="30"/>
      <c r="X1507" s="29"/>
      <c r="Y1507" s="29"/>
      <c r="AA1507" s="18"/>
      <c r="AC1507" s="31"/>
      <c r="AE1507" s="18"/>
      <c r="AG1507" s="29"/>
    </row>
    <row r="1508" spans="1:33">
      <c r="A1508" s="29"/>
      <c r="B1508" s="29"/>
      <c r="C1508" s="29"/>
      <c r="D1508" s="29"/>
      <c r="E1508" s="30"/>
      <c r="F1508" s="30"/>
      <c r="X1508" s="29"/>
      <c r="Y1508" s="29"/>
      <c r="AA1508" s="18"/>
      <c r="AC1508" s="31"/>
      <c r="AE1508" s="18"/>
      <c r="AG1508" s="29"/>
    </row>
    <row r="1509" spans="1:33">
      <c r="A1509" s="29"/>
      <c r="B1509" s="29"/>
      <c r="C1509" s="29"/>
      <c r="D1509" s="29"/>
      <c r="E1509" s="30"/>
      <c r="F1509" s="30"/>
      <c r="X1509" s="29"/>
      <c r="Y1509" s="29"/>
      <c r="AA1509" s="18"/>
      <c r="AC1509" s="31"/>
      <c r="AE1509" s="18"/>
      <c r="AG1509" s="29"/>
    </row>
    <row r="1510" spans="1:33">
      <c r="A1510" s="29"/>
      <c r="B1510" s="29"/>
      <c r="C1510" s="29"/>
      <c r="D1510" s="29"/>
      <c r="E1510" s="30"/>
      <c r="F1510" s="30"/>
      <c r="X1510" s="29"/>
      <c r="Y1510" s="29"/>
      <c r="AA1510" s="18"/>
      <c r="AC1510" s="30"/>
      <c r="AE1510" s="18"/>
      <c r="AG1510" s="29"/>
    </row>
    <row r="1511" spans="1:33">
      <c r="A1511" s="29"/>
      <c r="B1511" s="29"/>
      <c r="C1511" s="29"/>
      <c r="D1511" s="29"/>
      <c r="E1511" s="30"/>
      <c r="F1511" s="30"/>
      <c r="X1511" s="29"/>
      <c r="Y1511" s="29"/>
      <c r="AA1511" s="18"/>
      <c r="AC1511" s="31"/>
      <c r="AE1511" s="18"/>
      <c r="AG1511" s="29"/>
    </row>
    <row r="1512" spans="1:33">
      <c r="A1512" s="29"/>
      <c r="B1512" s="29"/>
      <c r="C1512" s="29"/>
      <c r="D1512" s="29"/>
      <c r="E1512" s="30"/>
      <c r="F1512" s="30"/>
      <c r="X1512" s="29"/>
      <c r="Y1512" s="29"/>
      <c r="AA1512" s="18"/>
      <c r="AC1512" s="31"/>
      <c r="AE1512" s="18"/>
      <c r="AG1512" s="29"/>
    </row>
    <row r="1513" spans="1:33">
      <c r="A1513" s="29"/>
      <c r="B1513" s="29"/>
      <c r="C1513" s="29"/>
      <c r="D1513" s="29"/>
      <c r="E1513" s="30"/>
      <c r="F1513" s="30"/>
      <c r="X1513" s="29"/>
      <c r="Y1513" s="29"/>
      <c r="AA1513" s="18"/>
      <c r="AC1513" s="31"/>
      <c r="AE1513" s="18"/>
      <c r="AG1513" s="29"/>
    </row>
    <row r="1514" spans="1:33">
      <c r="A1514" s="29"/>
      <c r="B1514" s="29"/>
      <c r="C1514" s="29"/>
      <c r="D1514" s="29"/>
      <c r="E1514" s="30"/>
      <c r="F1514" s="30"/>
      <c r="X1514" s="29"/>
      <c r="Y1514" s="29"/>
      <c r="AA1514" s="18"/>
      <c r="AC1514" s="31"/>
      <c r="AE1514" s="18"/>
      <c r="AG1514" s="29"/>
    </row>
    <row r="1515" spans="1:33">
      <c r="A1515" s="29"/>
      <c r="B1515" s="29"/>
      <c r="C1515" s="29"/>
      <c r="D1515" s="29"/>
      <c r="E1515" s="30"/>
      <c r="F1515" s="30"/>
      <c r="X1515" s="29"/>
      <c r="Y1515" s="29"/>
      <c r="AA1515" s="18"/>
      <c r="AC1515" s="31"/>
      <c r="AE1515" s="18"/>
      <c r="AG1515" s="29"/>
    </row>
    <row r="1516" spans="1:33">
      <c r="A1516" s="29"/>
      <c r="B1516" s="29"/>
      <c r="C1516" s="29"/>
      <c r="D1516" s="29"/>
      <c r="E1516" s="30"/>
      <c r="F1516" s="30"/>
      <c r="X1516" s="29"/>
      <c r="Y1516" s="29"/>
      <c r="AA1516" s="18"/>
      <c r="AC1516" s="31"/>
      <c r="AE1516" s="18"/>
      <c r="AG1516" s="29"/>
    </row>
    <row r="1517" spans="1:33">
      <c r="A1517" s="29"/>
      <c r="B1517" s="29"/>
      <c r="C1517" s="29"/>
      <c r="D1517" s="29"/>
      <c r="E1517" s="30"/>
      <c r="F1517" s="30"/>
      <c r="X1517" s="29"/>
      <c r="Y1517" s="29"/>
      <c r="AA1517" s="18"/>
      <c r="AC1517" s="31"/>
      <c r="AE1517" s="18"/>
      <c r="AG1517" s="29"/>
    </row>
    <row r="1518" spans="1:33">
      <c r="A1518" s="29"/>
      <c r="B1518" s="29"/>
      <c r="C1518" s="29"/>
      <c r="D1518" s="29"/>
      <c r="E1518" s="30"/>
      <c r="F1518" s="30"/>
      <c r="X1518" s="29"/>
      <c r="Y1518" s="29"/>
      <c r="AA1518" s="18"/>
      <c r="AC1518" s="31"/>
      <c r="AE1518" s="18"/>
      <c r="AG1518" s="29"/>
    </row>
    <row r="1519" spans="1:33">
      <c r="A1519" s="29"/>
      <c r="B1519" s="29"/>
      <c r="C1519" s="29"/>
      <c r="D1519" s="29"/>
      <c r="E1519" s="30"/>
      <c r="F1519" s="30"/>
      <c r="X1519" s="29"/>
      <c r="Y1519" s="29"/>
      <c r="AA1519" s="18"/>
      <c r="AC1519" s="31"/>
      <c r="AE1519" s="18"/>
      <c r="AG1519" s="29"/>
    </row>
    <row r="1520" spans="1:33">
      <c r="A1520" s="29"/>
      <c r="B1520" s="29"/>
      <c r="C1520" s="29"/>
      <c r="D1520" s="29"/>
      <c r="E1520" s="30"/>
      <c r="F1520" s="30"/>
      <c r="X1520" s="29"/>
      <c r="Y1520" s="29"/>
      <c r="AA1520" s="18"/>
      <c r="AC1520" s="31"/>
      <c r="AE1520" s="18"/>
      <c r="AG1520" s="29"/>
    </row>
    <row r="1521" spans="1:33">
      <c r="A1521" s="29"/>
      <c r="B1521" s="29"/>
      <c r="C1521" s="29"/>
      <c r="D1521" s="29"/>
      <c r="E1521" s="30"/>
      <c r="F1521" s="30"/>
      <c r="X1521" s="29"/>
      <c r="Y1521" s="29"/>
      <c r="AA1521" s="18"/>
      <c r="AC1521" s="31"/>
      <c r="AE1521" s="18"/>
      <c r="AG1521" s="29"/>
    </row>
    <row r="1522" spans="1:33">
      <c r="A1522" s="29"/>
      <c r="B1522" s="29"/>
      <c r="C1522" s="29"/>
      <c r="D1522" s="29"/>
      <c r="E1522" s="30"/>
      <c r="F1522" s="30"/>
      <c r="X1522" s="29"/>
      <c r="Y1522" s="29"/>
      <c r="AA1522" s="18"/>
      <c r="AC1522" s="31"/>
      <c r="AE1522" s="18"/>
      <c r="AG1522" s="29"/>
    </row>
    <row r="1523" spans="1:33">
      <c r="A1523" s="29"/>
      <c r="B1523" s="29"/>
      <c r="C1523" s="29"/>
      <c r="D1523" s="29"/>
      <c r="E1523" s="30"/>
      <c r="F1523" s="30"/>
      <c r="X1523" s="29"/>
      <c r="Y1523" s="29"/>
      <c r="AA1523" s="18"/>
      <c r="AC1523" s="31"/>
      <c r="AE1523" s="18"/>
      <c r="AG1523" s="29"/>
    </row>
    <row r="1524" spans="1:33">
      <c r="A1524" s="29"/>
      <c r="B1524" s="29"/>
      <c r="C1524" s="29"/>
      <c r="D1524" s="29"/>
      <c r="E1524" s="30"/>
      <c r="F1524" s="30"/>
      <c r="X1524" s="29"/>
      <c r="Y1524" s="29"/>
      <c r="AA1524" s="18"/>
      <c r="AC1524" s="31"/>
      <c r="AE1524" s="18"/>
      <c r="AG1524" s="29"/>
    </row>
    <row r="1525" spans="1:33">
      <c r="A1525" s="29"/>
      <c r="B1525" s="29"/>
      <c r="C1525" s="29"/>
      <c r="D1525" s="29"/>
      <c r="E1525" s="30"/>
      <c r="F1525" s="30"/>
      <c r="X1525" s="29"/>
      <c r="Y1525" s="29"/>
      <c r="AA1525" s="18"/>
      <c r="AC1525" s="31"/>
      <c r="AE1525" s="18"/>
      <c r="AG1525" s="29"/>
    </row>
    <row r="1526" spans="1:33">
      <c r="A1526" s="29"/>
      <c r="B1526" s="29"/>
      <c r="C1526" s="29"/>
      <c r="D1526" s="29"/>
      <c r="E1526" s="30"/>
      <c r="F1526" s="30"/>
      <c r="X1526" s="29"/>
      <c r="Y1526" s="29"/>
      <c r="AA1526" s="18"/>
      <c r="AC1526" s="31"/>
      <c r="AE1526" s="18"/>
      <c r="AG1526" s="29"/>
    </row>
    <row r="1527" spans="1:33">
      <c r="A1527" s="29"/>
      <c r="B1527" s="29"/>
      <c r="C1527" s="29"/>
      <c r="D1527" s="29"/>
      <c r="E1527" s="30"/>
      <c r="F1527" s="30"/>
      <c r="X1527" s="29"/>
      <c r="Y1527" s="29"/>
      <c r="AA1527" s="18"/>
      <c r="AC1527" s="31"/>
      <c r="AE1527" s="18"/>
      <c r="AG1527" s="29"/>
    </row>
    <row r="1528" spans="1:33">
      <c r="A1528" s="29"/>
      <c r="B1528" s="29"/>
      <c r="C1528" s="29"/>
      <c r="D1528" s="29"/>
      <c r="E1528" s="30"/>
      <c r="F1528" s="30"/>
      <c r="X1528" s="29"/>
      <c r="Y1528" s="29"/>
      <c r="AA1528" s="18"/>
      <c r="AC1528" s="31"/>
      <c r="AE1528" s="18"/>
      <c r="AG1528" s="29"/>
    </row>
    <row r="1529" spans="1:33">
      <c r="A1529" s="29"/>
      <c r="B1529" s="29"/>
      <c r="C1529" s="29"/>
      <c r="D1529" s="29"/>
      <c r="E1529" s="30"/>
      <c r="F1529" s="30"/>
      <c r="X1529" s="29"/>
      <c r="Y1529" s="29"/>
      <c r="AA1529" s="18"/>
      <c r="AC1529" s="31"/>
      <c r="AE1529" s="18"/>
      <c r="AG1529" s="29"/>
    </row>
    <row r="1530" spans="1:33">
      <c r="A1530" s="29"/>
      <c r="B1530" s="29"/>
      <c r="C1530" s="29"/>
      <c r="D1530" s="29"/>
      <c r="E1530" s="30"/>
      <c r="F1530" s="30"/>
      <c r="X1530" s="29"/>
      <c r="Y1530" s="29"/>
      <c r="AA1530" s="18"/>
      <c r="AC1530" s="31"/>
      <c r="AE1530" s="18"/>
      <c r="AG1530" s="29"/>
    </row>
    <row r="1531" spans="1:33">
      <c r="A1531" s="29"/>
      <c r="B1531" s="29"/>
      <c r="C1531" s="29"/>
      <c r="D1531" s="29"/>
      <c r="E1531" s="30"/>
      <c r="F1531" s="30"/>
      <c r="X1531" s="29"/>
      <c r="Y1531" s="29"/>
      <c r="AA1531" s="18"/>
      <c r="AC1531" s="31"/>
      <c r="AE1531" s="18"/>
      <c r="AG1531" s="29"/>
    </row>
    <row r="1532" spans="1:33">
      <c r="A1532" s="29"/>
      <c r="B1532" s="29"/>
      <c r="C1532" s="29"/>
      <c r="D1532" s="29"/>
      <c r="E1532" s="30"/>
      <c r="F1532" s="30"/>
      <c r="X1532" s="29"/>
      <c r="Y1532" s="29"/>
      <c r="AA1532" s="18"/>
      <c r="AC1532" s="31"/>
      <c r="AE1532" s="18"/>
      <c r="AG1532" s="29"/>
    </row>
    <row r="1533" spans="1:33">
      <c r="A1533" s="29"/>
      <c r="B1533" s="29"/>
      <c r="C1533" s="29"/>
      <c r="D1533" s="29"/>
      <c r="E1533" s="30"/>
      <c r="F1533" s="30"/>
      <c r="X1533" s="29"/>
      <c r="Y1533" s="29"/>
      <c r="AA1533" s="18"/>
      <c r="AC1533" s="31"/>
      <c r="AE1533" s="18"/>
      <c r="AG1533" s="29"/>
    </row>
    <row r="1534" spans="1:33">
      <c r="A1534" s="29"/>
      <c r="B1534" s="29"/>
      <c r="C1534" s="29"/>
      <c r="D1534" s="29"/>
      <c r="E1534" s="30"/>
      <c r="F1534" s="30"/>
      <c r="X1534" s="29"/>
      <c r="Y1534" s="29"/>
      <c r="AA1534" s="18"/>
      <c r="AC1534" s="31"/>
      <c r="AE1534" s="18"/>
      <c r="AG1534" s="29"/>
    </row>
    <row r="1535" spans="1:33">
      <c r="A1535" s="29"/>
      <c r="B1535" s="29"/>
      <c r="C1535" s="29"/>
      <c r="D1535" s="29"/>
      <c r="E1535" s="30"/>
      <c r="F1535" s="30"/>
      <c r="X1535" s="29"/>
      <c r="Y1535" s="29"/>
      <c r="AA1535" s="18"/>
      <c r="AC1535" s="31"/>
      <c r="AE1535" s="18"/>
      <c r="AG1535" s="29"/>
    </row>
    <row r="1536" spans="1:33">
      <c r="A1536" s="29"/>
      <c r="B1536" s="29"/>
      <c r="C1536" s="29"/>
      <c r="D1536" s="29"/>
      <c r="E1536" s="30"/>
      <c r="F1536" s="30"/>
      <c r="X1536" s="29"/>
      <c r="Y1536" s="29"/>
      <c r="AA1536" s="18"/>
      <c r="AC1536" s="31"/>
      <c r="AE1536" s="18"/>
      <c r="AG1536" s="29"/>
    </row>
    <row r="1537" spans="1:33">
      <c r="A1537" s="29"/>
      <c r="B1537" s="29"/>
      <c r="C1537" s="29"/>
      <c r="D1537" s="29"/>
      <c r="E1537" s="30"/>
      <c r="F1537" s="30"/>
      <c r="X1537" s="29"/>
      <c r="Y1537" s="29"/>
      <c r="AA1537" s="18"/>
      <c r="AC1537" s="31"/>
      <c r="AE1537" s="18"/>
      <c r="AG1537" s="29"/>
    </row>
    <row r="1538" spans="1:33">
      <c r="A1538" s="29"/>
      <c r="B1538" s="29"/>
      <c r="C1538" s="29"/>
      <c r="D1538" s="29"/>
      <c r="E1538" s="30"/>
      <c r="F1538" s="30"/>
      <c r="X1538" s="29"/>
      <c r="Y1538" s="29"/>
      <c r="AA1538" s="18"/>
      <c r="AC1538" s="31"/>
      <c r="AE1538" s="18"/>
      <c r="AG1538" s="29"/>
    </row>
    <row r="1539" spans="1:33">
      <c r="A1539" s="29"/>
      <c r="B1539" s="29"/>
      <c r="C1539" s="29"/>
      <c r="D1539" s="29"/>
      <c r="E1539" s="30"/>
      <c r="F1539" s="30"/>
      <c r="X1539" s="29"/>
      <c r="Y1539" s="29"/>
      <c r="AA1539" s="18"/>
      <c r="AC1539" s="31"/>
      <c r="AE1539" s="18"/>
      <c r="AG1539" s="29"/>
    </row>
    <row r="1540" spans="1:33">
      <c r="A1540" s="29"/>
      <c r="B1540" s="29"/>
      <c r="C1540" s="29"/>
      <c r="D1540" s="29"/>
      <c r="E1540" s="30"/>
      <c r="F1540" s="30"/>
      <c r="X1540" s="29"/>
      <c r="Y1540" s="29"/>
      <c r="AA1540" s="18"/>
      <c r="AC1540" s="31"/>
      <c r="AE1540" s="18"/>
      <c r="AG1540" s="29"/>
    </row>
    <row r="1541" spans="1:33">
      <c r="A1541" s="29"/>
      <c r="B1541" s="29"/>
      <c r="C1541" s="29"/>
      <c r="D1541" s="29"/>
      <c r="E1541" s="30"/>
      <c r="F1541" s="30"/>
      <c r="X1541" s="29"/>
      <c r="Y1541" s="29"/>
      <c r="AA1541" s="18"/>
      <c r="AC1541" s="31"/>
      <c r="AE1541" s="18"/>
      <c r="AG1541" s="29"/>
    </row>
    <row r="1542" spans="1:33">
      <c r="A1542" s="29"/>
      <c r="B1542" s="29"/>
      <c r="C1542" s="29"/>
      <c r="D1542" s="29"/>
      <c r="E1542" s="30"/>
      <c r="F1542" s="30"/>
      <c r="X1542" s="29"/>
      <c r="Y1542" s="29"/>
      <c r="AA1542" s="18"/>
      <c r="AC1542" s="31"/>
      <c r="AE1542" s="18"/>
      <c r="AG1542" s="29"/>
    </row>
    <row r="1543" spans="1:33">
      <c r="A1543" s="29"/>
      <c r="B1543" s="29"/>
      <c r="C1543" s="29"/>
      <c r="D1543" s="29"/>
      <c r="E1543" s="30"/>
      <c r="F1543" s="30"/>
      <c r="X1543" s="29"/>
      <c r="Y1543" s="29"/>
      <c r="AA1543" s="18"/>
      <c r="AC1543" s="31"/>
      <c r="AE1543" s="18"/>
      <c r="AG1543" s="29"/>
    </row>
    <row r="1544" spans="1:33">
      <c r="A1544" s="29"/>
      <c r="B1544" s="29"/>
      <c r="C1544" s="29"/>
      <c r="D1544" s="29"/>
      <c r="E1544" s="30"/>
      <c r="F1544" s="30"/>
      <c r="X1544" s="29"/>
      <c r="Y1544" s="29"/>
      <c r="AA1544" s="18"/>
      <c r="AC1544" s="31"/>
      <c r="AE1544" s="18"/>
      <c r="AG1544" s="29"/>
    </row>
    <row r="1545" spans="1:33">
      <c r="A1545" s="29"/>
      <c r="B1545" s="29"/>
      <c r="C1545" s="29"/>
      <c r="D1545" s="29"/>
      <c r="E1545" s="30"/>
      <c r="F1545" s="30"/>
      <c r="X1545" s="29"/>
      <c r="Y1545" s="29"/>
      <c r="AA1545" s="18"/>
      <c r="AC1545" s="31"/>
      <c r="AE1545" s="18"/>
      <c r="AG1545" s="29"/>
    </row>
    <row r="1546" spans="1:33">
      <c r="A1546" s="29"/>
      <c r="B1546" s="29"/>
      <c r="C1546" s="29"/>
      <c r="D1546" s="29"/>
      <c r="E1546" s="30"/>
      <c r="F1546" s="30"/>
      <c r="X1546" s="29"/>
      <c r="Y1546" s="29"/>
      <c r="AA1546" s="18"/>
      <c r="AC1546" s="31"/>
      <c r="AE1546" s="18"/>
      <c r="AG1546" s="29"/>
    </row>
    <row r="1547" spans="1:33">
      <c r="A1547" s="29"/>
      <c r="B1547" s="29"/>
      <c r="C1547" s="29"/>
      <c r="D1547" s="29"/>
      <c r="E1547" s="30"/>
      <c r="F1547" s="30"/>
      <c r="X1547" s="29"/>
      <c r="Y1547" s="29"/>
      <c r="AA1547" s="18"/>
      <c r="AC1547" s="31"/>
      <c r="AE1547" s="18"/>
      <c r="AG1547" s="29"/>
    </row>
    <row r="1548" spans="1:33">
      <c r="A1548" s="29"/>
      <c r="B1548" s="29"/>
      <c r="C1548" s="29"/>
      <c r="D1548" s="29"/>
      <c r="E1548" s="30"/>
      <c r="F1548" s="30"/>
      <c r="X1548" s="29"/>
      <c r="Y1548" s="29"/>
      <c r="AA1548" s="18"/>
      <c r="AC1548" s="31"/>
      <c r="AE1548" s="18"/>
      <c r="AG1548" s="29"/>
    </row>
    <row r="1549" spans="1:33">
      <c r="A1549" s="29"/>
      <c r="B1549" s="29"/>
      <c r="C1549" s="29"/>
      <c r="D1549" s="29"/>
      <c r="E1549" s="30"/>
      <c r="F1549" s="30"/>
      <c r="X1549" s="29"/>
      <c r="Y1549" s="29"/>
      <c r="AA1549" s="18"/>
      <c r="AC1549" s="31"/>
      <c r="AE1549" s="18"/>
      <c r="AG1549" s="29"/>
    </row>
    <row r="1550" spans="1:33">
      <c r="A1550" s="29"/>
      <c r="B1550" s="29"/>
      <c r="C1550" s="29"/>
      <c r="D1550" s="29"/>
      <c r="E1550" s="30"/>
      <c r="F1550" s="30"/>
      <c r="X1550" s="29"/>
      <c r="Y1550" s="29"/>
      <c r="AA1550" s="18"/>
      <c r="AC1550" s="31"/>
      <c r="AE1550" s="18"/>
      <c r="AG1550" s="29"/>
    </row>
    <row r="1551" spans="1:33">
      <c r="A1551" s="29"/>
      <c r="B1551" s="29"/>
      <c r="C1551" s="29"/>
      <c r="D1551" s="29"/>
      <c r="E1551" s="30"/>
      <c r="F1551" s="30"/>
      <c r="X1551" s="29"/>
      <c r="Y1551" s="29"/>
      <c r="AA1551" s="18"/>
      <c r="AC1551" s="31"/>
      <c r="AE1551" s="18"/>
      <c r="AG1551" s="29"/>
    </row>
    <row r="1552" spans="1:33">
      <c r="A1552" s="29"/>
      <c r="B1552" s="29"/>
      <c r="C1552" s="29"/>
      <c r="D1552" s="29"/>
      <c r="E1552" s="30"/>
      <c r="F1552" s="30"/>
      <c r="X1552" s="29"/>
      <c r="Y1552" s="29"/>
      <c r="AA1552" s="18"/>
      <c r="AC1552" s="31"/>
      <c r="AE1552" s="18"/>
      <c r="AG1552" s="29"/>
    </row>
    <row r="1553" spans="1:33">
      <c r="A1553" s="29"/>
      <c r="B1553" s="29"/>
      <c r="C1553" s="29"/>
      <c r="D1553" s="29"/>
      <c r="E1553" s="30"/>
      <c r="F1553" s="30"/>
      <c r="X1553" s="29"/>
      <c r="Y1553" s="29"/>
      <c r="AA1553" s="18"/>
      <c r="AC1553" s="31"/>
      <c r="AE1553" s="18"/>
      <c r="AG1553" s="29"/>
    </row>
    <row r="1554" spans="1:33">
      <c r="A1554" s="29"/>
      <c r="B1554" s="29"/>
      <c r="C1554" s="29"/>
      <c r="D1554" s="29"/>
      <c r="E1554" s="30"/>
      <c r="F1554" s="30"/>
      <c r="X1554" s="29"/>
      <c r="Y1554" s="29"/>
      <c r="AA1554" s="18"/>
      <c r="AC1554" s="31"/>
      <c r="AE1554" s="18"/>
      <c r="AG1554" s="29"/>
    </row>
    <row r="1555" spans="1:33">
      <c r="A1555" s="29"/>
      <c r="B1555" s="29"/>
      <c r="C1555" s="29"/>
      <c r="D1555" s="29"/>
      <c r="E1555" s="30"/>
      <c r="F1555" s="30"/>
      <c r="X1555" s="29"/>
      <c r="Y1555" s="29"/>
      <c r="AA1555" s="18"/>
      <c r="AC1555" s="30"/>
      <c r="AE1555" s="18"/>
      <c r="AG1555" s="29"/>
    </row>
    <row r="1556" spans="1:33">
      <c r="A1556" s="29"/>
      <c r="B1556" s="29"/>
      <c r="C1556" s="29"/>
      <c r="D1556" s="29"/>
      <c r="E1556" s="30"/>
      <c r="F1556" s="30"/>
      <c r="X1556" s="29"/>
      <c r="Y1556" s="29"/>
      <c r="AA1556" s="18"/>
      <c r="AC1556" s="31"/>
      <c r="AE1556" s="18"/>
      <c r="AG1556" s="29"/>
    </row>
    <row r="1557" spans="1:33">
      <c r="A1557" s="29"/>
      <c r="B1557" s="29"/>
      <c r="C1557" s="29"/>
      <c r="D1557" s="29"/>
      <c r="E1557" s="30"/>
      <c r="F1557" s="30"/>
      <c r="X1557" s="29"/>
      <c r="Y1557" s="29"/>
      <c r="AA1557" s="18"/>
      <c r="AC1557" s="31"/>
      <c r="AE1557" s="18"/>
      <c r="AG1557" s="29"/>
    </row>
    <row r="1558" spans="1:33">
      <c r="A1558" s="29"/>
      <c r="B1558" s="29"/>
      <c r="C1558" s="29"/>
      <c r="D1558" s="29"/>
      <c r="E1558" s="30"/>
      <c r="F1558" s="30"/>
      <c r="X1558" s="29"/>
      <c r="Y1558" s="29"/>
      <c r="AA1558" s="18"/>
      <c r="AC1558" s="31"/>
      <c r="AE1558" s="18"/>
      <c r="AG1558" s="29"/>
    </row>
    <row r="1559" spans="1:33">
      <c r="A1559" s="29"/>
      <c r="B1559" s="29"/>
      <c r="C1559" s="29"/>
      <c r="D1559" s="29"/>
      <c r="E1559" s="30"/>
      <c r="F1559" s="30"/>
      <c r="X1559" s="29"/>
      <c r="Y1559" s="29"/>
      <c r="AA1559" s="18"/>
      <c r="AC1559" s="31"/>
      <c r="AE1559" s="18"/>
      <c r="AG1559" s="29"/>
    </row>
    <row r="1560" spans="1:33">
      <c r="A1560" s="29"/>
      <c r="B1560" s="29"/>
      <c r="C1560" s="29"/>
      <c r="D1560" s="29"/>
      <c r="E1560" s="30"/>
      <c r="F1560" s="30"/>
      <c r="X1560" s="29"/>
      <c r="Y1560" s="29"/>
      <c r="AA1560" s="18"/>
      <c r="AC1560" s="31"/>
      <c r="AE1560" s="18"/>
      <c r="AG1560" s="29"/>
    </row>
    <row r="1561" spans="1:33">
      <c r="A1561" s="29"/>
      <c r="B1561" s="29"/>
      <c r="C1561" s="29"/>
      <c r="D1561" s="29"/>
      <c r="E1561" s="30"/>
      <c r="F1561" s="30"/>
      <c r="X1561" s="29"/>
      <c r="Y1561" s="29"/>
      <c r="AA1561" s="18"/>
      <c r="AC1561" s="30"/>
      <c r="AE1561" s="18"/>
      <c r="AG1561" s="29"/>
    </row>
    <row r="1562" spans="1:33">
      <c r="A1562" s="29"/>
      <c r="B1562" s="29"/>
      <c r="C1562" s="29"/>
      <c r="D1562" s="29"/>
      <c r="E1562" s="30"/>
      <c r="F1562" s="30"/>
      <c r="X1562" s="29"/>
      <c r="Y1562" s="29"/>
      <c r="AA1562" s="18"/>
      <c r="AC1562" s="31"/>
      <c r="AE1562" s="18"/>
      <c r="AG1562" s="29"/>
    </row>
    <row r="1563" spans="1:33">
      <c r="A1563" s="29"/>
      <c r="B1563" s="29"/>
      <c r="C1563" s="29"/>
      <c r="D1563" s="29"/>
      <c r="E1563" s="30"/>
      <c r="F1563" s="30"/>
      <c r="X1563" s="29"/>
      <c r="Y1563" s="29"/>
      <c r="AA1563" s="18"/>
      <c r="AC1563" s="31"/>
      <c r="AE1563" s="18"/>
      <c r="AG1563" s="29"/>
    </row>
    <row r="1564" spans="1:33">
      <c r="A1564" s="29"/>
      <c r="B1564" s="29"/>
      <c r="C1564" s="29"/>
      <c r="D1564" s="29"/>
      <c r="E1564" s="30"/>
      <c r="F1564" s="30"/>
      <c r="X1564" s="29"/>
      <c r="Y1564" s="29"/>
      <c r="AA1564" s="18"/>
      <c r="AC1564" s="30"/>
      <c r="AE1564" s="18"/>
      <c r="AG1564" s="29"/>
    </row>
    <row r="1565" spans="1:33">
      <c r="A1565" s="29"/>
      <c r="B1565" s="29"/>
      <c r="C1565" s="29"/>
      <c r="D1565" s="29"/>
      <c r="E1565" s="30"/>
      <c r="F1565" s="30"/>
      <c r="X1565" s="29"/>
      <c r="Y1565" s="29"/>
      <c r="AA1565" s="18"/>
      <c r="AC1565" s="31"/>
      <c r="AE1565" s="18"/>
      <c r="AG1565" s="29"/>
    </row>
    <row r="1566" spans="1:33">
      <c r="A1566" s="29"/>
      <c r="B1566" s="29"/>
      <c r="C1566" s="29"/>
      <c r="D1566" s="29"/>
      <c r="E1566" s="30"/>
      <c r="F1566" s="30"/>
      <c r="X1566" s="29"/>
      <c r="Y1566" s="29"/>
      <c r="AA1566" s="18"/>
      <c r="AC1566" s="31"/>
      <c r="AE1566" s="18"/>
      <c r="AG1566" s="29"/>
    </row>
    <row r="1567" spans="1:33">
      <c r="A1567" s="29"/>
      <c r="B1567" s="29"/>
      <c r="C1567" s="29"/>
      <c r="D1567" s="29"/>
      <c r="E1567" s="30"/>
      <c r="F1567" s="30"/>
      <c r="X1567" s="29"/>
      <c r="Y1567" s="29"/>
      <c r="AA1567" s="18"/>
      <c r="AC1567" s="31"/>
      <c r="AE1567" s="18"/>
      <c r="AG1567" s="29"/>
    </row>
    <row r="1568" spans="1:33">
      <c r="A1568" s="29"/>
      <c r="B1568" s="29"/>
      <c r="C1568" s="29"/>
      <c r="D1568" s="29"/>
      <c r="E1568" s="30"/>
      <c r="F1568" s="30"/>
      <c r="X1568" s="29"/>
      <c r="Y1568" s="29"/>
      <c r="AA1568" s="18"/>
      <c r="AC1568" s="31"/>
      <c r="AE1568" s="18"/>
      <c r="AG1568" s="29"/>
    </row>
    <row r="1569" spans="1:33">
      <c r="A1569" s="29"/>
      <c r="B1569" s="29"/>
      <c r="C1569" s="29"/>
      <c r="D1569" s="29"/>
      <c r="E1569" s="30"/>
      <c r="F1569" s="30"/>
      <c r="X1569" s="29"/>
      <c r="Y1569" s="29"/>
      <c r="AA1569" s="18"/>
      <c r="AC1569" s="31"/>
      <c r="AE1569" s="18"/>
      <c r="AG1569" s="29"/>
    </row>
    <row r="1570" spans="1:33">
      <c r="A1570" s="29"/>
      <c r="B1570" s="29"/>
      <c r="C1570" s="29"/>
      <c r="D1570" s="29"/>
      <c r="E1570" s="30"/>
      <c r="F1570" s="30"/>
      <c r="X1570" s="29"/>
      <c r="Y1570" s="29"/>
      <c r="AA1570" s="18"/>
      <c r="AC1570" s="31"/>
      <c r="AE1570" s="18"/>
      <c r="AG1570" s="29"/>
    </row>
    <row r="1571" spans="1:33">
      <c r="A1571" s="29"/>
      <c r="B1571" s="29"/>
      <c r="C1571" s="29"/>
      <c r="D1571" s="29"/>
      <c r="E1571" s="30"/>
      <c r="F1571" s="30"/>
      <c r="X1571" s="29"/>
      <c r="Y1571" s="29"/>
      <c r="AA1571" s="18"/>
      <c r="AC1571" s="31"/>
      <c r="AE1571" s="18"/>
      <c r="AG1571" s="29"/>
    </row>
    <row r="1572" spans="1:33">
      <c r="A1572" s="29"/>
      <c r="B1572" s="29"/>
      <c r="C1572" s="29"/>
      <c r="D1572" s="29"/>
      <c r="E1572" s="30"/>
      <c r="F1572" s="30"/>
      <c r="X1572" s="29"/>
      <c r="Y1572" s="29"/>
      <c r="AA1572" s="18"/>
      <c r="AC1572" s="31"/>
      <c r="AE1572" s="18"/>
      <c r="AG1572" s="29"/>
    </row>
    <row r="1573" spans="1:33">
      <c r="A1573" s="29"/>
      <c r="B1573" s="29"/>
      <c r="C1573" s="29"/>
      <c r="D1573" s="29"/>
      <c r="E1573" s="30"/>
      <c r="F1573" s="30"/>
      <c r="X1573" s="29"/>
      <c r="Y1573" s="29"/>
      <c r="AA1573" s="18"/>
      <c r="AC1573" s="31"/>
      <c r="AE1573" s="18"/>
      <c r="AG1573" s="29"/>
    </row>
    <row r="1574" spans="1:33">
      <c r="A1574" s="29"/>
      <c r="B1574" s="29"/>
      <c r="C1574" s="29"/>
      <c r="D1574" s="29"/>
      <c r="E1574" s="30"/>
      <c r="F1574" s="30"/>
      <c r="X1574" s="29"/>
      <c r="Y1574" s="29"/>
      <c r="AA1574" s="18"/>
      <c r="AC1574" s="31"/>
      <c r="AE1574" s="18"/>
      <c r="AG1574" s="29"/>
    </row>
    <row r="1575" spans="1:33">
      <c r="A1575" s="29"/>
      <c r="B1575" s="29"/>
      <c r="C1575" s="29"/>
      <c r="D1575" s="29"/>
      <c r="E1575" s="30"/>
      <c r="F1575" s="30"/>
      <c r="X1575" s="29"/>
      <c r="Y1575" s="29"/>
      <c r="AA1575" s="18"/>
      <c r="AC1575" s="31"/>
      <c r="AE1575" s="18"/>
      <c r="AG1575" s="29"/>
    </row>
    <row r="1576" spans="1:33">
      <c r="A1576" s="29"/>
      <c r="B1576" s="29"/>
      <c r="C1576" s="29"/>
      <c r="D1576" s="29"/>
      <c r="E1576" s="30"/>
      <c r="F1576" s="30"/>
      <c r="X1576" s="29"/>
      <c r="Y1576" s="29"/>
      <c r="AA1576" s="18"/>
      <c r="AC1576" s="31"/>
      <c r="AE1576" s="18"/>
      <c r="AG1576" s="29"/>
    </row>
    <row r="1577" spans="1:33">
      <c r="A1577" s="29"/>
      <c r="B1577" s="29"/>
      <c r="C1577" s="29"/>
      <c r="D1577" s="29"/>
      <c r="E1577" s="30"/>
      <c r="F1577" s="30"/>
      <c r="X1577" s="29"/>
      <c r="Y1577" s="29"/>
      <c r="AA1577" s="18"/>
      <c r="AC1577" s="31"/>
      <c r="AE1577" s="18"/>
      <c r="AG1577" s="29"/>
    </row>
    <row r="1578" spans="1:33">
      <c r="A1578" s="29"/>
      <c r="B1578" s="29"/>
      <c r="C1578" s="29"/>
      <c r="D1578" s="29"/>
      <c r="E1578" s="30"/>
      <c r="F1578" s="30"/>
      <c r="X1578" s="29"/>
      <c r="Y1578" s="29"/>
      <c r="AA1578" s="18"/>
      <c r="AC1578" s="31"/>
      <c r="AE1578" s="18"/>
      <c r="AG1578" s="29"/>
    </row>
    <row r="1579" spans="1:33">
      <c r="A1579" s="29"/>
      <c r="B1579" s="29"/>
      <c r="C1579" s="29"/>
      <c r="D1579" s="29"/>
      <c r="E1579" s="30"/>
      <c r="F1579" s="30"/>
      <c r="X1579" s="29"/>
      <c r="Y1579" s="29"/>
      <c r="AA1579" s="18"/>
      <c r="AC1579" s="31"/>
      <c r="AE1579" s="18"/>
      <c r="AG1579" s="29"/>
    </row>
    <row r="1580" spans="1:33">
      <c r="A1580" s="29"/>
      <c r="B1580" s="29"/>
      <c r="C1580" s="29"/>
      <c r="D1580" s="29"/>
      <c r="E1580" s="30"/>
      <c r="F1580" s="30"/>
      <c r="X1580" s="29"/>
      <c r="Y1580" s="29"/>
      <c r="AA1580" s="18"/>
      <c r="AC1580" s="31"/>
      <c r="AE1580" s="18"/>
      <c r="AG1580" s="29"/>
    </row>
    <row r="1581" spans="1:33">
      <c r="A1581" s="29"/>
      <c r="B1581" s="29"/>
      <c r="C1581" s="29"/>
      <c r="D1581" s="29"/>
      <c r="E1581" s="30"/>
      <c r="F1581" s="30"/>
      <c r="X1581" s="29"/>
      <c r="Y1581" s="29"/>
      <c r="AA1581" s="18"/>
      <c r="AC1581" s="31"/>
      <c r="AE1581" s="18"/>
      <c r="AG1581" s="29"/>
    </row>
    <row r="1582" spans="1:33">
      <c r="A1582" s="29"/>
      <c r="B1582" s="29"/>
      <c r="C1582" s="29"/>
      <c r="D1582" s="29"/>
      <c r="E1582" s="30"/>
      <c r="F1582" s="30"/>
      <c r="X1582" s="29"/>
      <c r="Y1582" s="29"/>
      <c r="AA1582" s="18"/>
      <c r="AC1582" s="31"/>
      <c r="AE1582" s="18"/>
      <c r="AG1582" s="29"/>
    </row>
    <row r="1583" spans="1:33">
      <c r="A1583" s="29"/>
      <c r="B1583" s="29"/>
      <c r="C1583" s="29"/>
      <c r="D1583" s="29"/>
      <c r="E1583" s="30"/>
      <c r="F1583" s="30"/>
      <c r="X1583" s="29"/>
      <c r="Y1583" s="29"/>
      <c r="AA1583" s="18"/>
      <c r="AC1583" s="31"/>
      <c r="AE1583" s="18"/>
      <c r="AG1583" s="29"/>
    </row>
    <row r="1584" spans="1:33">
      <c r="A1584" s="29"/>
      <c r="B1584" s="29"/>
      <c r="C1584" s="29"/>
      <c r="D1584" s="29"/>
      <c r="E1584" s="30"/>
      <c r="F1584" s="30"/>
      <c r="X1584" s="29"/>
      <c r="Y1584" s="29"/>
      <c r="AA1584" s="18"/>
      <c r="AC1584" s="31"/>
      <c r="AE1584" s="18"/>
      <c r="AG1584" s="29"/>
    </row>
    <row r="1585" spans="1:33">
      <c r="A1585" s="29"/>
      <c r="B1585" s="29"/>
      <c r="C1585" s="29"/>
      <c r="D1585" s="29"/>
      <c r="E1585" s="30"/>
      <c r="F1585" s="30"/>
      <c r="X1585" s="29"/>
      <c r="Y1585" s="29"/>
      <c r="AA1585" s="18"/>
      <c r="AC1585" s="31"/>
      <c r="AE1585" s="18"/>
      <c r="AG1585" s="29"/>
    </row>
    <row r="1586" spans="1:33">
      <c r="A1586" s="29"/>
      <c r="B1586" s="29"/>
      <c r="C1586" s="29"/>
      <c r="D1586" s="29"/>
      <c r="E1586" s="30"/>
      <c r="F1586" s="30"/>
      <c r="X1586" s="29"/>
      <c r="Y1586" s="29"/>
      <c r="AA1586" s="18"/>
      <c r="AC1586" s="31"/>
      <c r="AE1586" s="18"/>
      <c r="AG1586" s="29"/>
    </row>
    <row r="1587" spans="1:33">
      <c r="A1587" s="29"/>
      <c r="B1587" s="29"/>
      <c r="C1587" s="29"/>
      <c r="D1587" s="29"/>
      <c r="E1587" s="30"/>
      <c r="F1587" s="30"/>
      <c r="X1587" s="29"/>
      <c r="Y1587" s="29"/>
      <c r="AA1587" s="18"/>
      <c r="AC1587" s="30"/>
      <c r="AE1587" s="18"/>
      <c r="AG1587" s="29"/>
    </row>
    <row r="1588" spans="1:33">
      <c r="A1588" s="29"/>
      <c r="B1588" s="29"/>
      <c r="C1588" s="29"/>
      <c r="D1588" s="29"/>
      <c r="E1588" s="30"/>
      <c r="F1588" s="30"/>
      <c r="X1588" s="29"/>
      <c r="Y1588" s="29"/>
      <c r="AA1588" s="18"/>
      <c r="AC1588" s="31"/>
      <c r="AE1588" s="18"/>
      <c r="AG1588" s="29"/>
    </row>
    <row r="1589" spans="1:33">
      <c r="A1589" s="29"/>
      <c r="B1589" s="29"/>
      <c r="C1589" s="29"/>
      <c r="D1589" s="29"/>
      <c r="E1589" s="30"/>
      <c r="F1589" s="30"/>
      <c r="X1589" s="29"/>
      <c r="Y1589" s="29"/>
      <c r="AA1589" s="18"/>
      <c r="AC1589" s="31"/>
      <c r="AE1589" s="18"/>
      <c r="AG1589" s="29"/>
    </row>
    <row r="1590" spans="1:33">
      <c r="A1590" s="29"/>
      <c r="B1590" s="29"/>
      <c r="C1590" s="29"/>
      <c r="D1590" s="29"/>
      <c r="E1590" s="30"/>
      <c r="F1590" s="30"/>
      <c r="X1590" s="29"/>
      <c r="Y1590" s="29"/>
      <c r="AA1590" s="18"/>
      <c r="AC1590" s="31"/>
      <c r="AE1590" s="18"/>
      <c r="AG1590" s="29"/>
    </row>
    <row r="1591" spans="1:33">
      <c r="A1591" s="29"/>
      <c r="B1591" s="29"/>
      <c r="C1591" s="29"/>
      <c r="D1591" s="29"/>
      <c r="E1591" s="30"/>
      <c r="F1591" s="30"/>
      <c r="X1591" s="29"/>
      <c r="Y1591" s="29"/>
      <c r="AA1591" s="18"/>
      <c r="AC1591" s="31"/>
      <c r="AE1591" s="18"/>
      <c r="AG1591" s="29"/>
    </row>
    <row r="1592" spans="1:33">
      <c r="A1592" s="29"/>
      <c r="B1592" s="29"/>
      <c r="C1592" s="29"/>
      <c r="D1592" s="29"/>
      <c r="E1592" s="30"/>
      <c r="F1592" s="30"/>
      <c r="X1592" s="29"/>
      <c r="Y1592" s="29"/>
      <c r="AA1592" s="18"/>
      <c r="AC1592" s="31"/>
      <c r="AE1592" s="18"/>
      <c r="AG1592" s="29"/>
    </row>
    <row r="1593" spans="1:33">
      <c r="A1593" s="29"/>
      <c r="B1593" s="29"/>
      <c r="C1593" s="29"/>
      <c r="D1593" s="29"/>
      <c r="E1593" s="30"/>
      <c r="F1593" s="30"/>
      <c r="X1593" s="29"/>
      <c r="Y1593" s="29"/>
      <c r="AA1593" s="18"/>
      <c r="AC1593" s="31"/>
      <c r="AE1593" s="18"/>
      <c r="AG1593" s="29"/>
    </row>
    <row r="1594" spans="1:33">
      <c r="A1594" s="29"/>
      <c r="B1594" s="29"/>
      <c r="C1594" s="29"/>
      <c r="D1594" s="29"/>
      <c r="E1594" s="30"/>
      <c r="F1594" s="30"/>
      <c r="X1594" s="29"/>
      <c r="Y1594" s="29"/>
      <c r="AA1594" s="18"/>
      <c r="AC1594" s="31"/>
      <c r="AE1594" s="18"/>
      <c r="AG1594" s="29"/>
    </row>
    <row r="1595" spans="1:33">
      <c r="A1595" s="29"/>
      <c r="B1595" s="29"/>
      <c r="C1595" s="29"/>
      <c r="D1595" s="29"/>
      <c r="E1595" s="30"/>
      <c r="F1595" s="30"/>
      <c r="X1595" s="29"/>
      <c r="Y1595" s="29"/>
      <c r="AA1595" s="18"/>
      <c r="AC1595" s="31"/>
      <c r="AE1595" s="18"/>
      <c r="AG1595" s="29"/>
    </row>
    <row r="1596" spans="1:33">
      <c r="A1596" s="29"/>
      <c r="B1596" s="29"/>
      <c r="C1596" s="29"/>
      <c r="D1596" s="29"/>
      <c r="E1596" s="30"/>
      <c r="F1596" s="30"/>
      <c r="X1596" s="29"/>
      <c r="Y1596" s="29"/>
      <c r="AA1596" s="18"/>
      <c r="AC1596" s="31"/>
      <c r="AE1596" s="18"/>
      <c r="AG1596" s="29"/>
    </row>
    <row r="1597" spans="1:33">
      <c r="A1597" s="29"/>
      <c r="B1597" s="29"/>
      <c r="C1597" s="29"/>
      <c r="D1597" s="29"/>
      <c r="E1597" s="30"/>
      <c r="F1597" s="30"/>
      <c r="X1597" s="29"/>
      <c r="Y1597" s="29"/>
      <c r="AA1597" s="18"/>
      <c r="AC1597" s="31"/>
      <c r="AE1597" s="18"/>
      <c r="AG1597" s="29"/>
    </row>
    <row r="1598" spans="1:33">
      <c r="A1598" s="29"/>
      <c r="B1598" s="29"/>
      <c r="C1598" s="29"/>
      <c r="D1598" s="29"/>
      <c r="E1598" s="30"/>
      <c r="F1598" s="30"/>
      <c r="X1598" s="29"/>
      <c r="Y1598" s="29"/>
      <c r="AA1598" s="18"/>
      <c r="AC1598" s="31"/>
      <c r="AE1598" s="18"/>
      <c r="AG1598" s="29"/>
    </row>
    <row r="1599" spans="1:33">
      <c r="A1599" s="29"/>
      <c r="B1599" s="29"/>
      <c r="C1599" s="29"/>
      <c r="D1599" s="29"/>
      <c r="E1599" s="30"/>
      <c r="F1599" s="30"/>
      <c r="X1599" s="29"/>
      <c r="Y1599" s="29"/>
      <c r="AA1599" s="18"/>
      <c r="AC1599" s="31"/>
      <c r="AE1599" s="18"/>
      <c r="AG1599" s="29"/>
    </row>
    <row r="1600" spans="1:33">
      <c r="A1600" s="29"/>
      <c r="B1600" s="29"/>
      <c r="C1600" s="29"/>
      <c r="D1600" s="29"/>
      <c r="E1600" s="30"/>
      <c r="F1600" s="30"/>
      <c r="X1600" s="29"/>
      <c r="Y1600" s="29"/>
      <c r="AA1600" s="18"/>
      <c r="AC1600" s="31"/>
      <c r="AE1600" s="18"/>
      <c r="AG1600" s="29"/>
    </row>
    <row r="1601" spans="1:33">
      <c r="A1601" s="29"/>
      <c r="B1601" s="29"/>
      <c r="C1601" s="29"/>
      <c r="D1601" s="29"/>
      <c r="E1601" s="30"/>
      <c r="F1601" s="30"/>
      <c r="X1601" s="29"/>
      <c r="Y1601" s="29"/>
      <c r="AA1601" s="18"/>
      <c r="AC1601" s="31"/>
      <c r="AE1601" s="18"/>
      <c r="AG1601" s="29"/>
    </row>
    <row r="1602" spans="1:33">
      <c r="A1602" s="29"/>
      <c r="B1602" s="29"/>
      <c r="C1602" s="29"/>
      <c r="D1602" s="29"/>
      <c r="E1602" s="30"/>
      <c r="F1602" s="30"/>
      <c r="X1602" s="29"/>
      <c r="Y1602" s="29"/>
      <c r="AA1602" s="18"/>
      <c r="AC1602" s="31"/>
      <c r="AE1602" s="18"/>
      <c r="AG1602" s="29"/>
    </row>
    <row r="1603" spans="1:33">
      <c r="A1603" s="29"/>
      <c r="B1603" s="29"/>
      <c r="C1603" s="29"/>
      <c r="D1603" s="29"/>
      <c r="E1603" s="30"/>
      <c r="F1603" s="30"/>
      <c r="X1603" s="29"/>
      <c r="Y1603" s="29"/>
      <c r="AA1603" s="18"/>
      <c r="AC1603" s="31"/>
      <c r="AE1603" s="18"/>
      <c r="AG1603" s="29"/>
    </row>
    <row r="1604" spans="1:33">
      <c r="A1604" s="29"/>
      <c r="B1604" s="29"/>
      <c r="C1604" s="29"/>
      <c r="D1604" s="29"/>
      <c r="E1604" s="30"/>
      <c r="F1604" s="30"/>
      <c r="X1604" s="29"/>
      <c r="Y1604" s="29"/>
      <c r="AA1604" s="18"/>
      <c r="AC1604" s="31"/>
      <c r="AE1604" s="18"/>
      <c r="AG1604" s="29"/>
    </row>
    <row r="1605" spans="1:33">
      <c r="A1605" s="29"/>
      <c r="B1605" s="29"/>
      <c r="C1605" s="29"/>
      <c r="D1605" s="29"/>
      <c r="E1605" s="30"/>
      <c r="F1605" s="30"/>
      <c r="X1605" s="29"/>
      <c r="Y1605" s="29"/>
      <c r="AA1605" s="18"/>
      <c r="AC1605" s="31"/>
      <c r="AE1605" s="18"/>
      <c r="AG1605" s="29"/>
    </row>
    <row r="1606" spans="1:33">
      <c r="A1606" s="29"/>
      <c r="B1606" s="29"/>
      <c r="C1606" s="29"/>
      <c r="D1606" s="29"/>
      <c r="E1606" s="30"/>
      <c r="F1606" s="30"/>
      <c r="X1606" s="29"/>
      <c r="Y1606" s="29"/>
      <c r="AA1606" s="18"/>
      <c r="AC1606" s="31"/>
      <c r="AE1606" s="18"/>
      <c r="AG1606" s="29"/>
    </row>
    <row r="1607" spans="1:33">
      <c r="A1607" s="29"/>
      <c r="B1607" s="29"/>
      <c r="C1607" s="29"/>
      <c r="D1607" s="29"/>
      <c r="E1607" s="30"/>
      <c r="F1607" s="30"/>
      <c r="X1607" s="29"/>
      <c r="Y1607" s="29"/>
      <c r="AA1607" s="18"/>
      <c r="AC1607" s="31"/>
      <c r="AE1607" s="18"/>
      <c r="AG1607" s="29"/>
    </row>
    <row r="1608" spans="1:33">
      <c r="A1608" s="29"/>
      <c r="B1608" s="29"/>
      <c r="C1608" s="29"/>
      <c r="D1608" s="29"/>
      <c r="E1608" s="30"/>
      <c r="F1608" s="30"/>
      <c r="X1608" s="29"/>
      <c r="Y1608" s="29"/>
      <c r="AA1608" s="18"/>
      <c r="AC1608" s="31"/>
      <c r="AE1608" s="18"/>
      <c r="AG1608" s="29"/>
    </row>
    <row r="1609" spans="1:33">
      <c r="A1609" s="29"/>
      <c r="B1609" s="29"/>
      <c r="C1609" s="29"/>
      <c r="D1609" s="29"/>
      <c r="E1609" s="30"/>
      <c r="F1609" s="30"/>
      <c r="X1609" s="29"/>
      <c r="Y1609" s="29"/>
      <c r="AA1609" s="18"/>
      <c r="AC1609" s="31"/>
      <c r="AE1609" s="18"/>
      <c r="AG1609" s="29"/>
    </row>
    <row r="1610" spans="1:33">
      <c r="A1610" s="29"/>
      <c r="B1610" s="29"/>
      <c r="C1610" s="29"/>
      <c r="D1610" s="29"/>
      <c r="E1610" s="30"/>
      <c r="F1610" s="30"/>
      <c r="X1610" s="29"/>
      <c r="Y1610" s="29"/>
      <c r="AA1610" s="18"/>
      <c r="AC1610" s="31"/>
      <c r="AE1610" s="18"/>
      <c r="AG1610" s="29"/>
    </row>
    <row r="1611" spans="1:33">
      <c r="A1611" s="29"/>
      <c r="B1611" s="29"/>
      <c r="C1611" s="29"/>
      <c r="D1611" s="29"/>
      <c r="E1611" s="30"/>
      <c r="F1611" s="30"/>
      <c r="X1611" s="29"/>
      <c r="Y1611" s="29"/>
      <c r="AA1611" s="18"/>
      <c r="AC1611" s="31"/>
      <c r="AE1611" s="18"/>
      <c r="AG1611" s="29"/>
    </row>
    <row r="1612" spans="1:33">
      <c r="A1612" s="29"/>
      <c r="B1612" s="29"/>
      <c r="C1612" s="29"/>
      <c r="D1612" s="29"/>
      <c r="E1612" s="30"/>
      <c r="F1612" s="30"/>
      <c r="X1612" s="29"/>
      <c r="Y1612" s="29"/>
      <c r="AA1612" s="18"/>
      <c r="AC1612" s="31"/>
      <c r="AE1612" s="18"/>
      <c r="AG1612" s="29"/>
    </row>
    <row r="1613" spans="1:33">
      <c r="A1613" s="29"/>
      <c r="B1613" s="29"/>
      <c r="C1613" s="29"/>
      <c r="D1613" s="29"/>
      <c r="E1613" s="30"/>
      <c r="F1613" s="30"/>
      <c r="X1613" s="29"/>
      <c r="Y1613" s="29"/>
      <c r="AA1613" s="18"/>
      <c r="AC1613" s="31"/>
      <c r="AE1613" s="18"/>
      <c r="AG1613" s="29"/>
    </row>
    <row r="1614" spans="1:33">
      <c r="A1614" s="29"/>
      <c r="B1614" s="29"/>
      <c r="C1614" s="29"/>
      <c r="D1614" s="29"/>
      <c r="E1614" s="30"/>
      <c r="F1614" s="30"/>
      <c r="X1614" s="29"/>
      <c r="Y1614" s="29"/>
      <c r="AA1614" s="18"/>
      <c r="AC1614" s="31"/>
      <c r="AE1614" s="18"/>
      <c r="AG1614" s="29"/>
    </row>
    <row r="1615" spans="1:33">
      <c r="A1615" s="29"/>
      <c r="B1615" s="29"/>
      <c r="C1615" s="29"/>
      <c r="D1615" s="29"/>
      <c r="E1615" s="30"/>
      <c r="F1615" s="30"/>
      <c r="X1615" s="29"/>
      <c r="Y1615" s="29"/>
      <c r="AA1615" s="18"/>
      <c r="AC1615" s="31"/>
      <c r="AE1615" s="18"/>
      <c r="AG1615" s="29"/>
    </row>
    <row r="1616" spans="1:33">
      <c r="A1616" s="29"/>
      <c r="B1616" s="29"/>
      <c r="C1616" s="29"/>
      <c r="D1616" s="29"/>
      <c r="E1616" s="30"/>
      <c r="F1616" s="30"/>
      <c r="X1616" s="29"/>
      <c r="Y1616" s="29"/>
      <c r="AA1616" s="18"/>
      <c r="AC1616" s="30"/>
      <c r="AE1616" s="18"/>
      <c r="AG1616" s="29"/>
    </row>
    <row r="1617" spans="1:33">
      <c r="A1617" s="29"/>
      <c r="B1617" s="29"/>
      <c r="C1617" s="29"/>
      <c r="D1617" s="29"/>
      <c r="E1617" s="30"/>
      <c r="F1617" s="30"/>
      <c r="X1617" s="29"/>
      <c r="Y1617" s="29"/>
      <c r="AA1617" s="18"/>
      <c r="AC1617" s="30"/>
      <c r="AE1617" s="18"/>
      <c r="AG1617" s="29"/>
    </row>
    <row r="1618" spans="1:33">
      <c r="A1618" s="29"/>
      <c r="B1618" s="29"/>
      <c r="C1618" s="29"/>
      <c r="D1618" s="29"/>
      <c r="E1618" s="30"/>
      <c r="F1618" s="30"/>
      <c r="X1618" s="29"/>
      <c r="Y1618" s="29"/>
      <c r="AA1618" s="18"/>
      <c r="AC1618" s="31"/>
      <c r="AE1618" s="18"/>
      <c r="AG1618" s="29"/>
    </row>
    <row r="1619" spans="1:33">
      <c r="A1619" s="29"/>
      <c r="B1619" s="29"/>
      <c r="C1619" s="29"/>
      <c r="D1619" s="29"/>
      <c r="E1619" s="30"/>
      <c r="F1619" s="30"/>
      <c r="X1619" s="29"/>
      <c r="Y1619" s="29"/>
      <c r="AA1619" s="18"/>
      <c r="AC1619" s="31"/>
      <c r="AE1619" s="18"/>
      <c r="AG1619" s="29"/>
    </row>
    <row r="1620" spans="1:33">
      <c r="A1620" s="29"/>
      <c r="B1620" s="29"/>
      <c r="C1620" s="29"/>
      <c r="D1620" s="29"/>
      <c r="E1620" s="30"/>
      <c r="F1620" s="30"/>
      <c r="X1620" s="29"/>
      <c r="Y1620" s="29"/>
      <c r="AA1620" s="18"/>
      <c r="AC1620" s="31"/>
      <c r="AE1620" s="18"/>
      <c r="AG1620" s="29"/>
    </row>
    <row r="1621" spans="1:33">
      <c r="A1621" s="29"/>
      <c r="B1621" s="29"/>
      <c r="C1621" s="29"/>
      <c r="D1621" s="29"/>
      <c r="E1621" s="30"/>
      <c r="F1621" s="30"/>
      <c r="X1621" s="29"/>
      <c r="Y1621" s="29"/>
      <c r="AA1621" s="18"/>
      <c r="AC1621" s="31"/>
      <c r="AE1621" s="18"/>
      <c r="AG1621" s="29"/>
    </row>
    <row r="1622" spans="1:33">
      <c r="A1622" s="29"/>
      <c r="B1622" s="29"/>
      <c r="C1622" s="29"/>
      <c r="D1622" s="29"/>
      <c r="E1622" s="30"/>
      <c r="F1622" s="30"/>
      <c r="X1622" s="29"/>
      <c r="Y1622" s="29"/>
      <c r="AA1622" s="18"/>
      <c r="AC1622" s="31"/>
      <c r="AE1622" s="18"/>
      <c r="AG1622" s="29"/>
    </row>
    <row r="1623" spans="1:33">
      <c r="A1623" s="29"/>
      <c r="B1623" s="29"/>
      <c r="C1623" s="29"/>
      <c r="D1623" s="29"/>
      <c r="E1623" s="30"/>
      <c r="F1623" s="30"/>
      <c r="X1623" s="29"/>
      <c r="Y1623" s="29"/>
      <c r="AA1623" s="18"/>
      <c r="AC1623" s="31"/>
      <c r="AE1623" s="18"/>
      <c r="AG1623" s="29"/>
    </row>
    <row r="1624" spans="1:33">
      <c r="A1624" s="29"/>
      <c r="B1624" s="29"/>
      <c r="C1624" s="29"/>
      <c r="D1624" s="29"/>
      <c r="E1624" s="30"/>
      <c r="F1624" s="30"/>
      <c r="X1624" s="29"/>
      <c r="Y1624" s="29"/>
      <c r="AA1624" s="18"/>
      <c r="AC1624" s="31"/>
      <c r="AE1624" s="18"/>
      <c r="AG1624" s="29"/>
    </row>
    <row r="1625" spans="1:33">
      <c r="A1625" s="29"/>
      <c r="B1625" s="29"/>
      <c r="C1625" s="29"/>
      <c r="D1625" s="29"/>
      <c r="E1625" s="30"/>
      <c r="F1625" s="30"/>
      <c r="X1625" s="29"/>
      <c r="Y1625" s="29"/>
      <c r="AA1625" s="18"/>
      <c r="AC1625" s="31"/>
      <c r="AE1625" s="18"/>
      <c r="AG1625" s="29"/>
    </row>
    <row r="1626" spans="1:33">
      <c r="A1626" s="29"/>
      <c r="B1626" s="29"/>
      <c r="C1626" s="29"/>
      <c r="D1626" s="29"/>
      <c r="E1626" s="30"/>
      <c r="F1626" s="30"/>
      <c r="X1626" s="29"/>
      <c r="Y1626" s="29"/>
      <c r="AA1626" s="18"/>
      <c r="AC1626" s="31"/>
      <c r="AE1626" s="18"/>
      <c r="AG1626" s="29"/>
    </row>
    <row r="1627" spans="1:33">
      <c r="A1627" s="29"/>
      <c r="B1627" s="29"/>
      <c r="C1627" s="29"/>
      <c r="D1627" s="29"/>
      <c r="E1627" s="30"/>
      <c r="F1627" s="30"/>
      <c r="X1627" s="29"/>
      <c r="Y1627" s="29"/>
      <c r="AA1627" s="18"/>
      <c r="AC1627" s="31"/>
      <c r="AE1627" s="18"/>
      <c r="AG1627" s="29"/>
    </row>
    <row r="1628" spans="1:33">
      <c r="A1628" s="29"/>
      <c r="B1628" s="29"/>
      <c r="C1628" s="29"/>
      <c r="D1628" s="29"/>
      <c r="E1628" s="30"/>
      <c r="F1628" s="30"/>
      <c r="X1628" s="29"/>
      <c r="Y1628" s="29"/>
      <c r="AA1628" s="18"/>
      <c r="AC1628" s="31"/>
      <c r="AE1628" s="18"/>
      <c r="AG1628" s="29"/>
    </row>
    <row r="1629" spans="1:33">
      <c r="A1629" s="29"/>
      <c r="B1629" s="29"/>
      <c r="C1629" s="29"/>
      <c r="D1629" s="29"/>
      <c r="E1629" s="30"/>
      <c r="F1629" s="30"/>
      <c r="X1629" s="29"/>
      <c r="Y1629" s="29"/>
      <c r="AA1629" s="18"/>
      <c r="AC1629" s="31"/>
      <c r="AE1629" s="18"/>
      <c r="AG1629" s="29"/>
    </row>
    <row r="1630" spans="1:33">
      <c r="A1630" s="29"/>
      <c r="B1630" s="29"/>
      <c r="C1630" s="29"/>
      <c r="D1630" s="29"/>
      <c r="E1630" s="30"/>
      <c r="F1630" s="30"/>
      <c r="X1630" s="29"/>
      <c r="Y1630" s="29"/>
      <c r="AA1630" s="18"/>
      <c r="AC1630" s="31"/>
      <c r="AE1630" s="18"/>
      <c r="AG1630" s="29"/>
    </row>
    <row r="1631" spans="1:33">
      <c r="A1631" s="29"/>
      <c r="B1631" s="29"/>
      <c r="C1631" s="29"/>
      <c r="D1631" s="29"/>
      <c r="E1631" s="30"/>
      <c r="F1631" s="30"/>
      <c r="X1631" s="29"/>
      <c r="Y1631" s="29"/>
      <c r="AA1631" s="18"/>
      <c r="AC1631" s="31"/>
      <c r="AE1631" s="18"/>
      <c r="AG1631" s="29"/>
    </row>
    <row r="1632" spans="1:33">
      <c r="A1632" s="29"/>
      <c r="B1632" s="29"/>
      <c r="C1632" s="29"/>
      <c r="D1632" s="29"/>
      <c r="E1632" s="30"/>
      <c r="F1632" s="30"/>
      <c r="X1632" s="29"/>
      <c r="Y1632" s="29"/>
      <c r="AA1632" s="18"/>
      <c r="AC1632" s="31"/>
      <c r="AE1632" s="18"/>
      <c r="AG1632" s="29"/>
    </row>
    <row r="1633" spans="1:33">
      <c r="A1633" s="29"/>
      <c r="B1633" s="29"/>
      <c r="C1633" s="29"/>
      <c r="D1633" s="29"/>
      <c r="E1633" s="30"/>
      <c r="F1633" s="30"/>
      <c r="X1633" s="29"/>
      <c r="Y1633" s="29"/>
      <c r="AA1633" s="18"/>
      <c r="AC1633" s="31"/>
      <c r="AE1633" s="18"/>
      <c r="AG1633" s="29"/>
    </row>
    <row r="1634" spans="1:33">
      <c r="A1634" s="29"/>
      <c r="B1634" s="29"/>
      <c r="C1634" s="29"/>
      <c r="D1634" s="29"/>
      <c r="E1634" s="30"/>
      <c r="F1634" s="30"/>
      <c r="X1634" s="29"/>
      <c r="Y1634" s="29"/>
      <c r="AA1634" s="18"/>
      <c r="AC1634" s="31"/>
      <c r="AE1634" s="18"/>
      <c r="AG1634" s="29"/>
    </row>
    <row r="1635" spans="1:33">
      <c r="A1635" s="29"/>
      <c r="B1635" s="29"/>
      <c r="C1635" s="29"/>
      <c r="D1635" s="29"/>
      <c r="E1635" s="30"/>
      <c r="F1635" s="30"/>
      <c r="X1635" s="29"/>
      <c r="Y1635" s="29"/>
      <c r="AA1635" s="18"/>
      <c r="AC1635" s="31"/>
      <c r="AE1635" s="18"/>
      <c r="AG1635" s="29"/>
    </row>
    <row r="1636" spans="1:33">
      <c r="A1636" s="29"/>
      <c r="B1636" s="29"/>
      <c r="C1636" s="29"/>
      <c r="D1636" s="29"/>
      <c r="E1636" s="30"/>
      <c r="F1636" s="30"/>
      <c r="X1636" s="29"/>
      <c r="Y1636" s="29"/>
      <c r="AA1636" s="18"/>
      <c r="AC1636" s="31"/>
      <c r="AE1636" s="18"/>
      <c r="AG1636" s="29"/>
    </row>
    <row r="1637" spans="1:33">
      <c r="A1637" s="29"/>
      <c r="B1637" s="29"/>
      <c r="C1637" s="29"/>
      <c r="D1637" s="29"/>
      <c r="E1637" s="30"/>
      <c r="F1637" s="30"/>
      <c r="X1637" s="29"/>
      <c r="Y1637" s="29"/>
      <c r="AA1637" s="18"/>
      <c r="AC1637" s="31"/>
      <c r="AE1637" s="18"/>
      <c r="AG1637" s="29"/>
    </row>
    <row r="1638" spans="1:33">
      <c r="A1638" s="29"/>
      <c r="B1638" s="29"/>
      <c r="C1638" s="29"/>
      <c r="D1638" s="29"/>
      <c r="E1638" s="30"/>
      <c r="F1638" s="30"/>
      <c r="X1638" s="29"/>
      <c r="Y1638" s="29"/>
      <c r="AA1638" s="18"/>
      <c r="AC1638" s="31"/>
      <c r="AE1638" s="18"/>
      <c r="AG1638" s="29"/>
    </row>
    <row r="1639" spans="1:33">
      <c r="A1639" s="29"/>
      <c r="B1639" s="29"/>
      <c r="C1639" s="29"/>
      <c r="D1639" s="29"/>
      <c r="E1639" s="30"/>
      <c r="F1639" s="30"/>
      <c r="X1639" s="29"/>
      <c r="Y1639" s="29"/>
      <c r="AA1639" s="18"/>
      <c r="AC1639" s="31"/>
      <c r="AE1639" s="18"/>
      <c r="AG1639" s="29"/>
    </row>
    <row r="1640" spans="1:33">
      <c r="A1640" s="29"/>
      <c r="B1640" s="29"/>
      <c r="C1640" s="29"/>
      <c r="D1640" s="29"/>
      <c r="E1640" s="30"/>
      <c r="F1640" s="30"/>
      <c r="X1640" s="29"/>
      <c r="Y1640" s="29"/>
      <c r="AA1640" s="18"/>
      <c r="AC1640" s="31"/>
      <c r="AE1640" s="18"/>
      <c r="AG1640" s="29"/>
    </row>
    <row r="1641" spans="1:33">
      <c r="A1641" s="29"/>
      <c r="B1641" s="29"/>
      <c r="C1641" s="29"/>
      <c r="D1641" s="29"/>
      <c r="E1641" s="30"/>
      <c r="F1641" s="30"/>
      <c r="X1641" s="29"/>
      <c r="Y1641" s="29"/>
      <c r="AA1641" s="18"/>
      <c r="AC1641" s="31"/>
      <c r="AE1641" s="18"/>
      <c r="AG1641" s="29"/>
    </row>
    <row r="1642" spans="1:33">
      <c r="A1642" s="29"/>
      <c r="B1642" s="29"/>
      <c r="C1642" s="29"/>
      <c r="D1642" s="29"/>
      <c r="E1642" s="30"/>
      <c r="F1642" s="30"/>
      <c r="X1642" s="29"/>
      <c r="Y1642" s="29"/>
      <c r="AA1642" s="18"/>
      <c r="AC1642" s="31"/>
      <c r="AE1642" s="18"/>
      <c r="AG1642" s="29"/>
    </row>
    <row r="1643" spans="1:33">
      <c r="A1643" s="29"/>
      <c r="B1643" s="29"/>
      <c r="C1643" s="29"/>
      <c r="D1643" s="29"/>
      <c r="E1643" s="30"/>
      <c r="F1643" s="30"/>
      <c r="X1643" s="29"/>
      <c r="Y1643" s="29"/>
      <c r="AA1643" s="18"/>
      <c r="AC1643" s="31"/>
      <c r="AE1643" s="18"/>
      <c r="AG1643" s="29"/>
    </row>
    <row r="1644" spans="1:33">
      <c r="A1644" s="29"/>
      <c r="B1644" s="29"/>
      <c r="C1644" s="29"/>
      <c r="D1644" s="29"/>
      <c r="E1644" s="30"/>
      <c r="F1644" s="30"/>
      <c r="X1644" s="29"/>
      <c r="Y1644" s="29"/>
      <c r="AA1644" s="18"/>
      <c r="AC1644" s="31"/>
      <c r="AE1644" s="18"/>
      <c r="AG1644" s="29"/>
    </row>
    <row r="1645" spans="1:33">
      <c r="A1645" s="29"/>
      <c r="B1645" s="29"/>
      <c r="C1645" s="29"/>
      <c r="D1645" s="29"/>
      <c r="E1645" s="30"/>
      <c r="F1645" s="30"/>
      <c r="X1645" s="29"/>
      <c r="Y1645" s="29"/>
      <c r="AA1645" s="18"/>
      <c r="AC1645" s="31"/>
      <c r="AE1645" s="18"/>
      <c r="AG1645" s="29"/>
    </row>
    <row r="1646" spans="1:33">
      <c r="A1646" s="29"/>
      <c r="B1646" s="29"/>
      <c r="C1646" s="29"/>
      <c r="D1646" s="29"/>
      <c r="E1646" s="30"/>
      <c r="F1646" s="30"/>
      <c r="X1646" s="29"/>
      <c r="Y1646" s="29"/>
      <c r="AA1646" s="18"/>
      <c r="AC1646" s="31"/>
      <c r="AE1646" s="18"/>
      <c r="AG1646" s="29"/>
    </row>
    <row r="1647" spans="1:33">
      <c r="A1647" s="29"/>
      <c r="B1647" s="29"/>
      <c r="C1647" s="29"/>
      <c r="D1647" s="29"/>
      <c r="E1647" s="30"/>
      <c r="F1647" s="30"/>
      <c r="X1647" s="29"/>
      <c r="Y1647" s="29"/>
      <c r="AA1647" s="18"/>
      <c r="AC1647" s="31"/>
      <c r="AE1647" s="18"/>
      <c r="AG1647" s="29"/>
    </row>
    <row r="1648" spans="1:33">
      <c r="A1648" s="29"/>
      <c r="B1648" s="29"/>
      <c r="C1648" s="29"/>
      <c r="D1648" s="29"/>
      <c r="E1648" s="30"/>
      <c r="F1648" s="30"/>
      <c r="X1648" s="29"/>
      <c r="Y1648" s="29"/>
      <c r="AA1648" s="18"/>
      <c r="AC1648" s="31"/>
      <c r="AE1648" s="18"/>
      <c r="AG1648" s="29"/>
    </row>
    <row r="1649" spans="1:33">
      <c r="A1649" s="29"/>
      <c r="B1649" s="29"/>
      <c r="C1649" s="29"/>
      <c r="D1649" s="29"/>
      <c r="E1649" s="30"/>
      <c r="F1649" s="30"/>
      <c r="X1649" s="29"/>
      <c r="Y1649" s="29"/>
      <c r="AA1649" s="18"/>
      <c r="AC1649" s="30"/>
      <c r="AE1649" s="18"/>
      <c r="AG1649" s="29"/>
    </row>
    <row r="1650" spans="1:33">
      <c r="A1650" s="29"/>
      <c r="B1650" s="29"/>
      <c r="C1650" s="29"/>
      <c r="D1650" s="29"/>
      <c r="E1650" s="30"/>
      <c r="F1650" s="30"/>
      <c r="X1650" s="29"/>
      <c r="Y1650" s="29"/>
      <c r="AA1650" s="18"/>
      <c r="AC1650" s="30"/>
      <c r="AE1650" s="18"/>
      <c r="AG1650" s="29"/>
    </row>
    <row r="1651" spans="1:33">
      <c r="A1651" s="29"/>
      <c r="B1651" s="29"/>
      <c r="C1651" s="29"/>
      <c r="D1651" s="29"/>
      <c r="E1651" s="30"/>
      <c r="F1651" s="30"/>
      <c r="X1651" s="29"/>
      <c r="Y1651" s="29"/>
      <c r="AA1651" s="18"/>
      <c r="AC1651" s="30"/>
      <c r="AE1651" s="18"/>
      <c r="AG1651" s="29"/>
    </row>
    <row r="1652" spans="1:33">
      <c r="A1652" s="29"/>
      <c r="B1652" s="29"/>
      <c r="C1652" s="29"/>
      <c r="D1652" s="29"/>
      <c r="E1652" s="30"/>
      <c r="F1652" s="30"/>
      <c r="X1652" s="29"/>
      <c r="Y1652" s="29"/>
      <c r="AA1652" s="18"/>
      <c r="AC1652" s="30"/>
      <c r="AE1652" s="18"/>
      <c r="AG1652" s="29"/>
    </row>
    <row r="1653" spans="1:33">
      <c r="A1653" s="29"/>
      <c r="B1653" s="29"/>
      <c r="C1653" s="29"/>
      <c r="D1653" s="29"/>
      <c r="E1653" s="30"/>
      <c r="F1653" s="30"/>
      <c r="X1653" s="29"/>
      <c r="Y1653" s="29"/>
      <c r="AA1653" s="18"/>
      <c r="AC1653" s="30"/>
      <c r="AE1653" s="18"/>
      <c r="AG1653" s="29"/>
    </row>
    <row r="1654" spans="1:33">
      <c r="A1654" s="29"/>
      <c r="B1654" s="29"/>
      <c r="C1654" s="29"/>
      <c r="D1654" s="29"/>
      <c r="E1654" s="30"/>
      <c r="F1654" s="30"/>
      <c r="X1654" s="29"/>
      <c r="Y1654" s="29"/>
      <c r="AA1654" s="18"/>
      <c r="AC1654" s="30"/>
      <c r="AE1654" s="18"/>
      <c r="AG1654" s="29"/>
    </row>
    <row r="1655" spans="1:33">
      <c r="A1655" s="29"/>
      <c r="B1655" s="29"/>
      <c r="C1655" s="29"/>
      <c r="D1655" s="29"/>
      <c r="E1655" s="30"/>
      <c r="F1655" s="30"/>
      <c r="X1655" s="29"/>
      <c r="Y1655" s="29"/>
      <c r="AA1655" s="18"/>
      <c r="AC1655" s="31"/>
      <c r="AE1655" s="18"/>
      <c r="AG1655" s="29"/>
    </row>
    <row r="1656" spans="1:33">
      <c r="A1656" s="29"/>
      <c r="B1656" s="29"/>
      <c r="C1656" s="29"/>
      <c r="D1656" s="29"/>
      <c r="E1656" s="30"/>
      <c r="F1656" s="30"/>
      <c r="X1656" s="29"/>
      <c r="Y1656" s="29"/>
      <c r="AA1656" s="18"/>
      <c r="AC1656" s="31"/>
      <c r="AE1656" s="18"/>
      <c r="AG1656" s="29"/>
    </row>
    <row r="1657" spans="1:33">
      <c r="A1657" s="29"/>
      <c r="B1657" s="29"/>
      <c r="C1657" s="29"/>
      <c r="D1657" s="29"/>
      <c r="E1657" s="30"/>
      <c r="F1657" s="30"/>
      <c r="X1657" s="29"/>
      <c r="Y1657" s="29"/>
      <c r="AA1657" s="18"/>
      <c r="AC1657" s="31"/>
      <c r="AE1657" s="18"/>
      <c r="AG1657" s="29"/>
    </row>
    <row r="1658" spans="1:33">
      <c r="A1658" s="29"/>
      <c r="B1658" s="29"/>
      <c r="C1658" s="29"/>
      <c r="D1658" s="29"/>
      <c r="E1658" s="30"/>
      <c r="F1658" s="30"/>
      <c r="X1658" s="29"/>
      <c r="Y1658" s="29"/>
      <c r="AA1658" s="18"/>
      <c r="AC1658" s="31"/>
      <c r="AE1658" s="18"/>
      <c r="AG1658" s="29"/>
    </row>
    <row r="1659" spans="1:33">
      <c r="A1659" s="29"/>
      <c r="B1659" s="29"/>
      <c r="C1659" s="29"/>
      <c r="D1659" s="29"/>
      <c r="E1659" s="30"/>
      <c r="F1659" s="30"/>
      <c r="X1659" s="29"/>
      <c r="Y1659" s="29"/>
      <c r="AA1659" s="18"/>
      <c r="AC1659" s="31"/>
      <c r="AE1659" s="18"/>
      <c r="AG1659" s="29"/>
    </row>
    <row r="1660" spans="1:33">
      <c r="A1660" s="29"/>
      <c r="B1660" s="29"/>
      <c r="C1660" s="29"/>
      <c r="D1660" s="29"/>
      <c r="E1660" s="30"/>
      <c r="F1660" s="30"/>
      <c r="X1660" s="29"/>
      <c r="Y1660" s="29"/>
      <c r="AA1660" s="18"/>
      <c r="AC1660" s="31"/>
      <c r="AE1660" s="18"/>
      <c r="AG1660" s="29"/>
    </row>
    <row r="1661" spans="1:33">
      <c r="A1661" s="29"/>
      <c r="B1661" s="29"/>
      <c r="C1661" s="29"/>
      <c r="D1661" s="29"/>
      <c r="E1661" s="30"/>
      <c r="F1661" s="30"/>
      <c r="X1661" s="29"/>
      <c r="Y1661" s="29"/>
      <c r="AA1661" s="18"/>
      <c r="AC1661" s="31"/>
      <c r="AE1661" s="18"/>
      <c r="AG1661" s="29"/>
    </row>
    <row r="1662" spans="1:33">
      <c r="A1662" s="29"/>
      <c r="B1662" s="29"/>
      <c r="C1662" s="29"/>
      <c r="D1662" s="29"/>
      <c r="E1662" s="30"/>
      <c r="F1662" s="30"/>
      <c r="X1662" s="29"/>
      <c r="Y1662" s="29"/>
      <c r="AA1662" s="18"/>
      <c r="AC1662" s="31"/>
      <c r="AE1662" s="18"/>
      <c r="AG1662" s="29"/>
    </row>
    <row r="1663" spans="1:33">
      <c r="A1663" s="29"/>
      <c r="B1663" s="29"/>
      <c r="C1663" s="29"/>
      <c r="D1663" s="29"/>
      <c r="E1663" s="30"/>
      <c r="F1663" s="30"/>
      <c r="X1663" s="29"/>
      <c r="Y1663" s="29"/>
      <c r="AA1663" s="18"/>
      <c r="AC1663" s="31"/>
      <c r="AE1663" s="18"/>
      <c r="AG1663" s="29"/>
    </row>
    <row r="1664" spans="1:33">
      <c r="A1664" s="29"/>
      <c r="B1664" s="29"/>
      <c r="C1664" s="29"/>
      <c r="D1664" s="29"/>
      <c r="E1664" s="30"/>
      <c r="F1664" s="30"/>
      <c r="X1664" s="29"/>
      <c r="Y1664" s="29"/>
      <c r="AA1664" s="18"/>
      <c r="AC1664" s="31"/>
      <c r="AE1664" s="18"/>
      <c r="AG1664" s="29"/>
    </row>
    <row r="1665" spans="1:33">
      <c r="A1665" s="29"/>
      <c r="B1665" s="29"/>
      <c r="C1665" s="29"/>
      <c r="D1665" s="29"/>
      <c r="E1665" s="30"/>
      <c r="F1665" s="30"/>
      <c r="X1665" s="29"/>
      <c r="Y1665" s="29"/>
      <c r="AA1665" s="18"/>
      <c r="AC1665" s="31"/>
      <c r="AE1665" s="18"/>
      <c r="AG1665" s="29"/>
    </row>
    <row r="1666" spans="1:33">
      <c r="A1666" s="29"/>
      <c r="B1666" s="29"/>
      <c r="C1666" s="29"/>
      <c r="D1666" s="29"/>
      <c r="E1666" s="30"/>
      <c r="F1666" s="30"/>
      <c r="X1666" s="29"/>
      <c r="Y1666" s="29"/>
      <c r="AA1666" s="18"/>
      <c r="AC1666" s="31"/>
      <c r="AE1666" s="18"/>
      <c r="AG1666" s="29"/>
    </row>
    <row r="1667" spans="1:33">
      <c r="A1667" s="29"/>
      <c r="B1667" s="29"/>
      <c r="C1667" s="29"/>
      <c r="D1667" s="29"/>
      <c r="E1667" s="30"/>
      <c r="F1667" s="30"/>
      <c r="X1667" s="29"/>
      <c r="Y1667" s="29"/>
      <c r="AA1667" s="18"/>
      <c r="AC1667" s="31"/>
      <c r="AE1667" s="18"/>
      <c r="AG1667" s="29"/>
    </row>
    <row r="1668" spans="1:33">
      <c r="A1668" s="29"/>
      <c r="B1668" s="29"/>
      <c r="C1668" s="29"/>
      <c r="D1668" s="29"/>
      <c r="E1668" s="30"/>
      <c r="F1668" s="30"/>
      <c r="X1668" s="29"/>
      <c r="Y1668" s="29"/>
      <c r="AA1668" s="18"/>
      <c r="AC1668" s="31"/>
      <c r="AE1668" s="18"/>
      <c r="AG1668" s="29"/>
    </row>
    <row r="1669" spans="1:33">
      <c r="A1669" s="29"/>
      <c r="B1669" s="29"/>
      <c r="C1669" s="29"/>
      <c r="D1669" s="29"/>
      <c r="E1669" s="30"/>
      <c r="F1669" s="30"/>
      <c r="X1669" s="29"/>
      <c r="Y1669" s="29"/>
      <c r="AA1669" s="18"/>
      <c r="AC1669" s="31"/>
      <c r="AE1669" s="18"/>
      <c r="AG1669" s="29"/>
    </row>
    <row r="1670" spans="1:33">
      <c r="A1670" s="29"/>
      <c r="B1670" s="29"/>
      <c r="C1670" s="29"/>
      <c r="D1670" s="29"/>
      <c r="E1670" s="30"/>
      <c r="F1670" s="30"/>
      <c r="X1670" s="29"/>
      <c r="Y1670" s="29"/>
      <c r="AA1670" s="18"/>
      <c r="AC1670" s="31"/>
      <c r="AE1670" s="18"/>
      <c r="AG1670" s="29"/>
    </row>
    <row r="1671" spans="1:33">
      <c r="A1671" s="29"/>
      <c r="B1671" s="29"/>
      <c r="C1671" s="29"/>
      <c r="D1671" s="29"/>
      <c r="E1671" s="30"/>
      <c r="F1671" s="30"/>
      <c r="X1671" s="29"/>
      <c r="Y1671" s="29"/>
      <c r="AA1671" s="18"/>
      <c r="AC1671" s="31"/>
      <c r="AE1671" s="18"/>
      <c r="AG1671" s="29"/>
    </row>
    <row r="1672" spans="1:33">
      <c r="A1672" s="29"/>
      <c r="B1672" s="29"/>
      <c r="C1672" s="29"/>
      <c r="D1672" s="29"/>
      <c r="E1672" s="30"/>
      <c r="F1672" s="30"/>
      <c r="X1672" s="29"/>
      <c r="Y1672" s="29"/>
      <c r="AA1672" s="18"/>
      <c r="AC1672" s="31"/>
      <c r="AE1672" s="18"/>
      <c r="AG1672" s="29"/>
    </row>
    <row r="1673" spans="1:33">
      <c r="A1673" s="29"/>
      <c r="B1673" s="29"/>
      <c r="C1673" s="29"/>
      <c r="D1673" s="29"/>
      <c r="E1673" s="30"/>
      <c r="F1673" s="30"/>
      <c r="X1673" s="29"/>
      <c r="Y1673" s="29"/>
      <c r="AA1673" s="18"/>
      <c r="AC1673" s="31"/>
      <c r="AE1673" s="18"/>
      <c r="AG1673" s="29"/>
    </row>
    <row r="1674" spans="1:33">
      <c r="A1674" s="29"/>
      <c r="B1674" s="29"/>
      <c r="C1674" s="29"/>
      <c r="D1674" s="29"/>
      <c r="E1674" s="30"/>
      <c r="F1674" s="30"/>
      <c r="X1674" s="29"/>
      <c r="Y1674" s="29"/>
      <c r="AA1674" s="18"/>
      <c r="AC1674" s="31"/>
      <c r="AE1674" s="18"/>
      <c r="AG1674" s="29"/>
    </row>
    <row r="1675" spans="1:33">
      <c r="A1675" s="29"/>
      <c r="B1675" s="29"/>
      <c r="C1675" s="29"/>
      <c r="D1675" s="29"/>
      <c r="E1675" s="30"/>
      <c r="F1675" s="30"/>
      <c r="X1675" s="29"/>
      <c r="Y1675" s="29"/>
      <c r="AA1675" s="18"/>
      <c r="AC1675" s="31"/>
      <c r="AE1675" s="18"/>
      <c r="AG1675" s="29"/>
    </row>
    <row r="1676" spans="1:33">
      <c r="A1676" s="29"/>
      <c r="B1676" s="29"/>
      <c r="C1676" s="29"/>
      <c r="D1676" s="29"/>
      <c r="E1676" s="30"/>
      <c r="F1676" s="30"/>
      <c r="X1676" s="29"/>
      <c r="Y1676" s="29"/>
      <c r="AA1676" s="18"/>
      <c r="AC1676" s="31"/>
      <c r="AE1676" s="18"/>
      <c r="AG1676" s="29"/>
    </row>
    <row r="1677" spans="1:33">
      <c r="A1677" s="29"/>
      <c r="B1677" s="29"/>
      <c r="C1677" s="29"/>
      <c r="D1677" s="29"/>
      <c r="E1677" s="30"/>
      <c r="F1677" s="30"/>
      <c r="X1677" s="29"/>
      <c r="Y1677" s="29"/>
      <c r="AA1677" s="18"/>
      <c r="AC1677" s="31"/>
      <c r="AE1677" s="18"/>
      <c r="AG1677" s="29"/>
    </row>
    <row r="1678" spans="1:33">
      <c r="A1678" s="29"/>
      <c r="B1678" s="29"/>
      <c r="C1678" s="29"/>
      <c r="D1678" s="29"/>
      <c r="E1678" s="30"/>
      <c r="F1678" s="30"/>
      <c r="X1678" s="29"/>
      <c r="Y1678" s="29"/>
      <c r="AA1678" s="18"/>
      <c r="AC1678" s="31"/>
      <c r="AE1678" s="18"/>
      <c r="AG1678" s="29"/>
    </row>
    <row r="1679" spans="1:33">
      <c r="A1679" s="29"/>
      <c r="B1679" s="29"/>
      <c r="C1679" s="29"/>
      <c r="D1679" s="29"/>
      <c r="E1679" s="30"/>
      <c r="F1679" s="30"/>
      <c r="X1679" s="29"/>
      <c r="Y1679" s="29"/>
      <c r="AA1679" s="18"/>
      <c r="AC1679" s="31"/>
      <c r="AE1679" s="18"/>
      <c r="AG1679" s="29"/>
    </row>
    <row r="1680" spans="1:33">
      <c r="A1680" s="29"/>
      <c r="B1680" s="29"/>
      <c r="C1680" s="29"/>
      <c r="D1680" s="29"/>
      <c r="E1680" s="30"/>
      <c r="F1680" s="30"/>
      <c r="X1680" s="29"/>
      <c r="Y1680" s="29"/>
      <c r="AA1680" s="18"/>
      <c r="AC1680" s="31"/>
      <c r="AE1680" s="18"/>
      <c r="AG1680" s="29"/>
    </row>
    <row r="1681" spans="1:33">
      <c r="A1681" s="29"/>
      <c r="B1681" s="29"/>
      <c r="C1681" s="29"/>
      <c r="D1681" s="29"/>
      <c r="E1681" s="30"/>
      <c r="F1681" s="30"/>
      <c r="X1681" s="29"/>
      <c r="Y1681" s="29"/>
      <c r="AA1681" s="18"/>
      <c r="AC1681" s="31"/>
      <c r="AE1681" s="18"/>
      <c r="AG1681" s="29"/>
    </row>
    <row r="1682" spans="1:33">
      <c r="A1682" s="29"/>
      <c r="B1682" s="29"/>
      <c r="C1682" s="29"/>
      <c r="D1682" s="29"/>
      <c r="E1682" s="30"/>
      <c r="F1682" s="30"/>
      <c r="X1682" s="29"/>
      <c r="Y1682" s="29"/>
      <c r="AA1682" s="18"/>
      <c r="AC1682" s="31"/>
      <c r="AE1682" s="18"/>
      <c r="AG1682" s="29"/>
    </row>
    <row r="1683" spans="1:33">
      <c r="A1683" s="29"/>
      <c r="B1683" s="29"/>
      <c r="C1683" s="29"/>
      <c r="D1683" s="29"/>
      <c r="E1683" s="30"/>
      <c r="F1683" s="30"/>
      <c r="X1683" s="29"/>
      <c r="Y1683" s="29"/>
      <c r="AA1683" s="18"/>
      <c r="AC1683" s="31"/>
      <c r="AE1683" s="18"/>
      <c r="AG1683" s="29"/>
    </row>
    <row r="1684" spans="1:33">
      <c r="A1684" s="29"/>
      <c r="B1684" s="29"/>
      <c r="C1684" s="29"/>
      <c r="D1684" s="29"/>
      <c r="E1684" s="30"/>
      <c r="F1684" s="30"/>
      <c r="X1684" s="29"/>
      <c r="Y1684" s="29"/>
      <c r="AA1684" s="18"/>
      <c r="AC1684" s="31"/>
      <c r="AE1684" s="18"/>
      <c r="AG1684" s="29"/>
    </row>
    <row r="1685" spans="1:33">
      <c r="A1685" s="29"/>
      <c r="B1685" s="29"/>
      <c r="C1685" s="29"/>
      <c r="D1685" s="29"/>
      <c r="E1685" s="30"/>
      <c r="F1685" s="30"/>
      <c r="X1685" s="29"/>
      <c r="Y1685" s="29"/>
      <c r="AA1685" s="18"/>
      <c r="AC1685" s="31"/>
      <c r="AE1685" s="18"/>
      <c r="AG1685" s="29"/>
    </row>
    <row r="1686" spans="1:33">
      <c r="A1686" s="29"/>
      <c r="B1686" s="29"/>
      <c r="C1686" s="29"/>
      <c r="D1686" s="29"/>
      <c r="E1686" s="30"/>
      <c r="F1686" s="30"/>
      <c r="X1686" s="29"/>
      <c r="Y1686" s="29"/>
      <c r="AA1686" s="18"/>
      <c r="AC1686" s="31"/>
      <c r="AE1686" s="18"/>
      <c r="AG1686" s="29"/>
    </row>
    <row r="1687" spans="1:33">
      <c r="A1687" s="29"/>
      <c r="B1687" s="29"/>
      <c r="C1687" s="29"/>
      <c r="D1687" s="29"/>
      <c r="E1687" s="30"/>
      <c r="F1687" s="30"/>
      <c r="X1687" s="29"/>
      <c r="Y1687" s="29"/>
      <c r="AA1687" s="18"/>
      <c r="AC1687" s="31"/>
      <c r="AE1687" s="18"/>
      <c r="AG1687" s="29"/>
    </row>
    <row r="1688" spans="1:33">
      <c r="A1688" s="29"/>
      <c r="B1688" s="29"/>
      <c r="C1688" s="29"/>
      <c r="D1688" s="29"/>
      <c r="E1688" s="30"/>
      <c r="F1688" s="30"/>
      <c r="X1688" s="29"/>
      <c r="Y1688" s="29"/>
      <c r="AA1688" s="18"/>
      <c r="AC1688" s="31"/>
      <c r="AE1688" s="18"/>
      <c r="AG1688" s="29"/>
    </row>
    <row r="1689" spans="1:33">
      <c r="A1689" s="29"/>
      <c r="B1689" s="29"/>
      <c r="C1689" s="29"/>
      <c r="D1689" s="29"/>
      <c r="E1689" s="30"/>
      <c r="F1689" s="30"/>
      <c r="X1689" s="29"/>
      <c r="Y1689" s="29"/>
      <c r="AA1689" s="18"/>
      <c r="AC1689" s="31"/>
      <c r="AE1689" s="18"/>
      <c r="AG1689" s="29"/>
    </row>
    <row r="1690" spans="1:33">
      <c r="A1690" s="29"/>
      <c r="B1690" s="29"/>
      <c r="C1690" s="29"/>
      <c r="D1690" s="29"/>
      <c r="E1690" s="30"/>
      <c r="F1690" s="30"/>
      <c r="X1690" s="29"/>
      <c r="Y1690" s="29"/>
      <c r="AA1690" s="18"/>
      <c r="AC1690" s="31"/>
      <c r="AE1690" s="18"/>
      <c r="AG1690" s="29"/>
    </row>
    <row r="1691" spans="1:33">
      <c r="A1691" s="29"/>
      <c r="B1691" s="29"/>
      <c r="C1691" s="29"/>
      <c r="D1691" s="29"/>
      <c r="E1691" s="30"/>
      <c r="F1691" s="30"/>
      <c r="X1691" s="29"/>
      <c r="Y1691" s="29"/>
      <c r="AA1691" s="18"/>
      <c r="AC1691" s="31"/>
      <c r="AE1691" s="18"/>
      <c r="AG1691" s="29"/>
    </row>
    <row r="1692" spans="1:33">
      <c r="A1692" s="29"/>
      <c r="B1692" s="29"/>
      <c r="C1692" s="29"/>
      <c r="D1692" s="29"/>
      <c r="E1692" s="30"/>
      <c r="F1692" s="30"/>
      <c r="X1692" s="29"/>
      <c r="Y1692" s="29"/>
      <c r="AA1692" s="18"/>
      <c r="AC1692" s="31"/>
      <c r="AE1692" s="18"/>
      <c r="AG1692" s="29"/>
    </row>
    <row r="1693" spans="1:33">
      <c r="A1693" s="29"/>
      <c r="B1693" s="29"/>
      <c r="C1693" s="29"/>
      <c r="D1693" s="29"/>
      <c r="E1693" s="30"/>
      <c r="F1693" s="30"/>
      <c r="X1693" s="29"/>
      <c r="Y1693" s="29"/>
      <c r="AA1693" s="18"/>
      <c r="AC1693" s="31"/>
      <c r="AE1693" s="18"/>
      <c r="AG1693" s="29"/>
    </row>
    <row r="1694" spans="1:33">
      <c r="A1694" s="29"/>
      <c r="B1694" s="29"/>
      <c r="C1694" s="29"/>
      <c r="D1694" s="29"/>
      <c r="E1694" s="30"/>
      <c r="F1694" s="30"/>
      <c r="X1694" s="29"/>
      <c r="Y1694" s="29"/>
      <c r="AA1694" s="18"/>
      <c r="AC1694" s="31"/>
      <c r="AE1694" s="18"/>
      <c r="AG1694" s="29"/>
    </row>
    <row r="1695" spans="1:33">
      <c r="A1695" s="29"/>
      <c r="B1695" s="29"/>
      <c r="C1695" s="29"/>
      <c r="D1695" s="29"/>
      <c r="E1695" s="30"/>
      <c r="F1695" s="30"/>
      <c r="X1695" s="29"/>
      <c r="Y1695" s="29"/>
      <c r="AA1695" s="18"/>
      <c r="AC1695" s="31"/>
      <c r="AE1695" s="18"/>
      <c r="AG1695" s="29"/>
    </row>
    <row r="1696" spans="1:33">
      <c r="A1696" s="29"/>
      <c r="B1696" s="29"/>
      <c r="C1696" s="29"/>
      <c r="D1696" s="29"/>
      <c r="E1696" s="30"/>
      <c r="F1696" s="30"/>
      <c r="X1696" s="29"/>
      <c r="Y1696" s="29"/>
      <c r="AA1696" s="18"/>
      <c r="AC1696" s="31"/>
      <c r="AE1696" s="18"/>
      <c r="AG1696" s="29"/>
    </row>
    <row r="1697" spans="1:33">
      <c r="A1697" s="29"/>
      <c r="B1697" s="29"/>
      <c r="C1697" s="29"/>
      <c r="D1697" s="29"/>
      <c r="E1697" s="30"/>
      <c r="F1697" s="30"/>
      <c r="X1697" s="29"/>
      <c r="Y1697" s="29"/>
      <c r="AA1697" s="18"/>
      <c r="AC1697" s="31"/>
      <c r="AE1697" s="18"/>
      <c r="AG1697" s="29"/>
    </row>
    <row r="1698" spans="1:33">
      <c r="A1698" s="29"/>
      <c r="B1698" s="29"/>
      <c r="C1698" s="29"/>
      <c r="D1698" s="29"/>
      <c r="E1698" s="30"/>
      <c r="F1698" s="30"/>
      <c r="X1698" s="29"/>
      <c r="Y1698" s="29"/>
      <c r="AA1698" s="18"/>
      <c r="AC1698" s="31"/>
      <c r="AE1698" s="18"/>
      <c r="AG1698" s="29"/>
    </row>
    <row r="1699" spans="1:33">
      <c r="A1699" s="29"/>
      <c r="B1699" s="29"/>
      <c r="C1699" s="29"/>
      <c r="D1699" s="29"/>
      <c r="E1699" s="30"/>
      <c r="F1699" s="30"/>
      <c r="X1699" s="29"/>
      <c r="Y1699" s="29"/>
      <c r="AA1699" s="18"/>
      <c r="AC1699" s="31"/>
      <c r="AE1699" s="18"/>
      <c r="AG1699" s="29"/>
    </row>
    <row r="1700" spans="1:33">
      <c r="A1700" s="29"/>
      <c r="B1700" s="29"/>
      <c r="C1700" s="29"/>
      <c r="D1700" s="29"/>
      <c r="E1700" s="30"/>
      <c r="F1700" s="30"/>
      <c r="X1700" s="29"/>
      <c r="Y1700" s="29"/>
      <c r="AA1700" s="18"/>
      <c r="AC1700" s="31"/>
      <c r="AE1700" s="18"/>
      <c r="AG1700" s="29"/>
    </row>
    <row r="1701" spans="1:33">
      <c r="A1701" s="29"/>
      <c r="B1701" s="29"/>
      <c r="C1701" s="29"/>
      <c r="D1701" s="29"/>
      <c r="E1701" s="30"/>
      <c r="F1701" s="30"/>
      <c r="X1701" s="29"/>
      <c r="Y1701" s="29"/>
      <c r="AA1701" s="18"/>
      <c r="AC1701" s="31"/>
      <c r="AE1701" s="18"/>
      <c r="AG1701" s="29"/>
    </row>
    <row r="1702" spans="1:33">
      <c r="A1702" s="29"/>
      <c r="B1702" s="29"/>
      <c r="C1702" s="29"/>
      <c r="D1702" s="29"/>
      <c r="E1702" s="30"/>
      <c r="F1702" s="30"/>
      <c r="X1702" s="29"/>
      <c r="Y1702" s="29"/>
      <c r="AA1702" s="18"/>
      <c r="AC1702" s="31"/>
      <c r="AE1702" s="18"/>
      <c r="AG1702" s="29"/>
    </row>
    <row r="1703" spans="1:33">
      <c r="A1703" s="29"/>
      <c r="B1703" s="29"/>
      <c r="C1703" s="29"/>
      <c r="D1703" s="29"/>
      <c r="E1703" s="30"/>
      <c r="F1703" s="30"/>
      <c r="X1703" s="29"/>
      <c r="Y1703" s="29"/>
      <c r="AA1703" s="18"/>
      <c r="AC1703" s="31"/>
      <c r="AE1703" s="18"/>
      <c r="AG1703" s="29"/>
    </row>
    <row r="1704" spans="1:33">
      <c r="A1704" s="29"/>
      <c r="B1704" s="29"/>
      <c r="C1704" s="29"/>
      <c r="D1704" s="29"/>
      <c r="E1704" s="30"/>
      <c r="F1704" s="30"/>
      <c r="X1704" s="29"/>
      <c r="Y1704" s="29"/>
      <c r="AA1704" s="18"/>
      <c r="AC1704" s="31"/>
      <c r="AE1704" s="18"/>
      <c r="AG1704" s="29"/>
    </row>
    <row r="1705" spans="1:33">
      <c r="A1705" s="29"/>
      <c r="B1705" s="29"/>
      <c r="C1705" s="29"/>
      <c r="D1705" s="29"/>
      <c r="E1705" s="30"/>
      <c r="F1705" s="30"/>
      <c r="X1705" s="29"/>
      <c r="Y1705" s="29"/>
      <c r="AA1705" s="18"/>
      <c r="AC1705" s="31"/>
      <c r="AE1705" s="18"/>
      <c r="AG1705" s="29"/>
    </row>
    <row r="1706" spans="1:33">
      <c r="A1706" s="29"/>
      <c r="B1706" s="29"/>
      <c r="C1706" s="29"/>
      <c r="D1706" s="29"/>
      <c r="E1706" s="30"/>
      <c r="F1706" s="30"/>
      <c r="X1706" s="29"/>
      <c r="Y1706" s="29"/>
      <c r="AA1706" s="18"/>
      <c r="AC1706" s="31"/>
      <c r="AE1706" s="18"/>
      <c r="AG1706" s="29"/>
    </row>
    <row r="1707" spans="1:33">
      <c r="A1707" s="29"/>
      <c r="B1707" s="29"/>
      <c r="C1707" s="29"/>
      <c r="D1707" s="29"/>
      <c r="E1707" s="30"/>
      <c r="F1707" s="30"/>
      <c r="X1707" s="29"/>
      <c r="Y1707" s="29"/>
      <c r="AA1707" s="18"/>
      <c r="AC1707" s="31"/>
      <c r="AE1707" s="18"/>
      <c r="AG1707" s="29"/>
    </row>
    <row r="1708" spans="1:33">
      <c r="A1708" s="29"/>
      <c r="B1708" s="29"/>
      <c r="C1708" s="29"/>
      <c r="D1708" s="29"/>
      <c r="E1708" s="30"/>
      <c r="F1708" s="30"/>
      <c r="X1708" s="29"/>
      <c r="Y1708" s="29"/>
      <c r="AA1708" s="18"/>
      <c r="AC1708" s="31"/>
      <c r="AE1708" s="18"/>
      <c r="AG1708" s="29"/>
    </row>
    <row r="1709" spans="1:33">
      <c r="A1709" s="29"/>
      <c r="B1709" s="29"/>
      <c r="C1709" s="29"/>
      <c r="D1709" s="29"/>
      <c r="E1709" s="30"/>
      <c r="F1709" s="30"/>
      <c r="X1709" s="29"/>
      <c r="Y1709" s="29"/>
      <c r="AA1709" s="18"/>
      <c r="AC1709" s="31"/>
      <c r="AE1709" s="18"/>
      <c r="AG1709" s="29"/>
    </row>
    <row r="1710" spans="1:33">
      <c r="A1710" s="29"/>
      <c r="B1710" s="29"/>
      <c r="C1710" s="29"/>
      <c r="D1710" s="29"/>
      <c r="E1710" s="30"/>
      <c r="F1710" s="30"/>
      <c r="X1710" s="29"/>
      <c r="Y1710" s="29"/>
      <c r="AA1710" s="18"/>
      <c r="AC1710" s="31"/>
      <c r="AE1710" s="18"/>
      <c r="AG1710" s="29"/>
    </row>
    <row r="1711" spans="1:33">
      <c r="A1711" s="29"/>
      <c r="B1711" s="29"/>
      <c r="C1711" s="29"/>
      <c r="D1711" s="29"/>
      <c r="E1711" s="30"/>
      <c r="F1711" s="30"/>
      <c r="X1711" s="29"/>
      <c r="Y1711" s="29"/>
      <c r="AA1711" s="18"/>
      <c r="AC1711" s="31"/>
      <c r="AE1711" s="18"/>
      <c r="AG1711" s="29"/>
    </row>
    <row r="1712" spans="1:33">
      <c r="A1712" s="29"/>
      <c r="B1712" s="29"/>
      <c r="C1712" s="29"/>
      <c r="D1712" s="29"/>
      <c r="E1712" s="30"/>
      <c r="F1712" s="30"/>
      <c r="X1712" s="29"/>
      <c r="Y1712" s="29"/>
      <c r="AA1712" s="18"/>
      <c r="AC1712" s="31"/>
      <c r="AE1712" s="18"/>
      <c r="AG1712" s="29"/>
    </row>
    <row r="1713" spans="1:33">
      <c r="A1713" s="29"/>
      <c r="B1713" s="29"/>
      <c r="C1713" s="29"/>
      <c r="D1713" s="29"/>
      <c r="E1713" s="30"/>
      <c r="F1713" s="30"/>
      <c r="X1713" s="29"/>
      <c r="Y1713" s="29"/>
      <c r="AA1713" s="18"/>
      <c r="AC1713" s="31"/>
      <c r="AE1713" s="18"/>
      <c r="AG1713" s="29"/>
    </row>
    <row r="1714" spans="1:33">
      <c r="A1714" s="29"/>
      <c r="B1714" s="29"/>
      <c r="C1714" s="29"/>
      <c r="D1714" s="29"/>
      <c r="E1714" s="30"/>
      <c r="F1714" s="30"/>
      <c r="X1714" s="29"/>
      <c r="Y1714" s="29"/>
      <c r="AA1714" s="18"/>
      <c r="AC1714" s="31"/>
      <c r="AE1714" s="18"/>
      <c r="AG1714" s="29"/>
    </row>
    <row r="1715" spans="1:33">
      <c r="A1715" s="29"/>
      <c r="B1715" s="29"/>
      <c r="C1715" s="29"/>
      <c r="D1715" s="29"/>
      <c r="E1715" s="30"/>
      <c r="F1715" s="30"/>
      <c r="X1715" s="29"/>
      <c r="Y1715" s="29"/>
      <c r="AA1715" s="18"/>
      <c r="AC1715" s="31"/>
      <c r="AE1715" s="18"/>
      <c r="AG1715" s="29"/>
    </row>
    <row r="1716" spans="1:33">
      <c r="A1716" s="29"/>
      <c r="B1716" s="29"/>
      <c r="C1716" s="29"/>
      <c r="D1716" s="29"/>
      <c r="E1716" s="30"/>
      <c r="F1716" s="30"/>
      <c r="X1716" s="29"/>
      <c r="Y1716" s="29"/>
      <c r="AA1716" s="18"/>
      <c r="AC1716" s="31"/>
      <c r="AE1716" s="18"/>
      <c r="AG1716" s="29"/>
    </row>
    <row r="1717" spans="1:33">
      <c r="A1717" s="29"/>
      <c r="B1717" s="29"/>
      <c r="C1717" s="29"/>
      <c r="D1717" s="29"/>
      <c r="E1717" s="30"/>
      <c r="F1717" s="30"/>
      <c r="X1717" s="29"/>
      <c r="Y1717" s="29"/>
      <c r="AA1717" s="18"/>
      <c r="AC1717" s="31"/>
      <c r="AE1717" s="18"/>
      <c r="AG1717" s="29"/>
    </row>
    <row r="1718" spans="1:33">
      <c r="A1718" s="29"/>
      <c r="B1718" s="29"/>
      <c r="C1718" s="29"/>
      <c r="D1718" s="29"/>
      <c r="E1718" s="30"/>
      <c r="F1718" s="30"/>
      <c r="X1718" s="29"/>
      <c r="Y1718" s="29"/>
      <c r="AA1718" s="18"/>
      <c r="AC1718" s="31"/>
      <c r="AE1718" s="18"/>
      <c r="AG1718" s="29"/>
    </row>
    <row r="1719" spans="1:33">
      <c r="A1719" s="29"/>
      <c r="B1719" s="29"/>
      <c r="C1719" s="29"/>
      <c r="D1719" s="29"/>
      <c r="E1719" s="30"/>
      <c r="F1719" s="30"/>
      <c r="X1719" s="29"/>
      <c r="Y1719" s="29"/>
      <c r="AA1719" s="18"/>
      <c r="AC1719" s="31"/>
      <c r="AE1719" s="18"/>
      <c r="AG1719" s="29"/>
    </row>
    <row r="1720" spans="1:33">
      <c r="A1720" s="29"/>
      <c r="B1720" s="29"/>
      <c r="C1720" s="29"/>
      <c r="D1720" s="29"/>
      <c r="E1720" s="30"/>
      <c r="F1720" s="30"/>
      <c r="X1720" s="29"/>
      <c r="Y1720" s="29"/>
      <c r="AA1720" s="18"/>
      <c r="AC1720" s="31"/>
      <c r="AE1720" s="18"/>
      <c r="AG1720" s="29"/>
    </row>
    <row r="1721" spans="1:33">
      <c r="A1721" s="29"/>
      <c r="B1721" s="29"/>
      <c r="C1721" s="29"/>
      <c r="D1721" s="29"/>
      <c r="E1721" s="30"/>
      <c r="F1721" s="30"/>
      <c r="X1721" s="29"/>
      <c r="Y1721" s="29"/>
      <c r="AA1721" s="18"/>
      <c r="AC1721" s="31"/>
      <c r="AE1721" s="18"/>
      <c r="AG1721" s="29"/>
    </row>
    <row r="1722" spans="1:33">
      <c r="A1722" s="29"/>
      <c r="B1722" s="29"/>
      <c r="C1722" s="29"/>
      <c r="D1722" s="29"/>
      <c r="E1722" s="30"/>
      <c r="F1722" s="30"/>
      <c r="X1722" s="29"/>
      <c r="Y1722" s="29"/>
      <c r="AA1722" s="18"/>
      <c r="AC1722" s="31"/>
      <c r="AE1722" s="18"/>
      <c r="AG1722" s="29"/>
    </row>
    <row r="1723" spans="1:33">
      <c r="A1723" s="29"/>
      <c r="B1723" s="29"/>
      <c r="C1723" s="29"/>
      <c r="D1723" s="29"/>
      <c r="E1723" s="30"/>
      <c r="F1723" s="30"/>
      <c r="X1723" s="29"/>
      <c r="Y1723" s="29"/>
      <c r="AA1723" s="18"/>
      <c r="AC1723" s="31"/>
      <c r="AE1723" s="18"/>
      <c r="AG1723" s="29"/>
    </row>
    <row r="1724" spans="1:33">
      <c r="A1724" s="29"/>
      <c r="B1724" s="29"/>
      <c r="C1724" s="29"/>
      <c r="D1724" s="29"/>
      <c r="E1724" s="30"/>
      <c r="F1724" s="30"/>
      <c r="X1724" s="29"/>
      <c r="Y1724" s="29"/>
      <c r="AA1724" s="18"/>
      <c r="AC1724" s="31"/>
      <c r="AE1724" s="18"/>
      <c r="AG1724" s="29"/>
    </row>
    <row r="1725" spans="1:33">
      <c r="A1725" s="29"/>
      <c r="B1725" s="29"/>
      <c r="C1725" s="29"/>
      <c r="D1725" s="29"/>
      <c r="E1725" s="30"/>
      <c r="F1725" s="30"/>
      <c r="X1725" s="29"/>
      <c r="Y1725" s="29"/>
      <c r="AA1725" s="18"/>
      <c r="AC1725" s="31"/>
      <c r="AE1725" s="18"/>
      <c r="AG1725" s="29"/>
    </row>
    <row r="1726" spans="1:33">
      <c r="A1726" s="29"/>
      <c r="B1726" s="29"/>
      <c r="C1726" s="29"/>
      <c r="D1726" s="29"/>
      <c r="E1726" s="30"/>
      <c r="F1726" s="30"/>
      <c r="X1726" s="29"/>
      <c r="Y1726" s="29"/>
      <c r="AA1726" s="18"/>
      <c r="AC1726" s="31"/>
      <c r="AE1726" s="18"/>
      <c r="AG1726" s="29"/>
    </row>
    <row r="1727" spans="1:33">
      <c r="A1727" s="29"/>
      <c r="B1727" s="29"/>
      <c r="C1727" s="29"/>
      <c r="D1727" s="29"/>
      <c r="E1727" s="30"/>
      <c r="F1727" s="30"/>
      <c r="X1727" s="29"/>
      <c r="Y1727" s="29"/>
      <c r="AA1727" s="18"/>
      <c r="AC1727" s="31"/>
      <c r="AE1727" s="18"/>
      <c r="AG1727" s="29"/>
    </row>
    <row r="1728" spans="1:33">
      <c r="A1728" s="29"/>
      <c r="B1728" s="29"/>
      <c r="C1728" s="29"/>
      <c r="D1728" s="29"/>
      <c r="E1728" s="30"/>
      <c r="F1728" s="30"/>
      <c r="X1728" s="29"/>
      <c r="Y1728" s="29"/>
      <c r="AA1728" s="18"/>
      <c r="AC1728" s="31"/>
      <c r="AE1728" s="18"/>
      <c r="AG1728" s="29"/>
    </row>
    <row r="1729" spans="1:33">
      <c r="A1729" s="29"/>
      <c r="B1729" s="29"/>
      <c r="C1729" s="29"/>
      <c r="D1729" s="29"/>
      <c r="E1729" s="30"/>
      <c r="F1729" s="30"/>
      <c r="X1729" s="29"/>
      <c r="Y1729" s="29"/>
      <c r="AA1729" s="18"/>
      <c r="AC1729" s="31"/>
      <c r="AE1729" s="18"/>
      <c r="AG1729" s="29"/>
    </row>
    <row r="1730" spans="1:33">
      <c r="A1730" s="29"/>
      <c r="B1730" s="29"/>
      <c r="C1730" s="29"/>
      <c r="D1730" s="29"/>
      <c r="E1730" s="30"/>
      <c r="F1730" s="30"/>
      <c r="X1730" s="29"/>
      <c r="Y1730" s="29"/>
      <c r="AA1730" s="18"/>
      <c r="AC1730" s="31"/>
      <c r="AE1730" s="18"/>
      <c r="AG1730" s="29"/>
    </row>
    <row r="1731" spans="1:33">
      <c r="A1731" s="29"/>
      <c r="B1731" s="29"/>
      <c r="C1731" s="29"/>
      <c r="D1731" s="29"/>
      <c r="E1731" s="30"/>
      <c r="F1731" s="30"/>
      <c r="X1731" s="29"/>
      <c r="Y1731" s="29"/>
      <c r="AA1731" s="18"/>
      <c r="AC1731" s="31"/>
      <c r="AE1731" s="18"/>
      <c r="AG1731" s="29"/>
    </row>
    <row r="1732" spans="1:33">
      <c r="A1732" s="29"/>
      <c r="B1732" s="29"/>
      <c r="C1732" s="29"/>
      <c r="D1732" s="29"/>
      <c r="E1732" s="30"/>
      <c r="F1732" s="30"/>
      <c r="X1732" s="29"/>
      <c r="Y1732" s="29"/>
      <c r="AA1732" s="18"/>
      <c r="AC1732" s="31"/>
      <c r="AE1732" s="18"/>
      <c r="AG1732" s="29"/>
    </row>
    <row r="1733" spans="1:33">
      <c r="A1733" s="29"/>
      <c r="B1733" s="29"/>
      <c r="C1733" s="29"/>
      <c r="D1733" s="29"/>
      <c r="E1733" s="30"/>
      <c r="F1733" s="30"/>
      <c r="X1733" s="29"/>
      <c r="Y1733" s="29"/>
      <c r="AA1733" s="18"/>
      <c r="AC1733" s="31"/>
      <c r="AE1733" s="18"/>
      <c r="AG1733" s="29"/>
    </row>
    <row r="1734" spans="1:33">
      <c r="A1734" s="29"/>
      <c r="B1734" s="29"/>
      <c r="C1734" s="29"/>
      <c r="D1734" s="29"/>
      <c r="E1734" s="30"/>
      <c r="F1734" s="30"/>
      <c r="X1734" s="29"/>
      <c r="Y1734" s="29"/>
      <c r="AA1734" s="18"/>
      <c r="AC1734" s="31"/>
      <c r="AE1734" s="18"/>
      <c r="AG1734" s="29"/>
    </row>
    <row r="1735" spans="1:33">
      <c r="A1735" s="29"/>
      <c r="B1735" s="29"/>
      <c r="C1735" s="29"/>
      <c r="D1735" s="29"/>
      <c r="E1735" s="30"/>
      <c r="F1735" s="30"/>
      <c r="X1735" s="29"/>
      <c r="Y1735" s="29"/>
      <c r="AA1735" s="18"/>
      <c r="AC1735" s="31"/>
      <c r="AE1735" s="18"/>
      <c r="AG1735" s="29"/>
    </row>
    <row r="1736" spans="1:33">
      <c r="A1736" s="29"/>
      <c r="B1736" s="29"/>
      <c r="C1736" s="29"/>
      <c r="D1736" s="29"/>
      <c r="E1736" s="30"/>
      <c r="F1736" s="30"/>
      <c r="X1736" s="29"/>
      <c r="Y1736" s="29"/>
      <c r="AA1736" s="18"/>
      <c r="AC1736" s="31"/>
      <c r="AE1736" s="18"/>
      <c r="AG1736" s="29"/>
    </row>
    <row r="1737" spans="1:33">
      <c r="A1737" s="29"/>
      <c r="B1737" s="29"/>
      <c r="C1737" s="29"/>
      <c r="D1737" s="29"/>
      <c r="E1737" s="30"/>
      <c r="F1737" s="30"/>
      <c r="X1737" s="29"/>
      <c r="Y1737" s="29"/>
      <c r="AA1737" s="18"/>
      <c r="AC1737" s="31"/>
      <c r="AE1737" s="18"/>
      <c r="AG1737" s="29"/>
    </row>
    <row r="1738" spans="1:33">
      <c r="A1738" s="29"/>
      <c r="B1738" s="29"/>
      <c r="C1738" s="29"/>
      <c r="D1738" s="29"/>
      <c r="E1738" s="30"/>
      <c r="F1738" s="30"/>
      <c r="X1738" s="29"/>
      <c r="Y1738" s="29"/>
      <c r="AA1738" s="18"/>
      <c r="AC1738" s="31"/>
      <c r="AE1738" s="18"/>
      <c r="AG1738" s="29"/>
    </row>
    <row r="1739" spans="1:33">
      <c r="A1739" s="29"/>
      <c r="B1739" s="29"/>
      <c r="C1739" s="29"/>
      <c r="D1739" s="29"/>
      <c r="E1739" s="30"/>
      <c r="F1739" s="30"/>
      <c r="X1739" s="29"/>
      <c r="Y1739" s="29"/>
      <c r="AA1739" s="18"/>
      <c r="AC1739" s="31"/>
      <c r="AE1739" s="18"/>
      <c r="AG1739" s="29"/>
    </row>
    <row r="1740" spans="1:33">
      <c r="A1740" s="29"/>
      <c r="B1740" s="29"/>
      <c r="C1740" s="29"/>
      <c r="D1740" s="29"/>
      <c r="E1740" s="30"/>
      <c r="F1740" s="30"/>
      <c r="X1740" s="29"/>
      <c r="Y1740" s="29"/>
      <c r="AA1740" s="18"/>
      <c r="AC1740" s="31"/>
      <c r="AE1740" s="18"/>
      <c r="AG1740" s="29"/>
    </row>
    <row r="1741" spans="1:33">
      <c r="A1741" s="29"/>
      <c r="B1741" s="29"/>
      <c r="C1741" s="29"/>
      <c r="D1741" s="29"/>
      <c r="E1741" s="30"/>
      <c r="F1741" s="30"/>
      <c r="X1741" s="29"/>
      <c r="Y1741" s="29"/>
      <c r="AA1741" s="18"/>
      <c r="AC1741" s="31"/>
      <c r="AE1741" s="18"/>
      <c r="AG1741" s="29"/>
    </row>
    <row r="1742" spans="1:33">
      <c r="A1742" s="29"/>
      <c r="B1742" s="29"/>
      <c r="C1742" s="29"/>
      <c r="D1742" s="29"/>
      <c r="E1742" s="30"/>
      <c r="F1742" s="30"/>
      <c r="X1742" s="29"/>
      <c r="Y1742" s="29"/>
      <c r="AA1742" s="18"/>
      <c r="AC1742" s="31"/>
      <c r="AE1742" s="18"/>
      <c r="AG1742" s="29"/>
    </row>
    <row r="1743" spans="1:33">
      <c r="A1743" s="29"/>
      <c r="B1743" s="29"/>
      <c r="C1743" s="29"/>
      <c r="D1743" s="29"/>
      <c r="E1743" s="30"/>
      <c r="F1743" s="30"/>
      <c r="X1743" s="29"/>
      <c r="Y1743" s="29"/>
      <c r="AA1743" s="18"/>
      <c r="AC1743" s="31"/>
      <c r="AE1743" s="18"/>
      <c r="AG1743" s="29"/>
    </row>
    <row r="1744" spans="1:33">
      <c r="A1744" s="29"/>
      <c r="B1744" s="29"/>
      <c r="C1744" s="29"/>
      <c r="D1744" s="29"/>
      <c r="E1744" s="30"/>
      <c r="F1744" s="30"/>
      <c r="X1744" s="29"/>
      <c r="Y1744" s="29"/>
      <c r="AA1744" s="18"/>
      <c r="AC1744" s="31"/>
      <c r="AE1744" s="18"/>
      <c r="AG1744" s="29"/>
    </row>
    <row r="1745" spans="1:33">
      <c r="A1745" s="29"/>
      <c r="B1745" s="29"/>
      <c r="C1745" s="29"/>
      <c r="D1745" s="29"/>
      <c r="E1745" s="30"/>
      <c r="F1745" s="30"/>
      <c r="X1745" s="29"/>
      <c r="Y1745" s="29"/>
      <c r="AA1745" s="18"/>
      <c r="AC1745" s="31"/>
      <c r="AE1745" s="18"/>
      <c r="AG1745" s="29"/>
    </row>
    <row r="1746" spans="1:33">
      <c r="A1746" s="29"/>
      <c r="B1746" s="29"/>
      <c r="C1746" s="29"/>
      <c r="D1746" s="29"/>
      <c r="E1746" s="30"/>
      <c r="F1746" s="30"/>
      <c r="X1746" s="29"/>
      <c r="Y1746" s="29"/>
      <c r="AA1746" s="18"/>
      <c r="AC1746" s="31"/>
      <c r="AE1746" s="18"/>
      <c r="AG1746" s="29"/>
    </row>
    <row r="1747" spans="1:33">
      <c r="A1747" s="29"/>
      <c r="B1747" s="29"/>
      <c r="C1747" s="29"/>
      <c r="D1747" s="29"/>
      <c r="E1747" s="30"/>
      <c r="F1747" s="30"/>
      <c r="X1747" s="29"/>
      <c r="Y1747" s="29"/>
      <c r="AA1747" s="18"/>
      <c r="AC1747" s="31"/>
      <c r="AE1747" s="18"/>
      <c r="AG1747" s="29"/>
    </row>
    <row r="1748" spans="1:33">
      <c r="A1748" s="29"/>
      <c r="B1748" s="29"/>
      <c r="C1748" s="29"/>
      <c r="D1748" s="29"/>
      <c r="E1748" s="30"/>
      <c r="F1748" s="30"/>
      <c r="X1748" s="29"/>
      <c r="Y1748" s="29"/>
      <c r="AA1748" s="18"/>
      <c r="AC1748" s="31"/>
      <c r="AE1748" s="18"/>
      <c r="AG1748" s="29"/>
    </row>
    <row r="1749" spans="1:33">
      <c r="A1749" s="29"/>
      <c r="B1749" s="29"/>
      <c r="C1749" s="29"/>
      <c r="D1749" s="29"/>
      <c r="E1749" s="30"/>
      <c r="F1749" s="30"/>
      <c r="X1749" s="29"/>
      <c r="Y1749" s="29"/>
      <c r="AA1749" s="18"/>
      <c r="AC1749" s="31"/>
      <c r="AE1749" s="18"/>
      <c r="AG1749" s="29"/>
    </row>
    <row r="1750" spans="1:33">
      <c r="A1750" s="29"/>
      <c r="B1750" s="29"/>
      <c r="C1750" s="29"/>
      <c r="D1750" s="29"/>
      <c r="E1750" s="30"/>
      <c r="F1750" s="30"/>
      <c r="X1750" s="29"/>
      <c r="Y1750" s="29"/>
      <c r="AA1750" s="18"/>
      <c r="AC1750" s="31"/>
      <c r="AE1750" s="18"/>
      <c r="AG1750" s="29"/>
    </row>
    <row r="1751" spans="1:33">
      <c r="A1751" s="29"/>
      <c r="B1751" s="29"/>
      <c r="C1751" s="29"/>
      <c r="D1751" s="29"/>
      <c r="E1751" s="30"/>
      <c r="F1751" s="30"/>
      <c r="X1751" s="29"/>
      <c r="Y1751" s="29"/>
      <c r="AA1751" s="18"/>
      <c r="AC1751" s="31"/>
      <c r="AE1751" s="18"/>
      <c r="AG1751" s="29"/>
    </row>
    <row r="1752" spans="1:33">
      <c r="A1752" s="29"/>
      <c r="B1752" s="29"/>
      <c r="C1752" s="29"/>
      <c r="D1752" s="29"/>
      <c r="E1752" s="30"/>
      <c r="F1752" s="30"/>
      <c r="X1752" s="29"/>
      <c r="Y1752" s="29"/>
      <c r="AA1752" s="18"/>
      <c r="AC1752" s="31"/>
      <c r="AE1752" s="18"/>
      <c r="AG1752" s="29"/>
    </row>
    <row r="1753" spans="1:33">
      <c r="A1753" s="29"/>
      <c r="B1753" s="29"/>
      <c r="C1753" s="29"/>
      <c r="D1753" s="29"/>
      <c r="E1753" s="30"/>
      <c r="F1753" s="30"/>
      <c r="X1753" s="29"/>
      <c r="Y1753" s="29"/>
      <c r="AA1753" s="18"/>
      <c r="AC1753" s="31"/>
      <c r="AE1753" s="18"/>
      <c r="AG1753" s="29"/>
    </row>
    <row r="1754" spans="1:33">
      <c r="A1754" s="29"/>
      <c r="B1754" s="29"/>
      <c r="C1754" s="29"/>
      <c r="D1754" s="29"/>
      <c r="E1754" s="30"/>
      <c r="F1754" s="30"/>
      <c r="X1754" s="29"/>
      <c r="Y1754" s="29"/>
      <c r="AA1754" s="18"/>
      <c r="AC1754" s="31"/>
      <c r="AE1754" s="18"/>
      <c r="AG1754" s="29"/>
    </row>
    <row r="1755" spans="1:33">
      <c r="A1755" s="29"/>
      <c r="B1755" s="29"/>
      <c r="C1755" s="29"/>
      <c r="D1755" s="29"/>
      <c r="E1755" s="30"/>
      <c r="F1755" s="30"/>
      <c r="X1755" s="29"/>
      <c r="Y1755" s="29"/>
      <c r="AA1755" s="18"/>
      <c r="AC1755" s="31"/>
      <c r="AE1755" s="18"/>
      <c r="AG1755" s="29"/>
    </row>
    <row r="1756" spans="1:33">
      <c r="A1756" s="29"/>
      <c r="B1756" s="29"/>
      <c r="C1756" s="29"/>
      <c r="D1756" s="29"/>
      <c r="E1756" s="30"/>
      <c r="F1756" s="30"/>
      <c r="X1756" s="29"/>
      <c r="Y1756" s="29"/>
      <c r="AA1756" s="18"/>
      <c r="AC1756" s="31"/>
      <c r="AE1756" s="18"/>
      <c r="AG1756" s="29"/>
    </row>
    <row r="1757" spans="1:33">
      <c r="A1757" s="29"/>
      <c r="B1757" s="29"/>
      <c r="C1757" s="29"/>
      <c r="D1757" s="29"/>
      <c r="E1757" s="30"/>
      <c r="F1757" s="30"/>
      <c r="X1757" s="29"/>
      <c r="Y1757" s="29"/>
      <c r="AA1757" s="18"/>
      <c r="AC1757" s="31"/>
      <c r="AE1757" s="18"/>
      <c r="AG1757" s="29"/>
    </row>
    <row r="1758" spans="1:33">
      <c r="A1758" s="29"/>
      <c r="B1758" s="29"/>
      <c r="C1758" s="29"/>
      <c r="D1758" s="29"/>
      <c r="E1758" s="30"/>
      <c r="F1758" s="30"/>
      <c r="X1758" s="29"/>
      <c r="Y1758" s="29"/>
      <c r="AA1758" s="18"/>
      <c r="AC1758" s="31"/>
      <c r="AE1758" s="18"/>
      <c r="AG1758" s="29"/>
    </row>
    <row r="1759" spans="1:33">
      <c r="A1759" s="29"/>
      <c r="B1759" s="29"/>
      <c r="C1759" s="29"/>
      <c r="D1759" s="29"/>
      <c r="E1759" s="30"/>
      <c r="F1759" s="30"/>
      <c r="X1759" s="29"/>
      <c r="Y1759" s="29"/>
      <c r="AA1759" s="18"/>
      <c r="AC1759" s="31"/>
      <c r="AE1759" s="18"/>
      <c r="AG1759" s="29"/>
    </row>
    <row r="1760" spans="1:33">
      <c r="A1760" s="29"/>
      <c r="B1760" s="29"/>
      <c r="C1760" s="29"/>
      <c r="D1760" s="29"/>
      <c r="E1760" s="30"/>
      <c r="F1760" s="30"/>
      <c r="X1760" s="29"/>
      <c r="Y1760" s="29"/>
      <c r="AA1760" s="18"/>
      <c r="AC1760" s="31"/>
      <c r="AE1760" s="18"/>
      <c r="AG1760" s="29"/>
    </row>
    <row r="1761" spans="1:33">
      <c r="A1761" s="29"/>
      <c r="B1761" s="29"/>
      <c r="C1761" s="29"/>
      <c r="D1761" s="29"/>
      <c r="E1761" s="30"/>
      <c r="F1761" s="30"/>
      <c r="X1761" s="29"/>
      <c r="Y1761" s="29"/>
      <c r="AA1761" s="18"/>
      <c r="AC1761" s="31"/>
      <c r="AE1761" s="18"/>
      <c r="AG1761" s="29"/>
    </row>
    <row r="1762" spans="1:33">
      <c r="A1762" s="29"/>
      <c r="B1762" s="29"/>
      <c r="C1762" s="29"/>
      <c r="D1762" s="29"/>
      <c r="E1762" s="30"/>
      <c r="F1762" s="30"/>
      <c r="X1762" s="29"/>
      <c r="Y1762" s="29"/>
      <c r="AA1762" s="18"/>
      <c r="AC1762" s="31"/>
      <c r="AE1762" s="18"/>
      <c r="AG1762" s="29"/>
    </row>
    <row r="1763" spans="1:33">
      <c r="A1763" s="29"/>
      <c r="B1763" s="29"/>
      <c r="C1763" s="29"/>
      <c r="D1763" s="29"/>
      <c r="E1763" s="30"/>
      <c r="F1763" s="30"/>
      <c r="X1763" s="29"/>
      <c r="Y1763" s="29"/>
      <c r="AA1763" s="18"/>
      <c r="AC1763" s="31"/>
      <c r="AE1763" s="18"/>
      <c r="AG1763" s="29"/>
    </row>
    <row r="1764" spans="1:33">
      <c r="A1764" s="29"/>
      <c r="B1764" s="29"/>
      <c r="C1764" s="29"/>
      <c r="D1764" s="29"/>
      <c r="E1764" s="30"/>
      <c r="F1764" s="30"/>
      <c r="X1764" s="29"/>
      <c r="Y1764" s="29"/>
      <c r="AA1764" s="18"/>
      <c r="AC1764" s="31"/>
      <c r="AE1764" s="18"/>
      <c r="AG1764" s="29"/>
    </row>
    <row r="1765" spans="1:33">
      <c r="A1765" s="29"/>
      <c r="B1765" s="29"/>
      <c r="C1765" s="29"/>
      <c r="D1765" s="29"/>
      <c r="E1765" s="30"/>
      <c r="F1765" s="30"/>
      <c r="X1765" s="29"/>
      <c r="Y1765" s="29"/>
      <c r="AA1765" s="18"/>
      <c r="AC1765" s="31"/>
      <c r="AE1765" s="18"/>
      <c r="AG1765" s="29"/>
    </row>
    <row r="1766" spans="1:33">
      <c r="A1766" s="29"/>
      <c r="B1766" s="29"/>
      <c r="C1766" s="29"/>
      <c r="D1766" s="29"/>
      <c r="E1766" s="30"/>
      <c r="F1766" s="30"/>
      <c r="X1766" s="29"/>
      <c r="Y1766" s="29"/>
      <c r="AA1766" s="18"/>
      <c r="AC1766" s="31"/>
      <c r="AE1766" s="18"/>
      <c r="AG1766" s="29"/>
    </row>
    <row r="1767" spans="1:33">
      <c r="A1767" s="29"/>
      <c r="B1767" s="29"/>
      <c r="C1767" s="29"/>
      <c r="D1767" s="29"/>
      <c r="E1767" s="30"/>
      <c r="F1767" s="30"/>
      <c r="X1767" s="29"/>
      <c r="Y1767" s="29"/>
      <c r="AA1767" s="18"/>
      <c r="AC1767" s="31"/>
      <c r="AE1767" s="18"/>
      <c r="AG1767" s="29"/>
    </row>
    <row r="1768" spans="1:33">
      <c r="A1768" s="29"/>
      <c r="B1768" s="29"/>
      <c r="C1768" s="29"/>
      <c r="D1768" s="29"/>
      <c r="E1768" s="30"/>
      <c r="F1768" s="30"/>
      <c r="X1768" s="29"/>
      <c r="Y1768" s="29"/>
      <c r="AA1768" s="18"/>
      <c r="AC1768" s="31"/>
      <c r="AE1768" s="18"/>
      <c r="AG1768" s="29"/>
    </row>
    <row r="1769" spans="1:33">
      <c r="A1769" s="29"/>
      <c r="B1769" s="29"/>
      <c r="C1769" s="29"/>
      <c r="D1769" s="29"/>
      <c r="E1769" s="30"/>
      <c r="F1769" s="30"/>
      <c r="X1769" s="29"/>
      <c r="Y1769" s="29"/>
      <c r="AA1769" s="18"/>
      <c r="AC1769" s="31"/>
      <c r="AE1769" s="18"/>
      <c r="AG1769" s="29"/>
    </row>
    <row r="1770" spans="1:33">
      <c r="A1770" s="29"/>
      <c r="B1770" s="29"/>
      <c r="C1770" s="29"/>
      <c r="D1770" s="29"/>
      <c r="E1770" s="30"/>
      <c r="F1770" s="30"/>
      <c r="X1770" s="29"/>
      <c r="Y1770" s="29"/>
      <c r="AA1770" s="18"/>
      <c r="AC1770" s="31"/>
      <c r="AE1770" s="18"/>
      <c r="AG1770" s="29"/>
    </row>
    <row r="1771" spans="1:33">
      <c r="A1771" s="29"/>
      <c r="B1771" s="29"/>
      <c r="C1771" s="29"/>
      <c r="D1771" s="29"/>
      <c r="E1771" s="30"/>
      <c r="F1771" s="30"/>
      <c r="X1771" s="29"/>
      <c r="Y1771" s="29"/>
      <c r="AA1771" s="18"/>
      <c r="AC1771" s="31"/>
      <c r="AE1771" s="18"/>
      <c r="AG1771" s="29"/>
    </row>
    <row r="1772" spans="1:33">
      <c r="A1772" s="29"/>
      <c r="B1772" s="29"/>
      <c r="C1772" s="29"/>
      <c r="D1772" s="29"/>
      <c r="E1772" s="30"/>
      <c r="F1772" s="30"/>
      <c r="X1772" s="29"/>
      <c r="Y1772" s="29"/>
      <c r="AA1772" s="18"/>
      <c r="AC1772" s="31"/>
      <c r="AE1772" s="18"/>
      <c r="AG1772" s="29"/>
    </row>
    <row r="1773" spans="1:33">
      <c r="A1773" s="29"/>
      <c r="B1773" s="29"/>
      <c r="C1773" s="29"/>
      <c r="D1773" s="29"/>
      <c r="E1773" s="30"/>
      <c r="F1773" s="30"/>
      <c r="X1773" s="29"/>
      <c r="Y1773" s="29"/>
      <c r="AA1773" s="18"/>
      <c r="AC1773" s="31"/>
      <c r="AE1773" s="18"/>
      <c r="AG1773" s="29"/>
    </row>
    <row r="1774" spans="1:33">
      <c r="A1774" s="29"/>
      <c r="B1774" s="29"/>
      <c r="C1774" s="29"/>
      <c r="D1774" s="29"/>
      <c r="E1774" s="30"/>
      <c r="F1774" s="30"/>
      <c r="X1774" s="29"/>
      <c r="Y1774" s="29"/>
      <c r="AA1774" s="18"/>
      <c r="AC1774" s="31"/>
      <c r="AE1774" s="18"/>
      <c r="AG1774" s="29"/>
    </row>
    <row r="1775" spans="1:33">
      <c r="A1775" s="29"/>
      <c r="B1775" s="29"/>
      <c r="C1775" s="29"/>
      <c r="D1775" s="29"/>
      <c r="E1775" s="30"/>
      <c r="F1775" s="30"/>
      <c r="X1775" s="29"/>
      <c r="Y1775" s="29"/>
      <c r="AA1775" s="18"/>
      <c r="AC1775" s="31"/>
      <c r="AE1775" s="18"/>
      <c r="AG1775" s="29"/>
    </row>
    <row r="1776" spans="1:33">
      <c r="A1776" s="29"/>
      <c r="B1776" s="29"/>
      <c r="C1776" s="29"/>
      <c r="D1776" s="29"/>
      <c r="E1776" s="30"/>
      <c r="F1776" s="30"/>
      <c r="X1776" s="29"/>
      <c r="Y1776" s="29"/>
      <c r="AA1776" s="18"/>
      <c r="AC1776" s="31"/>
      <c r="AE1776" s="18"/>
      <c r="AG1776" s="29"/>
    </row>
    <row r="1777" spans="1:33">
      <c r="A1777" s="29"/>
      <c r="B1777" s="29"/>
      <c r="C1777" s="29"/>
      <c r="D1777" s="29"/>
      <c r="E1777" s="30"/>
      <c r="F1777" s="30"/>
      <c r="X1777" s="29"/>
      <c r="Y1777" s="29"/>
      <c r="AA1777" s="18"/>
      <c r="AC1777" s="31"/>
      <c r="AE1777" s="18"/>
      <c r="AG1777" s="29"/>
    </row>
    <row r="1778" spans="1:33">
      <c r="A1778" s="29"/>
      <c r="B1778" s="29"/>
      <c r="C1778" s="29"/>
      <c r="D1778" s="29"/>
      <c r="E1778" s="30"/>
      <c r="F1778" s="30"/>
      <c r="X1778" s="29"/>
      <c r="Y1778" s="29"/>
      <c r="AA1778" s="18"/>
      <c r="AC1778" s="31"/>
      <c r="AE1778" s="18"/>
      <c r="AG1778" s="29"/>
    </row>
    <row r="1779" spans="1:33">
      <c r="A1779" s="29"/>
      <c r="B1779" s="29"/>
      <c r="C1779" s="29"/>
      <c r="D1779" s="29"/>
      <c r="E1779" s="30"/>
      <c r="F1779" s="30"/>
      <c r="X1779" s="29"/>
      <c r="Y1779" s="29"/>
      <c r="AA1779" s="18"/>
      <c r="AC1779" s="31"/>
      <c r="AE1779" s="18"/>
      <c r="AG1779" s="29"/>
    </row>
    <row r="1780" spans="1:33">
      <c r="A1780" s="29"/>
      <c r="B1780" s="29"/>
      <c r="C1780" s="29"/>
      <c r="D1780" s="29"/>
      <c r="E1780" s="30"/>
      <c r="F1780" s="30"/>
      <c r="X1780" s="29"/>
      <c r="Y1780" s="29"/>
      <c r="AA1780" s="18"/>
      <c r="AC1780" s="31"/>
      <c r="AE1780" s="18"/>
      <c r="AG1780" s="29"/>
    </row>
    <row r="1781" spans="1:33">
      <c r="A1781" s="29"/>
      <c r="B1781" s="29"/>
      <c r="C1781" s="29"/>
      <c r="D1781" s="29"/>
      <c r="E1781" s="30"/>
      <c r="F1781" s="30"/>
      <c r="X1781" s="29"/>
      <c r="Y1781" s="29"/>
      <c r="AA1781" s="18"/>
      <c r="AC1781" s="31"/>
      <c r="AE1781" s="18"/>
      <c r="AG1781" s="29"/>
    </row>
    <row r="1782" spans="1:33">
      <c r="A1782" s="29"/>
      <c r="B1782" s="29"/>
      <c r="C1782" s="29"/>
      <c r="D1782" s="29"/>
      <c r="E1782" s="30"/>
      <c r="F1782" s="30"/>
      <c r="X1782" s="29"/>
      <c r="Y1782" s="29"/>
      <c r="AA1782" s="18"/>
      <c r="AC1782" s="31"/>
      <c r="AE1782" s="18"/>
      <c r="AG1782" s="29"/>
    </row>
    <row r="1783" spans="1:33">
      <c r="A1783" s="29"/>
      <c r="B1783" s="29"/>
      <c r="C1783" s="29"/>
      <c r="D1783" s="29"/>
      <c r="E1783" s="30"/>
      <c r="F1783" s="30"/>
      <c r="X1783" s="29"/>
      <c r="Y1783" s="29"/>
      <c r="AA1783" s="18"/>
      <c r="AC1783" s="31"/>
      <c r="AE1783" s="18"/>
      <c r="AG1783" s="29"/>
    </row>
    <row r="1784" spans="1:33">
      <c r="A1784" s="29"/>
      <c r="B1784" s="29"/>
      <c r="C1784" s="29"/>
      <c r="D1784" s="29"/>
      <c r="E1784" s="30"/>
      <c r="F1784" s="30"/>
      <c r="X1784" s="29"/>
      <c r="Y1784" s="29"/>
      <c r="AA1784" s="18"/>
      <c r="AC1784" s="31"/>
      <c r="AE1784" s="18"/>
      <c r="AG1784" s="29"/>
    </row>
    <row r="1785" spans="1:33">
      <c r="A1785" s="29"/>
      <c r="B1785" s="29"/>
      <c r="C1785" s="29"/>
      <c r="D1785" s="29"/>
      <c r="E1785" s="30"/>
      <c r="F1785" s="30"/>
      <c r="X1785" s="29"/>
      <c r="Y1785" s="29"/>
      <c r="AA1785" s="18"/>
      <c r="AC1785" s="31"/>
      <c r="AE1785" s="18"/>
      <c r="AG1785" s="29"/>
    </row>
    <row r="1786" spans="1:33">
      <c r="A1786" s="29"/>
      <c r="B1786" s="29"/>
      <c r="C1786" s="29"/>
      <c r="D1786" s="29"/>
      <c r="E1786" s="30"/>
      <c r="F1786" s="30"/>
      <c r="X1786" s="29"/>
      <c r="Y1786" s="29"/>
      <c r="AA1786" s="18"/>
      <c r="AC1786" s="31"/>
      <c r="AE1786" s="18"/>
      <c r="AG1786" s="29"/>
    </row>
    <row r="1787" spans="1:33">
      <c r="A1787" s="29"/>
      <c r="B1787" s="29"/>
      <c r="C1787" s="29"/>
      <c r="D1787" s="29"/>
      <c r="E1787" s="30"/>
      <c r="F1787" s="30"/>
      <c r="X1787" s="29"/>
      <c r="Y1787" s="29"/>
      <c r="AA1787" s="18"/>
      <c r="AC1787" s="31"/>
      <c r="AE1787" s="18"/>
      <c r="AG1787" s="29"/>
    </row>
    <row r="1788" spans="1:33">
      <c r="A1788" s="29"/>
      <c r="B1788" s="29"/>
      <c r="C1788" s="29"/>
      <c r="D1788" s="29"/>
      <c r="E1788" s="30"/>
      <c r="F1788" s="30"/>
      <c r="X1788" s="29"/>
      <c r="Y1788" s="29"/>
      <c r="AA1788" s="18"/>
      <c r="AC1788" s="31"/>
      <c r="AE1788" s="18"/>
      <c r="AG1788" s="29"/>
    </row>
    <row r="1789" spans="1:33">
      <c r="A1789" s="29"/>
      <c r="B1789" s="29"/>
      <c r="C1789" s="29"/>
      <c r="D1789" s="29"/>
      <c r="E1789" s="30"/>
      <c r="F1789" s="30"/>
      <c r="X1789" s="29"/>
      <c r="Y1789" s="29"/>
      <c r="AA1789" s="18"/>
      <c r="AC1789" s="31"/>
      <c r="AE1789" s="18"/>
      <c r="AG1789" s="29"/>
    </row>
    <row r="1790" spans="1:33">
      <c r="A1790" s="29"/>
      <c r="B1790" s="29"/>
      <c r="C1790" s="29"/>
      <c r="D1790" s="29"/>
      <c r="E1790" s="30"/>
      <c r="F1790" s="30"/>
      <c r="X1790" s="29"/>
      <c r="Y1790" s="29"/>
      <c r="AA1790" s="18"/>
      <c r="AC1790" s="31"/>
      <c r="AE1790" s="18"/>
      <c r="AG1790" s="29"/>
    </row>
    <row r="1791" spans="1:33">
      <c r="A1791" s="29"/>
      <c r="B1791" s="29"/>
      <c r="C1791" s="29"/>
      <c r="D1791" s="29"/>
      <c r="E1791" s="30"/>
      <c r="F1791" s="30"/>
      <c r="X1791" s="29"/>
      <c r="Y1791" s="29"/>
      <c r="AA1791" s="18"/>
      <c r="AC1791" s="31"/>
      <c r="AE1791" s="18"/>
      <c r="AG1791" s="29"/>
    </row>
    <row r="1792" spans="1:33">
      <c r="A1792" s="29"/>
      <c r="B1792" s="29"/>
      <c r="C1792" s="29"/>
      <c r="D1792" s="29"/>
      <c r="E1792" s="30"/>
      <c r="F1792" s="30"/>
      <c r="X1792" s="29"/>
      <c r="Y1792" s="29"/>
      <c r="AA1792" s="18"/>
      <c r="AC1792" s="31"/>
      <c r="AE1792" s="18"/>
      <c r="AG1792" s="29"/>
    </row>
    <row r="1793" spans="1:33">
      <c r="A1793" s="29"/>
      <c r="B1793" s="29"/>
      <c r="C1793" s="29"/>
      <c r="D1793" s="29"/>
      <c r="E1793" s="30"/>
      <c r="F1793" s="30"/>
      <c r="X1793" s="29"/>
      <c r="Y1793" s="29"/>
      <c r="AA1793" s="18"/>
      <c r="AC1793" s="31"/>
      <c r="AE1793" s="18"/>
      <c r="AG1793" s="29"/>
    </row>
    <row r="1794" spans="1:33">
      <c r="A1794" s="29"/>
      <c r="B1794" s="29"/>
      <c r="C1794" s="29"/>
      <c r="D1794" s="29"/>
      <c r="E1794" s="30"/>
      <c r="F1794" s="30"/>
      <c r="X1794" s="29"/>
      <c r="Y1794" s="29"/>
      <c r="AA1794" s="18"/>
      <c r="AC1794" s="31"/>
      <c r="AE1794" s="18"/>
      <c r="AG1794" s="29"/>
    </row>
    <row r="1795" spans="1:33">
      <c r="A1795" s="29"/>
      <c r="B1795" s="29"/>
      <c r="C1795" s="29"/>
      <c r="D1795" s="29"/>
      <c r="E1795" s="30"/>
      <c r="F1795" s="30"/>
      <c r="X1795" s="29"/>
      <c r="Y1795" s="29"/>
      <c r="AA1795" s="18"/>
      <c r="AC1795" s="31"/>
      <c r="AE1795" s="18"/>
      <c r="AG1795" s="29"/>
    </row>
    <row r="1796" spans="1:33">
      <c r="A1796" s="29"/>
      <c r="B1796" s="29"/>
      <c r="C1796" s="29"/>
      <c r="D1796" s="29"/>
      <c r="E1796" s="30"/>
      <c r="F1796" s="30"/>
      <c r="X1796" s="29"/>
      <c r="Y1796" s="29"/>
      <c r="AA1796" s="18"/>
      <c r="AC1796" s="31"/>
      <c r="AE1796" s="18"/>
      <c r="AG1796" s="29"/>
    </row>
    <row r="1797" spans="1:33">
      <c r="A1797" s="29"/>
      <c r="B1797" s="29"/>
      <c r="C1797" s="29"/>
      <c r="D1797" s="29"/>
      <c r="E1797" s="30"/>
      <c r="F1797" s="30"/>
      <c r="X1797" s="29"/>
      <c r="Y1797" s="29"/>
      <c r="AA1797" s="18"/>
      <c r="AC1797" s="31"/>
      <c r="AE1797" s="18"/>
      <c r="AG1797" s="29"/>
    </row>
    <row r="1798" spans="1:33">
      <c r="A1798" s="29"/>
      <c r="B1798" s="29"/>
      <c r="C1798" s="29"/>
      <c r="D1798" s="29"/>
      <c r="E1798" s="30"/>
      <c r="F1798" s="30"/>
      <c r="X1798" s="29"/>
      <c r="Y1798" s="29"/>
      <c r="AA1798" s="18"/>
      <c r="AC1798" s="31"/>
      <c r="AE1798" s="18"/>
      <c r="AG1798" s="29"/>
    </row>
    <row r="1799" spans="1:33">
      <c r="A1799" s="29"/>
      <c r="B1799" s="29"/>
      <c r="C1799" s="29"/>
      <c r="D1799" s="29"/>
      <c r="E1799" s="30"/>
      <c r="F1799" s="30"/>
      <c r="X1799" s="29"/>
      <c r="Y1799" s="29"/>
      <c r="AA1799" s="18"/>
      <c r="AC1799" s="31"/>
      <c r="AE1799" s="18"/>
      <c r="AG1799" s="29"/>
    </row>
    <row r="1800" spans="1:33">
      <c r="A1800" s="29"/>
      <c r="B1800" s="29"/>
      <c r="C1800" s="29"/>
      <c r="D1800" s="29"/>
      <c r="E1800" s="30"/>
      <c r="F1800" s="30"/>
      <c r="X1800" s="29"/>
      <c r="Y1800" s="29"/>
      <c r="AA1800" s="18"/>
      <c r="AC1800" s="31"/>
      <c r="AE1800" s="18"/>
      <c r="AG1800" s="29"/>
    </row>
    <row r="1801" spans="1:33">
      <c r="A1801" s="29"/>
      <c r="B1801" s="29"/>
      <c r="C1801" s="29"/>
      <c r="D1801" s="29"/>
      <c r="E1801" s="30"/>
      <c r="F1801" s="30"/>
      <c r="X1801" s="29"/>
      <c r="Y1801" s="29"/>
      <c r="AA1801" s="18"/>
      <c r="AC1801" s="31"/>
      <c r="AE1801" s="18"/>
      <c r="AG1801" s="29"/>
    </row>
    <row r="1802" spans="1:33">
      <c r="A1802" s="29"/>
      <c r="B1802" s="29"/>
      <c r="C1802" s="29"/>
      <c r="D1802" s="29"/>
      <c r="E1802" s="30"/>
      <c r="F1802" s="30"/>
      <c r="X1802" s="29"/>
      <c r="Y1802" s="29"/>
      <c r="AA1802" s="18"/>
      <c r="AC1802" s="31"/>
      <c r="AE1802" s="18"/>
      <c r="AG1802" s="29"/>
    </row>
    <row r="1803" spans="1:33">
      <c r="A1803" s="29"/>
      <c r="B1803" s="29"/>
      <c r="C1803" s="29"/>
      <c r="D1803" s="29"/>
      <c r="E1803" s="30"/>
      <c r="F1803" s="30"/>
      <c r="X1803" s="29"/>
      <c r="Y1803" s="29"/>
      <c r="AA1803" s="18"/>
      <c r="AC1803" s="30"/>
      <c r="AE1803" s="18"/>
      <c r="AG1803" s="29"/>
    </row>
    <row r="1804" spans="1:33">
      <c r="A1804" s="29"/>
      <c r="B1804" s="29"/>
      <c r="C1804" s="29"/>
      <c r="D1804" s="29"/>
      <c r="E1804" s="30"/>
      <c r="F1804" s="30"/>
      <c r="X1804" s="29"/>
      <c r="Y1804" s="29"/>
      <c r="AA1804" s="18"/>
      <c r="AC1804" s="31"/>
      <c r="AE1804" s="18"/>
      <c r="AG1804" s="29"/>
    </row>
    <row r="1805" spans="1:33">
      <c r="A1805" s="29"/>
      <c r="B1805" s="29"/>
      <c r="C1805" s="29"/>
      <c r="D1805" s="29"/>
      <c r="E1805" s="30"/>
      <c r="F1805" s="30"/>
      <c r="X1805" s="29"/>
      <c r="Y1805" s="29"/>
      <c r="AA1805" s="18"/>
      <c r="AC1805" s="31"/>
      <c r="AE1805" s="18"/>
      <c r="AG1805" s="29"/>
    </row>
    <row r="1806" spans="1:33">
      <c r="A1806" s="29"/>
      <c r="B1806" s="29"/>
      <c r="C1806" s="29"/>
      <c r="D1806" s="29"/>
      <c r="E1806" s="30"/>
      <c r="F1806" s="30"/>
      <c r="X1806" s="29"/>
      <c r="Y1806" s="29"/>
      <c r="AA1806" s="18"/>
      <c r="AC1806" s="31"/>
      <c r="AE1806" s="18"/>
      <c r="AG1806" s="29"/>
    </row>
    <row r="1807" spans="1:33">
      <c r="A1807" s="29"/>
      <c r="B1807" s="29"/>
      <c r="C1807" s="29"/>
      <c r="D1807" s="29"/>
      <c r="E1807" s="30"/>
      <c r="F1807" s="30"/>
      <c r="X1807" s="29"/>
      <c r="Y1807" s="29"/>
      <c r="AA1807" s="18"/>
      <c r="AC1807" s="31"/>
      <c r="AE1807" s="18"/>
      <c r="AG1807" s="29"/>
    </row>
    <row r="1808" spans="1:33">
      <c r="A1808" s="29"/>
      <c r="B1808" s="29"/>
      <c r="C1808" s="29"/>
      <c r="D1808" s="29"/>
      <c r="E1808" s="30"/>
      <c r="F1808" s="30"/>
      <c r="X1808" s="29"/>
      <c r="Y1808" s="29"/>
      <c r="AA1808" s="18"/>
      <c r="AC1808" s="31"/>
      <c r="AE1808" s="18"/>
      <c r="AG1808" s="29"/>
    </row>
    <row r="1809" spans="1:33">
      <c r="A1809" s="29"/>
      <c r="B1809" s="29"/>
      <c r="C1809" s="29"/>
      <c r="D1809" s="29"/>
      <c r="E1809" s="30"/>
      <c r="F1809" s="30"/>
      <c r="X1809" s="29"/>
      <c r="Y1809" s="29"/>
      <c r="AA1809" s="18"/>
      <c r="AC1809" s="31"/>
      <c r="AE1809" s="18"/>
      <c r="AG1809" s="29"/>
    </row>
    <row r="1810" spans="1:33">
      <c r="A1810" s="29"/>
      <c r="B1810" s="29"/>
      <c r="C1810" s="29"/>
      <c r="D1810" s="29"/>
      <c r="E1810" s="30"/>
      <c r="F1810" s="30"/>
      <c r="X1810" s="29"/>
      <c r="Y1810" s="29"/>
      <c r="AA1810" s="18"/>
      <c r="AC1810" s="31"/>
      <c r="AE1810" s="18"/>
      <c r="AG1810" s="29"/>
    </row>
    <row r="1811" spans="1:33">
      <c r="A1811" s="29"/>
      <c r="B1811" s="29"/>
      <c r="C1811" s="29"/>
      <c r="D1811" s="29"/>
      <c r="E1811" s="30"/>
      <c r="F1811" s="30"/>
      <c r="X1811" s="29"/>
      <c r="Y1811" s="29"/>
      <c r="AA1811" s="18"/>
      <c r="AC1811" s="31"/>
      <c r="AE1811" s="18"/>
      <c r="AG1811" s="29"/>
    </row>
    <row r="1812" spans="1:33">
      <c r="A1812" s="29"/>
      <c r="B1812" s="29"/>
      <c r="C1812" s="29"/>
      <c r="D1812" s="29"/>
      <c r="E1812" s="30"/>
      <c r="F1812" s="30"/>
      <c r="X1812" s="29"/>
      <c r="Y1812" s="29"/>
      <c r="AA1812" s="18"/>
      <c r="AC1812" s="31"/>
      <c r="AE1812" s="18"/>
      <c r="AG1812" s="29"/>
    </row>
    <row r="1813" spans="1:33">
      <c r="A1813" s="29"/>
      <c r="B1813" s="29"/>
      <c r="C1813" s="29"/>
      <c r="D1813" s="29"/>
      <c r="E1813" s="30"/>
      <c r="F1813" s="30"/>
      <c r="X1813" s="29"/>
      <c r="Y1813" s="29"/>
      <c r="AA1813" s="18"/>
      <c r="AC1813" s="30"/>
      <c r="AE1813" s="18"/>
      <c r="AG1813" s="29"/>
    </row>
    <row r="1814" spans="1:33">
      <c r="A1814" s="29"/>
      <c r="B1814" s="29"/>
      <c r="C1814" s="29"/>
      <c r="D1814" s="29"/>
      <c r="E1814" s="30"/>
      <c r="F1814" s="30"/>
      <c r="X1814" s="29"/>
      <c r="Y1814" s="29"/>
      <c r="AA1814" s="18"/>
      <c r="AC1814" s="31"/>
      <c r="AE1814" s="18"/>
      <c r="AG1814" s="29"/>
    </row>
    <row r="1815" spans="1:33">
      <c r="A1815" s="29"/>
      <c r="B1815" s="29"/>
      <c r="C1815" s="29"/>
      <c r="D1815" s="29"/>
      <c r="E1815" s="30"/>
      <c r="F1815" s="30"/>
      <c r="X1815" s="29"/>
      <c r="Y1815" s="29"/>
      <c r="AA1815" s="18"/>
      <c r="AC1815" s="31"/>
      <c r="AE1815" s="18"/>
      <c r="AG1815" s="29"/>
    </row>
    <row r="1816" spans="1:33">
      <c r="A1816" s="29"/>
      <c r="B1816" s="29"/>
      <c r="C1816" s="29"/>
      <c r="D1816" s="29"/>
      <c r="E1816" s="30"/>
      <c r="F1816" s="30"/>
      <c r="X1816" s="29"/>
      <c r="Y1816" s="29"/>
      <c r="AA1816" s="18"/>
      <c r="AC1816" s="31"/>
      <c r="AE1816" s="18"/>
      <c r="AG1816" s="29"/>
    </row>
    <row r="1817" spans="1:33">
      <c r="A1817" s="29"/>
      <c r="B1817" s="29"/>
      <c r="C1817" s="29"/>
      <c r="D1817" s="29"/>
      <c r="E1817" s="30"/>
      <c r="F1817" s="30"/>
      <c r="X1817" s="29"/>
      <c r="Y1817" s="29"/>
      <c r="AA1817" s="18"/>
      <c r="AC1817" s="31"/>
      <c r="AE1817" s="18"/>
      <c r="AG1817" s="29"/>
    </row>
    <row r="1818" spans="1:33">
      <c r="A1818" s="29"/>
      <c r="B1818" s="29"/>
      <c r="C1818" s="29"/>
      <c r="D1818" s="29"/>
      <c r="E1818" s="30"/>
      <c r="F1818" s="30"/>
      <c r="X1818" s="29"/>
      <c r="Y1818" s="29"/>
      <c r="AA1818" s="18"/>
      <c r="AC1818" s="31"/>
      <c r="AE1818" s="18"/>
      <c r="AG1818" s="29"/>
    </row>
    <row r="1819" spans="1:33">
      <c r="A1819" s="29"/>
      <c r="B1819" s="29"/>
      <c r="C1819" s="29"/>
      <c r="D1819" s="29"/>
      <c r="E1819" s="30"/>
      <c r="F1819" s="30"/>
      <c r="X1819" s="29"/>
      <c r="Y1819" s="29"/>
      <c r="AA1819" s="18"/>
      <c r="AC1819" s="31"/>
      <c r="AE1819" s="18"/>
      <c r="AG1819" s="29"/>
    </row>
    <row r="1820" spans="1:33">
      <c r="A1820" s="29"/>
      <c r="B1820" s="29"/>
      <c r="C1820" s="29"/>
      <c r="D1820" s="29"/>
      <c r="E1820" s="30"/>
      <c r="F1820" s="30"/>
      <c r="X1820" s="29"/>
      <c r="Y1820" s="29"/>
      <c r="AA1820" s="18"/>
      <c r="AC1820" s="31"/>
      <c r="AE1820" s="18"/>
      <c r="AG1820" s="29"/>
    </row>
    <row r="1821" spans="1:33">
      <c r="A1821" s="29"/>
      <c r="B1821" s="29"/>
      <c r="C1821" s="29"/>
      <c r="D1821" s="29"/>
      <c r="E1821" s="30"/>
      <c r="F1821" s="30"/>
      <c r="X1821" s="29"/>
      <c r="Y1821" s="29"/>
      <c r="AA1821" s="18"/>
      <c r="AC1821" s="31"/>
      <c r="AE1821" s="18"/>
      <c r="AG1821" s="29"/>
    </row>
    <row r="1822" spans="1:33">
      <c r="A1822" s="29"/>
      <c r="B1822" s="29"/>
      <c r="C1822" s="29"/>
      <c r="D1822" s="29"/>
      <c r="E1822" s="30"/>
      <c r="F1822" s="30"/>
      <c r="X1822" s="29"/>
      <c r="Y1822" s="29"/>
      <c r="AA1822" s="18"/>
      <c r="AC1822" s="31"/>
      <c r="AE1822" s="18"/>
      <c r="AG1822" s="29"/>
    </row>
    <row r="1823" spans="1:33">
      <c r="A1823" s="29"/>
      <c r="B1823" s="29"/>
      <c r="C1823" s="29"/>
      <c r="D1823" s="29"/>
      <c r="E1823" s="30"/>
      <c r="F1823" s="30"/>
      <c r="X1823" s="29"/>
      <c r="Y1823" s="29"/>
      <c r="AA1823" s="18"/>
      <c r="AC1823" s="31"/>
      <c r="AE1823" s="18"/>
      <c r="AG1823" s="29"/>
    </row>
    <row r="1824" spans="1:33">
      <c r="A1824" s="29"/>
      <c r="B1824" s="29"/>
      <c r="C1824" s="29"/>
      <c r="D1824" s="29"/>
      <c r="E1824" s="30"/>
      <c r="F1824" s="30"/>
      <c r="X1824" s="29"/>
      <c r="Y1824" s="29"/>
      <c r="AA1824" s="18"/>
      <c r="AC1824" s="30"/>
      <c r="AE1824" s="18"/>
      <c r="AG1824" s="29"/>
    </row>
    <row r="1825" spans="1:33">
      <c r="A1825" s="29"/>
      <c r="B1825" s="29"/>
      <c r="C1825" s="29"/>
      <c r="D1825" s="29"/>
      <c r="E1825" s="30"/>
      <c r="F1825" s="30"/>
      <c r="X1825" s="29"/>
      <c r="Y1825" s="29"/>
      <c r="AA1825" s="18"/>
      <c r="AC1825" s="31"/>
      <c r="AE1825" s="18"/>
      <c r="AG1825" s="29"/>
    </row>
    <row r="1826" spans="1:33">
      <c r="A1826" s="29"/>
      <c r="B1826" s="29"/>
      <c r="C1826" s="29"/>
      <c r="D1826" s="29"/>
      <c r="E1826" s="30"/>
      <c r="F1826" s="30"/>
      <c r="X1826" s="29"/>
      <c r="Y1826" s="29"/>
      <c r="AA1826" s="18"/>
      <c r="AC1826" s="31"/>
      <c r="AE1826" s="18"/>
      <c r="AG1826" s="29"/>
    </row>
    <row r="1827" spans="1:33">
      <c r="A1827" s="29"/>
      <c r="B1827" s="29"/>
      <c r="C1827" s="29"/>
      <c r="D1827" s="29"/>
      <c r="E1827" s="30"/>
      <c r="F1827" s="30"/>
      <c r="X1827" s="29"/>
      <c r="Y1827" s="29"/>
      <c r="AA1827" s="18"/>
      <c r="AC1827" s="31"/>
      <c r="AE1827" s="18"/>
      <c r="AG1827" s="29"/>
    </row>
    <row r="1828" spans="1:33">
      <c r="A1828" s="29"/>
      <c r="B1828" s="29"/>
      <c r="C1828" s="29"/>
      <c r="D1828" s="29"/>
      <c r="E1828" s="30"/>
      <c r="F1828" s="30"/>
      <c r="X1828" s="29"/>
      <c r="Y1828" s="29"/>
      <c r="AA1828" s="18"/>
      <c r="AC1828" s="31"/>
      <c r="AE1828" s="18"/>
      <c r="AG1828" s="29"/>
    </row>
    <row r="1829" spans="1:33">
      <c r="A1829" s="29"/>
      <c r="B1829" s="29"/>
      <c r="C1829" s="29"/>
      <c r="D1829" s="29"/>
      <c r="E1829" s="30"/>
      <c r="F1829" s="30"/>
      <c r="X1829" s="29"/>
      <c r="Y1829" s="29"/>
      <c r="AA1829" s="18"/>
      <c r="AC1829" s="31"/>
      <c r="AE1829" s="18"/>
      <c r="AG1829" s="29"/>
    </row>
    <row r="1830" spans="1:33">
      <c r="A1830" s="29"/>
      <c r="B1830" s="29"/>
      <c r="C1830" s="29"/>
      <c r="D1830" s="29"/>
      <c r="E1830" s="30"/>
      <c r="F1830" s="30"/>
      <c r="X1830" s="29"/>
      <c r="Y1830" s="29"/>
      <c r="AA1830" s="18"/>
      <c r="AC1830" s="31"/>
      <c r="AE1830" s="18"/>
      <c r="AG1830" s="29"/>
    </row>
    <row r="1831" spans="1:33">
      <c r="A1831" s="29"/>
      <c r="B1831" s="29"/>
      <c r="C1831" s="29"/>
      <c r="D1831" s="29"/>
      <c r="E1831" s="30"/>
      <c r="F1831" s="30"/>
      <c r="X1831" s="29"/>
      <c r="Y1831" s="29"/>
      <c r="AA1831" s="18"/>
      <c r="AC1831" s="31"/>
      <c r="AE1831" s="18"/>
      <c r="AG1831" s="29"/>
    </row>
    <row r="1832" spans="1:33">
      <c r="A1832" s="29"/>
      <c r="B1832" s="29"/>
      <c r="C1832" s="29"/>
      <c r="D1832" s="29"/>
      <c r="E1832" s="30"/>
      <c r="F1832" s="30"/>
      <c r="X1832" s="29"/>
      <c r="Y1832" s="29"/>
      <c r="AA1832" s="18"/>
      <c r="AC1832" s="31"/>
      <c r="AE1832" s="18"/>
      <c r="AG1832" s="29"/>
    </row>
    <row r="1833" spans="1:33">
      <c r="A1833" s="29"/>
      <c r="B1833" s="29"/>
      <c r="C1833" s="29"/>
      <c r="D1833" s="29"/>
      <c r="E1833" s="30"/>
      <c r="F1833" s="30"/>
      <c r="X1833" s="29"/>
      <c r="Y1833" s="29"/>
      <c r="AA1833" s="18"/>
      <c r="AC1833" s="31"/>
      <c r="AE1833" s="18"/>
      <c r="AG1833" s="29"/>
    </row>
    <row r="1834" spans="1:33">
      <c r="A1834" s="29"/>
      <c r="B1834" s="29"/>
      <c r="C1834" s="29"/>
      <c r="D1834" s="29"/>
      <c r="E1834" s="30"/>
      <c r="F1834" s="30"/>
      <c r="X1834" s="29"/>
      <c r="Y1834" s="29"/>
      <c r="AA1834" s="18"/>
      <c r="AC1834" s="31"/>
      <c r="AE1834" s="18"/>
      <c r="AG1834" s="29"/>
    </row>
    <row r="1835" spans="1:33">
      <c r="A1835" s="29"/>
      <c r="B1835" s="29"/>
      <c r="C1835" s="29"/>
      <c r="D1835" s="29"/>
      <c r="E1835" s="30"/>
      <c r="F1835" s="30"/>
      <c r="X1835" s="29"/>
      <c r="Y1835" s="29"/>
      <c r="AA1835" s="18"/>
      <c r="AC1835" s="31"/>
      <c r="AE1835" s="18"/>
      <c r="AG1835" s="29"/>
    </row>
    <row r="1836" spans="1:33">
      <c r="A1836" s="29"/>
      <c r="B1836" s="29"/>
      <c r="C1836" s="29"/>
      <c r="D1836" s="29"/>
      <c r="E1836" s="30"/>
      <c r="F1836" s="30"/>
      <c r="X1836" s="29"/>
      <c r="Y1836" s="29"/>
      <c r="AA1836" s="18"/>
      <c r="AC1836" s="30"/>
      <c r="AE1836" s="18"/>
      <c r="AG1836" s="29"/>
    </row>
    <row r="1837" spans="1:33">
      <c r="A1837" s="29"/>
      <c r="B1837" s="29"/>
      <c r="C1837" s="29"/>
      <c r="D1837" s="29"/>
      <c r="E1837" s="30"/>
      <c r="F1837" s="30"/>
      <c r="X1837" s="29"/>
      <c r="Y1837" s="29"/>
      <c r="AA1837" s="18"/>
      <c r="AC1837" s="31"/>
      <c r="AE1837" s="18"/>
      <c r="AG1837" s="29"/>
    </row>
    <row r="1838" spans="1:33">
      <c r="A1838" s="29"/>
      <c r="B1838" s="29"/>
      <c r="C1838" s="29"/>
      <c r="D1838" s="29"/>
      <c r="E1838" s="30"/>
      <c r="F1838" s="30"/>
      <c r="X1838" s="29"/>
      <c r="Y1838" s="29"/>
      <c r="AA1838" s="18"/>
      <c r="AC1838" s="31"/>
      <c r="AE1838" s="18"/>
      <c r="AG1838" s="29"/>
    </row>
    <row r="1839" spans="1:33">
      <c r="A1839" s="29"/>
      <c r="B1839" s="29"/>
      <c r="C1839" s="29"/>
      <c r="D1839" s="29"/>
      <c r="E1839" s="30"/>
      <c r="F1839" s="30"/>
      <c r="X1839" s="29"/>
      <c r="Y1839" s="29"/>
      <c r="AA1839" s="18"/>
      <c r="AC1839" s="31"/>
      <c r="AE1839" s="18"/>
      <c r="AG1839" s="29"/>
    </row>
    <row r="1840" spans="1:33">
      <c r="A1840" s="29"/>
      <c r="B1840" s="29"/>
      <c r="C1840" s="29"/>
      <c r="D1840" s="29"/>
      <c r="E1840" s="30"/>
      <c r="F1840" s="30"/>
      <c r="X1840" s="29"/>
      <c r="Y1840" s="29"/>
      <c r="AA1840" s="18"/>
      <c r="AC1840" s="31"/>
      <c r="AE1840" s="18"/>
      <c r="AG1840" s="29"/>
    </row>
    <row r="1841" spans="1:33">
      <c r="A1841" s="29"/>
      <c r="B1841" s="29"/>
      <c r="C1841" s="29"/>
      <c r="D1841" s="29"/>
      <c r="E1841" s="30"/>
      <c r="F1841" s="30"/>
      <c r="X1841" s="29"/>
      <c r="Y1841" s="29"/>
      <c r="AA1841" s="18"/>
      <c r="AC1841" s="31"/>
      <c r="AE1841" s="18"/>
      <c r="AG1841" s="29"/>
    </row>
    <row r="1842" spans="1:33">
      <c r="A1842" s="29"/>
      <c r="B1842" s="29"/>
      <c r="C1842" s="29"/>
      <c r="D1842" s="29"/>
      <c r="E1842" s="30"/>
      <c r="F1842" s="30"/>
      <c r="X1842" s="29"/>
      <c r="Y1842" s="29"/>
      <c r="AA1842" s="18"/>
      <c r="AC1842" s="31"/>
      <c r="AE1842" s="18"/>
      <c r="AG1842" s="29"/>
    </row>
    <row r="1843" spans="1:33">
      <c r="A1843" s="29"/>
      <c r="B1843" s="29"/>
      <c r="C1843" s="29"/>
      <c r="D1843" s="29"/>
      <c r="E1843" s="30"/>
      <c r="F1843" s="30"/>
      <c r="X1843" s="29"/>
      <c r="Y1843" s="29"/>
      <c r="AA1843" s="18"/>
      <c r="AC1843" s="31"/>
      <c r="AE1843" s="18"/>
      <c r="AG1843" s="29"/>
    </row>
    <row r="1844" spans="1:33">
      <c r="A1844" s="29"/>
      <c r="B1844" s="29"/>
      <c r="C1844" s="29"/>
      <c r="D1844" s="29"/>
      <c r="E1844" s="30"/>
      <c r="F1844" s="30"/>
      <c r="X1844" s="29"/>
      <c r="Y1844" s="29"/>
      <c r="AA1844" s="18"/>
      <c r="AC1844" s="31"/>
      <c r="AE1844" s="18"/>
      <c r="AG1844" s="29"/>
    </row>
    <row r="1845" spans="1:33">
      <c r="A1845" s="29"/>
      <c r="B1845" s="29"/>
      <c r="C1845" s="29"/>
      <c r="D1845" s="29"/>
      <c r="E1845" s="30"/>
      <c r="F1845" s="30"/>
      <c r="X1845" s="29"/>
      <c r="Y1845" s="29"/>
      <c r="AA1845" s="18"/>
      <c r="AC1845" s="31"/>
      <c r="AE1845" s="18"/>
      <c r="AG1845" s="29"/>
    </row>
    <row r="1846" spans="1:33">
      <c r="A1846" s="29"/>
      <c r="B1846" s="29"/>
      <c r="C1846" s="29"/>
      <c r="D1846" s="29"/>
      <c r="E1846" s="30"/>
      <c r="F1846" s="30"/>
      <c r="X1846" s="29"/>
      <c r="Y1846" s="29"/>
      <c r="AA1846" s="18"/>
      <c r="AC1846" s="31"/>
      <c r="AE1846" s="18"/>
      <c r="AG1846" s="29"/>
    </row>
    <row r="1847" spans="1:33">
      <c r="A1847" s="29"/>
      <c r="B1847" s="29"/>
      <c r="C1847" s="29"/>
      <c r="D1847" s="29"/>
      <c r="E1847" s="30"/>
      <c r="F1847" s="30"/>
      <c r="X1847" s="29"/>
      <c r="Y1847" s="29"/>
      <c r="AA1847" s="18"/>
      <c r="AC1847" s="31"/>
      <c r="AE1847" s="18"/>
      <c r="AG1847" s="29"/>
    </row>
    <row r="1848" spans="1:33">
      <c r="A1848" s="29"/>
      <c r="B1848" s="29"/>
      <c r="C1848" s="29"/>
      <c r="D1848" s="29"/>
      <c r="E1848" s="30"/>
      <c r="F1848" s="30"/>
      <c r="X1848" s="29"/>
      <c r="Y1848" s="29"/>
      <c r="AA1848" s="18"/>
      <c r="AC1848" s="31"/>
      <c r="AE1848" s="18"/>
      <c r="AG1848" s="29"/>
    </row>
    <row r="1849" spans="1:33">
      <c r="A1849" s="29"/>
      <c r="B1849" s="29"/>
      <c r="C1849" s="29"/>
      <c r="D1849" s="29"/>
      <c r="E1849" s="30"/>
      <c r="F1849" s="30"/>
      <c r="X1849" s="29"/>
      <c r="Y1849" s="29"/>
      <c r="AA1849" s="18"/>
      <c r="AC1849" s="31"/>
      <c r="AE1849" s="18"/>
      <c r="AG1849" s="29"/>
    </row>
    <row r="1850" spans="1:33">
      <c r="A1850" s="29"/>
      <c r="B1850" s="29"/>
      <c r="C1850" s="29"/>
      <c r="D1850" s="29"/>
      <c r="E1850" s="30"/>
      <c r="F1850" s="30"/>
      <c r="X1850" s="29"/>
      <c r="Y1850" s="29"/>
      <c r="AA1850" s="18"/>
      <c r="AC1850" s="31"/>
      <c r="AE1850" s="18"/>
      <c r="AG1850" s="29"/>
    </row>
    <row r="1851" spans="1:33">
      <c r="A1851" s="29"/>
      <c r="B1851" s="29"/>
      <c r="C1851" s="29"/>
      <c r="D1851" s="29"/>
      <c r="E1851" s="30"/>
      <c r="F1851" s="30"/>
      <c r="X1851" s="29"/>
      <c r="Y1851" s="29"/>
      <c r="AA1851" s="18"/>
      <c r="AC1851" s="31"/>
      <c r="AE1851" s="18"/>
      <c r="AG1851" s="29"/>
    </row>
    <row r="1852" spans="1:33">
      <c r="A1852" s="29"/>
      <c r="B1852" s="29"/>
      <c r="C1852" s="29"/>
      <c r="D1852" s="29"/>
      <c r="E1852" s="30"/>
      <c r="F1852" s="30"/>
      <c r="X1852" s="29"/>
      <c r="Y1852" s="29"/>
      <c r="AA1852" s="18"/>
      <c r="AC1852" s="31"/>
      <c r="AE1852" s="18"/>
      <c r="AG1852" s="29"/>
    </row>
    <row r="1853" spans="1:33">
      <c r="A1853" s="29"/>
      <c r="B1853" s="29"/>
      <c r="C1853" s="29"/>
      <c r="D1853" s="29"/>
      <c r="E1853" s="30"/>
      <c r="F1853" s="30"/>
      <c r="X1853" s="29"/>
      <c r="Y1853" s="29"/>
      <c r="AA1853" s="18"/>
      <c r="AC1853" s="31"/>
      <c r="AE1853" s="18"/>
      <c r="AG1853" s="29"/>
    </row>
    <row r="1854" spans="1:33">
      <c r="A1854" s="29"/>
      <c r="B1854" s="29"/>
      <c r="C1854" s="29"/>
      <c r="D1854" s="29"/>
      <c r="E1854" s="30"/>
      <c r="F1854" s="30"/>
      <c r="X1854" s="29"/>
      <c r="Y1854" s="29"/>
      <c r="AA1854" s="18"/>
      <c r="AC1854" s="31"/>
      <c r="AE1854" s="18"/>
      <c r="AG1854" s="29"/>
    </row>
    <row r="1855" spans="1:33">
      <c r="A1855" s="29"/>
      <c r="B1855" s="29"/>
      <c r="C1855" s="29"/>
      <c r="D1855" s="29"/>
      <c r="E1855" s="30"/>
      <c r="F1855" s="30"/>
      <c r="X1855" s="29"/>
      <c r="Y1855" s="29"/>
      <c r="AA1855" s="18"/>
      <c r="AC1855" s="31"/>
      <c r="AE1855" s="18"/>
      <c r="AG1855" s="29"/>
    </row>
    <row r="1856" spans="1:33">
      <c r="A1856" s="29"/>
      <c r="B1856" s="29"/>
      <c r="C1856" s="29"/>
      <c r="D1856" s="29"/>
      <c r="E1856" s="30"/>
      <c r="F1856" s="30"/>
      <c r="X1856" s="29"/>
      <c r="Y1856" s="29"/>
      <c r="AA1856" s="18"/>
      <c r="AC1856" s="31"/>
      <c r="AE1856" s="18"/>
      <c r="AG1856" s="29"/>
    </row>
    <row r="1857" spans="1:33">
      <c r="A1857" s="29"/>
      <c r="B1857" s="29"/>
      <c r="C1857" s="29"/>
      <c r="D1857" s="29"/>
      <c r="E1857" s="30"/>
      <c r="F1857" s="30"/>
      <c r="X1857" s="29"/>
      <c r="Y1857" s="29"/>
      <c r="AA1857" s="18"/>
      <c r="AC1857" s="31"/>
      <c r="AE1857" s="18"/>
      <c r="AG1857" s="29"/>
    </row>
    <row r="1858" spans="1:33">
      <c r="A1858" s="29"/>
      <c r="B1858" s="29"/>
      <c r="C1858" s="29"/>
      <c r="D1858" s="29"/>
      <c r="E1858" s="30"/>
      <c r="F1858" s="30"/>
      <c r="X1858" s="29"/>
      <c r="Y1858" s="29"/>
      <c r="AA1858" s="18"/>
      <c r="AC1858" s="31"/>
      <c r="AE1858" s="18"/>
      <c r="AG1858" s="29"/>
    </row>
    <row r="1859" spans="1:33">
      <c r="A1859" s="29"/>
      <c r="B1859" s="29"/>
      <c r="C1859" s="29"/>
      <c r="D1859" s="29"/>
      <c r="E1859" s="30"/>
      <c r="F1859" s="30"/>
      <c r="X1859" s="29"/>
      <c r="Y1859" s="29"/>
      <c r="AA1859" s="18"/>
      <c r="AC1859" s="31"/>
      <c r="AE1859" s="18"/>
      <c r="AG1859" s="29"/>
    </row>
    <row r="1860" spans="1:33">
      <c r="A1860" s="29"/>
      <c r="B1860" s="29"/>
      <c r="C1860" s="29"/>
      <c r="D1860" s="29"/>
      <c r="E1860" s="30"/>
      <c r="F1860" s="30"/>
      <c r="X1860" s="29"/>
      <c r="Y1860" s="29"/>
      <c r="AA1860" s="18"/>
      <c r="AC1860" s="31"/>
      <c r="AE1860" s="18"/>
      <c r="AG1860" s="29"/>
    </row>
    <row r="1861" spans="1:33">
      <c r="A1861" s="29"/>
      <c r="B1861" s="29"/>
      <c r="C1861" s="29"/>
      <c r="D1861" s="29"/>
      <c r="E1861" s="30"/>
      <c r="F1861" s="30"/>
      <c r="X1861" s="29"/>
      <c r="Y1861" s="29"/>
      <c r="AA1861" s="18"/>
      <c r="AC1861" s="31"/>
      <c r="AE1861" s="18"/>
      <c r="AG1861" s="29"/>
    </row>
    <row r="1862" spans="1:33">
      <c r="A1862" s="29"/>
      <c r="B1862" s="29"/>
      <c r="C1862" s="29"/>
      <c r="D1862" s="29"/>
      <c r="E1862" s="30"/>
      <c r="F1862" s="30"/>
      <c r="X1862" s="29"/>
      <c r="Y1862" s="29"/>
      <c r="AA1862" s="18"/>
      <c r="AC1862" s="31"/>
      <c r="AE1862" s="18"/>
      <c r="AG1862" s="29"/>
    </row>
    <row r="1863" spans="1:33">
      <c r="A1863" s="29"/>
      <c r="B1863" s="29"/>
      <c r="C1863" s="29"/>
      <c r="D1863" s="29"/>
      <c r="E1863" s="30"/>
      <c r="F1863" s="30"/>
      <c r="X1863" s="29"/>
      <c r="Y1863" s="29"/>
      <c r="AA1863" s="18"/>
      <c r="AC1863" s="31"/>
      <c r="AE1863" s="18"/>
      <c r="AG1863" s="29"/>
    </row>
    <row r="1864" spans="1:33">
      <c r="A1864" s="29"/>
      <c r="B1864" s="29"/>
      <c r="C1864" s="29"/>
      <c r="D1864" s="29"/>
      <c r="E1864" s="30"/>
      <c r="F1864" s="30"/>
      <c r="X1864" s="29"/>
      <c r="Y1864" s="29"/>
      <c r="AA1864" s="18"/>
      <c r="AC1864" s="31"/>
      <c r="AE1864" s="18"/>
      <c r="AG1864" s="29"/>
    </row>
    <row r="1865" spans="1:33">
      <c r="A1865" s="29"/>
      <c r="B1865" s="29"/>
      <c r="C1865" s="29"/>
      <c r="D1865" s="29"/>
      <c r="E1865" s="30"/>
      <c r="F1865" s="30"/>
      <c r="X1865" s="29"/>
      <c r="Y1865" s="29"/>
      <c r="AA1865" s="18"/>
      <c r="AC1865" s="31"/>
      <c r="AE1865" s="18"/>
      <c r="AG1865" s="29"/>
    </row>
    <row r="1866" spans="1:33">
      <c r="A1866" s="29"/>
      <c r="B1866" s="29"/>
      <c r="C1866" s="29"/>
      <c r="D1866" s="29"/>
      <c r="E1866" s="30"/>
      <c r="F1866" s="30"/>
      <c r="X1866" s="29"/>
      <c r="Y1866" s="29"/>
      <c r="AA1866" s="18"/>
      <c r="AC1866" s="31"/>
      <c r="AE1866" s="18"/>
      <c r="AG1866" s="29"/>
    </row>
    <row r="1867" spans="1:33">
      <c r="A1867" s="29"/>
      <c r="B1867" s="29"/>
      <c r="C1867" s="29"/>
      <c r="D1867" s="29"/>
      <c r="E1867" s="30"/>
      <c r="F1867" s="30"/>
      <c r="X1867" s="29"/>
      <c r="Y1867" s="29"/>
      <c r="AA1867" s="18"/>
      <c r="AC1867" s="31"/>
      <c r="AE1867" s="18"/>
      <c r="AG1867" s="29"/>
    </row>
    <row r="1868" spans="1:33">
      <c r="A1868" s="29"/>
      <c r="B1868" s="29"/>
      <c r="C1868" s="29"/>
      <c r="D1868" s="29"/>
      <c r="E1868" s="30"/>
      <c r="F1868" s="30"/>
      <c r="X1868" s="29"/>
      <c r="Y1868" s="29"/>
      <c r="AA1868" s="18"/>
      <c r="AC1868" s="31"/>
      <c r="AE1868" s="18"/>
      <c r="AG1868" s="29"/>
    </row>
    <row r="1869" spans="1:33">
      <c r="A1869" s="29"/>
      <c r="B1869" s="29"/>
      <c r="C1869" s="29"/>
      <c r="D1869" s="29"/>
      <c r="E1869" s="30"/>
      <c r="F1869" s="30"/>
      <c r="X1869" s="29"/>
      <c r="Y1869" s="29"/>
      <c r="AA1869" s="18"/>
      <c r="AC1869" s="31"/>
      <c r="AE1869" s="18"/>
      <c r="AG1869" s="29"/>
    </row>
    <row r="1870" spans="1:33">
      <c r="A1870" s="29"/>
      <c r="B1870" s="29"/>
      <c r="C1870" s="29"/>
      <c r="D1870" s="29"/>
      <c r="E1870" s="30"/>
      <c r="F1870" s="30"/>
      <c r="X1870" s="29"/>
      <c r="Y1870" s="29"/>
      <c r="AA1870" s="18"/>
      <c r="AC1870" s="31"/>
      <c r="AE1870" s="18"/>
      <c r="AG1870" s="29"/>
    </row>
    <row r="1871" spans="1:33">
      <c r="A1871" s="29"/>
      <c r="B1871" s="29"/>
      <c r="C1871" s="29"/>
      <c r="D1871" s="29"/>
      <c r="E1871" s="30"/>
      <c r="F1871" s="30"/>
      <c r="X1871" s="29"/>
      <c r="Y1871" s="29"/>
      <c r="AA1871" s="18"/>
      <c r="AC1871" s="31"/>
      <c r="AE1871" s="18"/>
      <c r="AG1871" s="29"/>
    </row>
    <row r="1872" spans="1:33">
      <c r="A1872" s="29"/>
      <c r="B1872" s="29"/>
      <c r="C1872" s="29"/>
      <c r="D1872" s="29"/>
      <c r="E1872" s="30"/>
      <c r="F1872" s="30"/>
      <c r="X1872" s="29"/>
      <c r="Y1872" s="29"/>
      <c r="AA1872" s="18"/>
      <c r="AC1872" s="31"/>
      <c r="AE1872" s="18"/>
      <c r="AG1872" s="29"/>
    </row>
    <row r="1873" spans="1:33">
      <c r="A1873" s="29"/>
      <c r="B1873" s="29"/>
      <c r="C1873" s="29"/>
      <c r="D1873" s="29"/>
      <c r="E1873" s="30"/>
      <c r="F1873" s="30"/>
      <c r="X1873" s="29"/>
      <c r="Y1873" s="29"/>
      <c r="AA1873" s="18"/>
      <c r="AC1873" s="31"/>
      <c r="AE1873" s="18"/>
      <c r="AG1873" s="29"/>
    </row>
    <row r="1874" spans="1:33">
      <c r="A1874" s="29"/>
      <c r="B1874" s="29"/>
      <c r="C1874" s="29"/>
      <c r="D1874" s="29"/>
      <c r="E1874" s="30"/>
      <c r="F1874" s="30"/>
      <c r="X1874" s="29"/>
      <c r="Y1874" s="29"/>
      <c r="AA1874" s="18"/>
      <c r="AC1874" s="31"/>
      <c r="AE1874" s="18"/>
      <c r="AG1874" s="29"/>
    </row>
    <row r="1875" spans="1:33">
      <c r="A1875" s="29"/>
      <c r="B1875" s="29"/>
      <c r="C1875" s="29"/>
      <c r="D1875" s="29"/>
      <c r="E1875" s="30"/>
      <c r="F1875" s="30"/>
      <c r="X1875" s="29"/>
      <c r="Y1875" s="29"/>
      <c r="AA1875" s="18"/>
      <c r="AC1875" s="31"/>
      <c r="AE1875" s="18"/>
      <c r="AG1875" s="29"/>
    </row>
    <row r="1876" spans="1:33">
      <c r="A1876" s="29"/>
      <c r="B1876" s="29"/>
      <c r="C1876" s="29"/>
      <c r="D1876" s="29"/>
      <c r="E1876" s="30"/>
      <c r="F1876" s="30"/>
      <c r="X1876" s="29"/>
      <c r="Y1876" s="29"/>
      <c r="AA1876" s="18"/>
      <c r="AC1876" s="31"/>
      <c r="AE1876" s="18"/>
      <c r="AG1876" s="29"/>
    </row>
    <row r="1877" spans="1:33">
      <c r="A1877" s="29"/>
      <c r="B1877" s="29"/>
      <c r="C1877" s="29"/>
      <c r="D1877" s="29"/>
      <c r="E1877" s="30"/>
      <c r="F1877" s="30"/>
      <c r="X1877" s="29"/>
      <c r="Y1877" s="29"/>
      <c r="AA1877" s="18"/>
      <c r="AC1877" s="31"/>
      <c r="AE1877" s="18"/>
      <c r="AG1877" s="29"/>
    </row>
    <row r="1878" spans="1:33">
      <c r="A1878" s="29"/>
      <c r="B1878" s="29"/>
      <c r="C1878" s="29"/>
      <c r="D1878" s="29"/>
      <c r="E1878" s="30"/>
      <c r="F1878" s="30"/>
      <c r="X1878" s="29"/>
      <c r="Y1878" s="29"/>
      <c r="AA1878" s="18"/>
      <c r="AC1878" s="31"/>
      <c r="AE1878" s="18"/>
      <c r="AG1878" s="29"/>
    </row>
    <row r="1879" spans="1:33">
      <c r="A1879" s="29"/>
      <c r="B1879" s="29"/>
      <c r="C1879" s="29"/>
      <c r="D1879" s="29"/>
      <c r="E1879" s="30"/>
      <c r="F1879" s="30"/>
      <c r="X1879" s="29"/>
      <c r="Y1879" s="29"/>
      <c r="AA1879" s="18"/>
      <c r="AC1879" s="31"/>
      <c r="AE1879" s="18"/>
      <c r="AG1879" s="29"/>
    </row>
    <row r="1880" spans="1:33">
      <c r="A1880" s="29"/>
      <c r="B1880" s="29"/>
      <c r="C1880" s="29"/>
      <c r="D1880" s="29"/>
      <c r="E1880" s="30"/>
      <c r="F1880" s="30"/>
      <c r="X1880" s="29"/>
      <c r="Y1880" s="29"/>
      <c r="AA1880" s="18"/>
      <c r="AC1880" s="31"/>
      <c r="AE1880" s="18"/>
      <c r="AG1880" s="29"/>
    </row>
    <row r="1881" spans="1:33">
      <c r="A1881" s="29"/>
      <c r="B1881" s="29"/>
      <c r="C1881" s="29"/>
      <c r="D1881" s="29"/>
      <c r="E1881" s="30"/>
      <c r="F1881" s="30"/>
      <c r="X1881" s="29"/>
      <c r="Y1881" s="29"/>
      <c r="AA1881" s="18"/>
      <c r="AC1881" s="31"/>
      <c r="AE1881" s="18"/>
      <c r="AG1881" s="29"/>
    </row>
    <row r="1882" spans="1:33">
      <c r="A1882" s="29"/>
      <c r="B1882" s="29"/>
      <c r="C1882" s="29"/>
      <c r="D1882" s="29"/>
      <c r="E1882" s="30"/>
      <c r="F1882" s="30"/>
      <c r="X1882" s="29"/>
      <c r="Y1882" s="29"/>
      <c r="AA1882" s="18"/>
      <c r="AC1882" s="31"/>
      <c r="AE1882" s="18"/>
      <c r="AG1882" s="29"/>
    </row>
    <row r="1883" spans="1:33">
      <c r="A1883" s="29"/>
      <c r="B1883" s="29"/>
      <c r="C1883" s="29"/>
      <c r="D1883" s="29"/>
      <c r="E1883" s="30"/>
      <c r="F1883" s="30"/>
      <c r="X1883" s="29"/>
      <c r="Y1883" s="29"/>
      <c r="AA1883" s="18"/>
      <c r="AC1883" s="31"/>
      <c r="AE1883" s="18"/>
      <c r="AG1883" s="29"/>
    </row>
    <row r="1884" spans="1:33">
      <c r="A1884" s="29"/>
      <c r="B1884" s="29"/>
      <c r="C1884" s="29"/>
      <c r="D1884" s="29"/>
      <c r="E1884" s="30"/>
      <c r="F1884" s="30"/>
      <c r="X1884" s="29"/>
      <c r="Y1884" s="29"/>
      <c r="AA1884" s="18"/>
      <c r="AC1884" s="31"/>
      <c r="AE1884" s="18"/>
      <c r="AG1884" s="29"/>
    </row>
    <row r="1885" spans="1:33">
      <c r="A1885" s="29"/>
      <c r="B1885" s="29"/>
      <c r="C1885" s="29"/>
      <c r="D1885" s="29"/>
      <c r="E1885" s="30"/>
      <c r="F1885" s="30"/>
      <c r="X1885" s="29"/>
      <c r="Y1885" s="29"/>
      <c r="AA1885" s="18"/>
      <c r="AC1885" s="31"/>
      <c r="AE1885" s="18"/>
      <c r="AG1885" s="29"/>
    </row>
    <row r="1886" spans="1:33">
      <c r="A1886" s="29"/>
      <c r="B1886" s="29"/>
      <c r="C1886" s="29"/>
      <c r="D1886" s="29"/>
      <c r="E1886" s="30"/>
      <c r="F1886" s="30"/>
      <c r="X1886" s="29"/>
      <c r="Y1886" s="29"/>
      <c r="AA1886" s="18"/>
      <c r="AC1886" s="31"/>
      <c r="AE1886" s="18"/>
      <c r="AG1886" s="29"/>
    </row>
    <row r="1887" spans="1:33">
      <c r="A1887" s="29"/>
      <c r="B1887" s="29"/>
      <c r="C1887" s="29"/>
      <c r="D1887" s="29"/>
      <c r="E1887" s="30"/>
      <c r="F1887" s="30"/>
      <c r="X1887" s="29"/>
      <c r="Y1887" s="29"/>
      <c r="AA1887" s="18"/>
      <c r="AC1887" s="31"/>
      <c r="AE1887" s="18"/>
      <c r="AG1887" s="29"/>
    </row>
    <row r="1888" spans="1:33">
      <c r="A1888" s="29"/>
      <c r="B1888" s="29"/>
      <c r="C1888" s="29"/>
      <c r="D1888" s="29"/>
      <c r="E1888" s="30"/>
      <c r="F1888" s="30"/>
      <c r="X1888" s="29"/>
      <c r="Y1888" s="29"/>
      <c r="AA1888" s="18"/>
      <c r="AC1888" s="31"/>
      <c r="AE1888" s="18"/>
      <c r="AG1888" s="29"/>
    </row>
    <row r="1889" spans="1:33">
      <c r="A1889" s="29"/>
      <c r="B1889" s="29"/>
      <c r="C1889" s="29"/>
      <c r="D1889" s="29"/>
      <c r="E1889" s="30"/>
      <c r="F1889" s="30"/>
      <c r="X1889" s="29"/>
      <c r="Y1889" s="29"/>
      <c r="AA1889" s="18"/>
      <c r="AC1889" s="31"/>
      <c r="AE1889" s="18"/>
      <c r="AG1889" s="29"/>
    </row>
    <row r="1890" spans="1:33">
      <c r="A1890" s="29"/>
      <c r="B1890" s="29"/>
      <c r="C1890" s="29"/>
      <c r="D1890" s="29"/>
      <c r="E1890" s="30"/>
      <c r="F1890" s="30"/>
      <c r="X1890" s="29"/>
      <c r="Y1890" s="29"/>
      <c r="AA1890" s="18"/>
      <c r="AC1890" s="31"/>
      <c r="AE1890" s="18"/>
      <c r="AG1890" s="29"/>
    </row>
    <row r="1891" spans="1:33">
      <c r="A1891" s="29"/>
      <c r="B1891" s="29"/>
      <c r="C1891" s="29"/>
      <c r="D1891" s="29"/>
      <c r="E1891" s="30"/>
      <c r="F1891" s="30"/>
      <c r="X1891" s="29"/>
      <c r="Y1891" s="29"/>
      <c r="AA1891" s="18"/>
      <c r="AC1891" s="31"/>
      <c r="AE1891" s="18"/>
      <c r="AG1891" s="29"/>
    </row>
    <row r="1892" spans="1:33">
      <c r="A1892" s="29"/>
      <c r="B1892" s="29"/>
      <c r="C1892" s="29"/>
      <c r="D1892" s="29"/>
      <c r="E1892" s="30"/>
      <c r="F1892" s="30"/>
      <c r="X1892" s="29"/>
      <c r="Y1892" s="29"/>
      <c r="AA1892" s="18"/>
      <c r="AC1892" s="31"/>
      <c r="AE1892" s="18"/>
      <c r="AG1892" s="29"/>
    </row>
    <row r="1893" spans="1:33">
      <c r="A1893" s="29"/>
      <c r="B1893" s="29"/>
      <c r="C1893" s="29"/>
      <c r="D1893" s="29"/>
      <c r="E1893" s="30"/>
      <c r="F1893" s="30"/>
      <c r="X1893" s="29"/>
      <c r="Y1893" s="29"/>
      <c r="AA1893" s="18"/>
      <c r="AC1893" s="31"/>
      <c r="AE1893" s="18"/>
      <c r="AG1893" s="29"/>
    </row>
    <row r="1894" spans="1:33">
      <c r="A1894" s="29"/>
      <c r="B1894" s="29"/>
      <c r="C1894" s="29"/>
      <c r="D1894" s="29"/>
      <c r="E1894" s="30"/>
      <c r="F1894" s="30"/>
      <c r="X1894" s="29"/>
      <c r="Y1894" s="29"/>
      <c r="AA1894" s="18"/>
      <c r="AC1894" s="31"/>
      <c r="AE1894" s="18"/>
      <c r="AG1894" s="29"/>
    </row>
    <row r="1895" spans="1:33">
      <c r="A1895" s="29"/>
      <c r="B1895" s="29"/>
      <c r="C1895" s="29"/>
      <c r="D1895" s="29"/>
      <c r="E1895" s="30"/>
      <c r="F1895" s="30"/>
      <c r="X1895" s="29"/>
      <c r="Y1895" s="29"/>
      <c r="AA1895" s="18"/>
      <c r="AC1895" s="31"/>
      <c r="AE1895" s="18"/>
      <c r="AG1895" s="29"/>
    </row>
    <row r="1896" spans="1:33">
      <c r="A1896" s="29"/>
      <c r="B1896" s="29"/>
      <c r="C1896" s="29"/>
      <c r="D1896" s="29"/>
      <c r="E1896" s="30"/>
      <c r="F1896" s="30"/>
      <c r="X1896" s="29"/>
      <c r="Y1896" s="29"/>
      <c r="AA1896" s="18"/>
      <c r="AC1896" s="31"/>
      <c r="AE1896" s="18"/>
      <c r="AG1896" s="29"/>
    </row>
    <row r="1897" spans="1:33">
      <c r="A1897" s="29"/>
      <c r="B1897" s="29"/>
      <c r="C1897" s="29"/>
      <c r="D1897" s="29"/>
      <c r="E1897" s="30"/>
      <c r="F1897" s="30"/>
      <c r="X1897" s="29"/>
      <c r="Y1897" s="29"/>
      <c r="AA1897" s="18"/>
      <c r="AC1897" s="31"/>
      <c r="AE1897" s="18"/>
      <c r="AG1897" s="29"/>
    </row>
    <row r="1898" spans="1:33">
      <c r="A1898" s="29"/>
      <c r="B1898" s="29"/>
      <c r="C1898" s="29"/>
      <c r="D1898" s="29"/>
      <c r="E1898" s="30"/>
      <c r="F1898" s="30"/>
      <c r="X1898" s="29"/>
      <c r="Y1898" s="29"/>
      <c r="AA1898" s="18"/>
      <c r="AC1898" s="31"/>
      <c r="AE1898" s="18"/>
      <c r="AG1898" s="29"/>
    </row>
    <row r="1899" spans="1:33">
      <c r="A1899" s="29"/>
      <c r="B1899" s="29"/>
      <c r="C1899" s="29"/>
      <c r="D1899" s="29"/>
      <c r="E1899" s="30"/>
      <c r="F1899" s="30"/>
      <c r="X1899" s="29"/>
      <c r="Y1899" s="29"/>
      <c r="AA1899" s="18"/>
      <c r="AC1899" s="31"/>
      <c r="AE1899" s="18"/>
      <c r="AG1899" s="29"/>
    </row>
    <row r="1900" spans="1:33">
      <c r="A1900" s="29"/>
      <c r="B1900" s="29"/>
      <c r="C1900" s="29"/>
      <c r="D1900" s="29"/>
      <c r="E1900" s="30"/>
      <c r="F1900" s="30"/>
      <c r="X1900" s="29"/>
      <c r="Y1900" s="29"/>
      <c r="AA1900" s="18"/>
      <c r="AC1900" s="31"/>
      <c r="AE1900" s="18"/>
      <c r="AG1900" s="29"/>
    </row>
    <row r="1901" spans="1:33">
      <c r="A1901" s="29"/>
      <c r="B1901" s="29"/>
      <c r="C1901" s="29"/>
      <c r="D1901" s="29"/>
      <c r="E1901" s="30"/>
      <c r="F1901" s="30"/>
      <c r="X1901" s="29"/>
      <c r="Y1901" s="29"/>
      <c r="AA1901" s="18"/>
      <c r="AC1901" s="31"/>
      <c r="AE1901" s="18"/>
      <c r="AG1901" s="29"/>
    </row>
    <row r="1902" spans="1:33">
      <c r="A1902" s="29"/>
      <c r="B1902" s="29"/>
      <c r="C1902" s="29"/>
      <c r="D1902" s="29"/>
      <c r="E1902" s="30"/>
      <c r="F1902" s="30"/>
      <c r="X1902" s="29"/>
      <c r="Y1902" s="29"/>
      <c r="AA1902" s="18"/>
      <c r="AC1902" s="31"/>
      <c r="AE1902" s="18"/>
      <c r="AG1902" s="29"/>
    </row>
    <row r="1903" spans="1:33">
      <c r="A1903" s="29"/>
      <c r="B1903" s="29"/>
      <c r="C1903" s="29"/>
      <c r="D1903" s="29"/>
      <c r="E1903" s="30"/>
      <c r="F1903" s="30"/>
      <c r="X1903" s="29"/>
      <c r="Y1903" s="29"/>
      <c r="AA1903" s="18"/>
      <c r="AC1903" s="31"/>
      <c r="AE1903" s="18"/>
      <c r="AG1903" s="29"/>
    </row>
    <row r="1904" spans="1:33">
      <c r="A1904" s="29"/>
      <c r="B1904" s="29"/>
      <c r="C1904" s="29"/>
      <c r="D1904" s="29"/>
      <c r="E1904" s="30"/>
      <c r="F1904" s="30"/>
      <c r="X1904" s="29"/>
      <c r="Y1904" s="29"/>
      <c r="AA1904" s="18"/>
      <c r="AC1904" s="31"/>
      <c r="AE1904" s="18"/>
      <c r="AG1904" s="29"/>
    </row>
    <row r="1905" spans="1:33">
      <c r="A1905" s="29"/>
      <c r="B1905" s="29"/>
      <c r="C1905" s="29"/>
      <c r="D1905" s="29"/>
      <c r="E1905" s="30"/>
      <c r="F1905" s="30"/>
      <c r="X1905" s="29"/>
      <c r="Y1905" s="29"/>
      <c r="AA1905" s="18"/>
      <c r="AC1905" s="31"/>
      <c r="AE1905" s="18"/>
      <c r="AG1905" s="29"/>
    </row>
    <row r="1906" spans="1:33">
      <c r="A1906" s="29"/>
      <c r="B1906" s="29"/>
      <c r="C1906" s="29"/>
      <c r="D1906" s="29"/>
      <c r="E1906" s="30"/>
      <c r="F1906" s="30"/>
      <c r="X1906" s="29"/>
      <c r="Y1906" s="29"/>
      <c r="AA1906" s="18"/>
      <c r="AC1906" s="31"/>
      <c r="AE1906" s="18"/>
      <c r="AG1906" s="29"/>
    </row>
    <row r="1907" spans="1:33">
      <c r="A1907" s="29"/>
      <c r="B1907" s="29"/>
      <c r="C1907" s="29"/>
      <c r="D1907" s="29"/>
      <c r="E1907" s="30"/>
      <c r="F1907" s="30"/>
      <c r="X1907" s="29"/>
      <c r="Y1907" s="29"/>
      <c r="AA1907" s="18"/>
      <c r="AC1907" s="31"/>
      <c r="AE1907" s="18"/>
      <c r="AG1907" s="29"/>
    </row>
    <row r="1908" spans="1:33">
      <c r="A1908" s="29"/>
      <c r="B1908" s="29"/>
      <c r="C1908" s="29"/>
      <c r="D1908" s="29"/>
      <c r="E1908" s="30"/>
      <c r="F1908" s="30"/>
      <c r="X1908" s="29"/>
      <c r="Y1908" s="29"/>
      <c r="AA1908" s="18"/>
      <c r="AC1908" s="31"/>
      <c r="AE1908" s="18"/>
      <c r="AG1908" s="29"/>
    </row>
    <row r="1909" spans="1:33">
      <c r="A1909" s="29"/>
      <c r="B1909" s="29"/>
      <c r="C1909" s="29"/>
      <c r="D1909" s="29"/>
      <c r="E1909" s="30"/>
      <c r="F1909" s="30"/>
      <c r="X1909" s="29"/>
      <c r="Y1909" s="29"/>
      <c r="AA1909" s="18"/>
      <c r="AC1909" s="31"/>
      <c r="AE1909" s="18"/>
      <c r="AG1909" s="29"/>
    </row>
    <row r="1910" spans="1:33">
      <c r="A1910" s="29"/>
      <c r="B1910" s="29"/>
      <c r="C1910" s="29"/>
      <c r="D1910" s="29"/>
      <c r="E1910" s="30"/>
      <c r="F1910" s="30"/>
      <c r="X1910" s="29"/>
      <c r="Y1910" s="29"/>
      <c r="AA1910" s="18"/>
      <c r="AC1910" s="31"/>
      <c r="AE1910" s="18"/>
      <c r="AG1910" s="29"/>
    </row>
    <row r="1911" spans="1:33">
      <c r="A1911" s="29"/>
      <c r="B1911" s="29"/>
      <c r="C1911" s="29"/>
      <c r="D1911" s="29"/>
      <c r="E1911" s="30"/>
      <c r="F1911" s="30"/>
      <c r="X1911" s="29"/>
      <c r="Y1911" s="29"/>
      <c r="AA1911" s="18"/>
      <c r="AC1911" s="31"/>
      <c r="AE1911" s="18"/>
      <c r="AG1911" s="29"/>
    </row>
    <row r="1912" spans="1:33">
      <c r="A1912" s="29"/>
      <c r="B1912" s="29"/>
      <c r="C1912" s="29"/>
      <c r="D1912" s="29"/>
      <c r="E1912" s="30"/>
      <c r="F1912" s="30"/>
      <c r="X1912" s="29"/>
      <c r="Y1912" s="29"/>
      <c r="AA1912" s="18"/>
      <c r="AC1912" s="31"/>
      <c r="AE1912" s="18"/>
      <c r="AG1912" s="29"/>
    </row>
    <row r="1913" spans="1:33">
      <c r="A1913" s="29"/>
      <c r="B1913" s="29"/>
      <c r="C1913" s="29"/>
      <c r="D1913" s="29"/>
      <c r="E1913" s="30"/>
      <c r="F1913" s="30"/>
      <c r="X1913" s="29"/>
      <c r="Y1913" s="29"/>
      <c r="AA1913" s="18"/>
      <c r="AC1913" s="31"/>
      <c r="AE1913" s="18"/>
      <c r="AG1913" s="29"/>
    </row>
    <row r="1914" spans="1:33">
      <c r="A1914" s="29"/>
      <c r="B1914" s="29"/>
      <c r="C1914" s="29"/>
      <c r="D1914" s="29"/>
      <c r="E1914" s="30"/>
      <c r="F1914" s="30"/>
      <c r="X1914" s="29"/>
      <c r="Y1914" s="29"/>
      <c r="AA1914" s="18"/>
      <c r="AC1914" s="31"/>
      <c r="AE1914" s="18"/>
      <c r="AG1914" s="29"/>
    </row>
    <row r="1915" spans="1:33">
      <c r="A1915" s="29"/>
      <c r="B1915" s="29"/>
      <c r="C1915" s="29"/>
      <c r="D1915" s="29"/>
      <c r="E1915" s="30"/>
      <c r="F1915" s="30"/>
      <c r="X1915" s="29"/>
      <c r="Y1915" s="29"/>
      <c r="AA1915" s="18"/>
      <c r="AC1915" s="31"/>
      <c r="AE1915" s="18"/>
      <c r="AG1915" s="29"/>
    </row>
    <row r="1916" spans="1:33">
      <c r="A1916" s="29"/>
      <c r="B1916" s="29"/>
      <c r="C1916" s="29"/>
      <c r="D1916" s="29"/>
      <c r="E1916" s="30"/>
      <c r="F1916" s="30"/>
      <c r="X1916" s="29"/>
      <c r="Y1916" s="29"/>
      <c r="AA1916" s="18"/>
      <c r="AC1916" s="31"/>
      <c r="AE1916" s="18"/>
      <c r="AG1916" s="29"/>
    </row>
    <row r="1917" spans="1:33">
      <c r="A1917" s="29"/>
      <c r="B1917" s="29"/>
      <c r="C1917" s="29"/>
      <c r="D1917" s="29"/>
      <c r="E1917" s="30"/>
      <c r="F1917" s="30"/>
      <c r="X1917" s="29"/>
      <c r="Y1917" s="29"/>
      <c r="AA1917" s="18"/>
      <c r="AC1917" s="31"/>
      <c r="AE1917" s="18"/>
      <c r="AG1917" s="29"/>
    </row>
    <row r="1918" spans="1:33">
      <c r="A1918" s="29"/>
      <c r="B1918" s="29"/>
      <c r="C1918" s="29"/>
      <c r="D1918" s="29"/>
      <c r="E1918" s="30"/>
      <c r="F1918" s="30"/>
      <c r="X1918" s="29"/>
      <c r="Y1918" s="29"/>
      <c r="AA1918" s="18"/>
      <c r="AC1918" s="31"/>
      <c r="AE1918" s="18"/>
      <c r="AG1918" s="29"/>
    </row>
    <row r="1919" spans="1:33">
      <c r="A1919" s="29"/>
      <c r="B1919" s="29"/>
      <c r="C1919" s="29"/>
      <c r="D1919" s="29"/>
      <c r="E1919" s="30"/>
      <c r="F1919" s="30"/>
      <c r="X1919" s="29"/>
      <c r="Y1919" s="29"/>
      <c r="AA1919" s="18"/>
      <c r="AC1919" s="31"/>
      <c r="AE1919" s="18"/>
      <c r="AG1919" s="29"/>
    </row>
    <row r="1920" spans="1:33">
      <c r="A1920" s="29"/>
      <c r="B1920" s="29"/>
      <c r="C1920" s="29"/>
      <c r="D1920" s="29"/>
      <c r="E1920" s="30"/>
      <c r="F1920" s="30"/>
      <c r="X1920" s="29"/>
      <c r="Y1920" s="29"/>
      <c r="AA1920" s="18"/>
      <c r="AC1920" s="31"/>
      <c r="AE1920" s="18"/>
      <c r="AG1920" s="29"/>
    </row>
    <row r="1921" spans="1:33">
      <c r="A1921" s="29"/>
      <c r="B1921" s="29"/>
      <c r="C1921" s="29"/>
      <c r="D1921" s="29"/>
      <c r="E1921" s="30"/>
      <c r="F1921" s="30"/>
      <c r="X1921" s="29"/>
      <c r="Y1921" s="29"/>
      <c r="AA1921" s="18"/>
      <c r="AC1921" s="31"/>
      <c r="AE1921" s="18"/>
      <c r="AG1921" s="29"/>
    </row>
    <row r="1922" spans="1:33">
      <c r="A1922" s="29"/>
      <c r="B1922" s="29"/>
      <c r="C1922" s="29"/>
      <c r="D1922" s="29"/>
      <c r="E1922" s="30"/>
      <c r="F1922" s="30"/>
      <c r="X1922" s="29"/>
      <c r="Y1922" s="29"/>
      <c r="AA1922" s="18"/>
      <c r="AC1922" s="31"/>
      <c r="AE1922" s="18"/>
      <c r="AG1922" s="29"/>
    </row>
    <row r="1923" spans="1:33">
      <c r="A1923" s="29"/>
      <c r="B1923" s="29"/>
      <c r="C1923" s="29"/>
      <c r="D1923" s="29"/>
      <c r="E1923" s="30"/>
      <c r="F1923" s="30"/>
      <c r="X1923" s="29"/>
      <c r="Y1923" s="29"/>
      <c r="AA1923" s="18"/>
      <c r="AC1923" s="31"/>
      <c r="AE1923" s="18"/>
      <c r="AG1923" s="29"/>
    </row>
    <row r="1924" spans="1:33">
      <c r="A1924" s="29"/>
      <c r="B1924" s="29"/>
      <c r="C1924" s="29"/>
      <c r="D1924" s="29"/>
      <c r="E1924" s="30"/>
      <c r="F1924" s="30"/>
      <c r="X1924" s="29"/>
      <c r="Y1924" s="29"/>
      <c r="AA1924" s="18"/>
      <c r="AC1924" s="31"/>
      <c r="AE1924" s="18"/>
      <c r="AG1924" s="29"/>
    </row>
    <row r="1925" spans="1:33">
      <c r="A1925" s="29"/>
      <c r="B1925" s="29"/>
      <c r="C1925" s="29"/>
      <c r="D1925" s="29"/>
      <c r="E1925" s="30"/>
      <c r="F1925" s="30"/>
      <c r="X1925" s="29"/>
      <c r="Y1925" s="29"/>
      <c r="AA1925" s="18"/>
      <c r="AC1925" s="31"/>
      <c r="AE1925" s="18"/>
      <c r="AG1925" s="29"/>
    </row>
    <row r="1926" spans="1:33">
      <c r="A1926" s="29"/>
      <c r="B1926" s="29"/>
      <c r="C1926" s="29"/>
      <c r="D1926" s="29"/>
      <c r="E1926" s="30"/>
      <c r="F1926" s="30"/>
      <c r="X1926" s="29"/>
      <c r="Y1926" s="29"/>
      <c r="AA1926" s="18"/>
      <c r="AC1926" s="30"/>
      <c r="AE1926" s="18"/>
      <c r="AG1926" s="29"/>
    </row>
    <row r="1927" spans="1:33">
      <c r="A1927" s="29"/>
      <c r="B1927" s="29"/>
      <c r="C1927" s="29"/>
      <c r="D1927" s="29"/>
      <c r="E1927" s="30"/>
      <c r="F1927" s="30"/>
      <c r="X1927" s="29"/>
      <c r="Y1927" s="29"/>
      <c r="AA1927" s="18"/>
      <c r="AC1927" s="30"/>
      <c r="AE1927" s="18"/>
      <c r="AG1927" s="29"/>
    </row>
    <row r="1928" spans="1:33">
      <c r="A1928" s="29"/>
      <c r="B1928" s="29"/>
      <c r="C1928" s="29"/>
      <c r="D1928" s="29"/>
      <c r="E1928" s="30"/>
      <c r="F1928" s="30"/>
      <c r="X1928" s="29"/>
      <c r="Y1928" s="29"/>
      <c r="AA1928" s="18"/>
      <c r="AC1928" s="31"/>
      <c r="AE1928" s="18"/>
      <c r="AG1928" s="29"/>
    </row>
    <row r="1929" spans="1:33">
      <c r="A1929" s="29"/>
      <c r="B1929" s="29"/>
      <c r="C1929" s="29"/>
      <c r="D1929" s="29"/>
      <c r="E1929" s="30"/>
      <c r="F1929" s="30"/>
      <c r="X1929" s="29"/>
      <c r="Y1929" s="29"/>
      <c r="AA1929" s="18"/>
      <c r="AC1929" s="31"/>
      <c r="AE1929" s="18"/>
      <c r="AG1929" s="29"/>
    </row>
    <row r="1930" spans="1:33">
      <c r="A1930" s="29"/>
      <c r="B1930" s="29"/>
      <c r="C1930" s="29"/>
      <c r="D1930" s="29"/>
      <c r="E1930" s="30"/>
      <c r="F1930" s="30"/>
      <c r="X1930" s="29"/>
      <c r="Y1930" s="29"/>
      <c r="AA1930" s="18"/>
      <c r="AC1930" s="31"/>
      <c r="AE1930" s="18"/>
      <c r="AG1930" s="29"/>
    </row>
    <row r="1931" spans="1:33">
      <c r="A1931" s="29"/>
      <c r="B1931" s="29"/>
      <c r="C1931" s="29"/>
      <c r="D1931" s="29"/>
      <c r="E1931" s="30"/>
      <c r="F1931" s="30"/>
      <c r="X1931" s="29"/>
      <c r="Y1931" s="29"/>
      <c r="AA1931" s="18"/>
      <c r="AC1931" s="31"/>
      <c r="AE1931" s="18"/>
      <c r="AG1931" s="29"/>
    </row>
    <row r="1932" spans="1:33">
      <c r="A1932" s="29"/>
      <c r="B1932" s="29"/>
      <c r="C1932" s="29"/>
      <c r="D1932" s="29"/>
      <c r="E1932" s="30"/>
      <c r="F1932" s="30"/>
      <c r="X1932" s="29"/>
      <c r="Y1932" s="29"/>
      <c r="AA1932" s="18"/>
      <c r="AC1932" s="31"/>
      <c r="AE1932" s="18"/>
      <c r="AG1932" s="29"/>
    </row>
    <row r="1933" spans="1:33">
      <c r="A1933" s="29"/>
      <c r="B1933" s="29"/>
      <c r="C1933" s="29"/>
      <c r="D1933" s="29"/>
      <c r="E1933" s="30"/>
      <c r="F1933" s="30"/>
      <c r="X1933" s="29"/>
      <c r="Y1933" s="29"/>
      <c r="AA1933" s="18"/>
      <c r="AC1933" s="31"/>
      <c r="AE1933" s="18"/>
      <c r="AG1933" s="29"/>
    </row>
    <row r="1934" spans="1:33">
      <c r="A1934" s="29"/>
      <c r="B1934" s="29"/>
      <c r="C1934" s="29"/>
      <c r="D1934" s="29"/>
      <c r="E1934" s="30"/>
      <c r="F1934" s="30"/>
      <c r="X1934" s="29"/>
      <c r="Y1934" s="29"/>
      <c r="AA1934" s="18"/>
      <c r="AC1934" s="31"/>
      <c r="AE1934" s="18"/>
      <c r="AG1934" s="29"/>
    </row>
    <row r="1935" spans="1:33">
      <c r="A1935" s="29"/>
      <c r="B1935" s="29"/>
      <c r="C1935" s="29"/>
      <c r="D1935" s="29"/>
      <c r="E1935" s="30"/>
      <c r="F1935" s="30"/>
      <c r="X1935" s="29"/>
      <c r="Y1935" s="29"/>
      <c r="AA1935" s="18"/>
      <c r="AC1935" s="31"/>
      <c r="AE1935" s="18"/>
      <c r="AG1935" s="29"/>
    </row>
    <row r="1936" spans="1:33">
      <c r="A1936" s="29"/>
      <c r="B1936" s="29"/>
      <c r="C1936" s="29"/>
      <c r="D1936" s="29"/>
      <c r="E1936" s="30"/>
      <c r="F1936" s="30"/>
      <c r="X1936" s="29"/>
      <c r="Y1936" s="29"/>
      <c r="AA1936" s="18"/>
      <c r="AC1936" s="31"/>
      <c r="AE1936" s="18"/>
      <c r="AG1936" s="29"/>
    </row>
    <row r="1937" spans="1:33">
      <c r="A1937" s="29"/>
      <c r="B1937" s="29"/>
      <c r="C1937" s="29"/>
      <c r="D1937" s="29"/>
      <c r="E1937" s="30"/>
      <c r="F1937" s="30"/>
      <c r="X1937" s="29"/>
      <c r="Y1937" s="29"/>
      <c r="AA1937" s="18"/>
      <c r="AC1937" s="31"/>
      <c r="AE1937" s="18"/>
      <c r="AG1937" s="29"/>
    </row>
    <row r="1938" spans="1:33">
      <c r="A1938" s="29"/>
      <c r="B1938" s="29"/>
      <c r="C1938" s="29"/>
      <c r="D1938" s="29"/>
      <c r="E1938" s="30"/>
      <c r="F1938" s="30"/>
      <c r="X1938" s="29"/>
      <c r="Y1938" s="29"/>
      <c r="AA1938" s="18"/>
      <c r="AC1938" s="31"/>
      <c r="AE1938" s="18"/>
      <c r="AG1938" s="29"/>
    </row>
    <row r="1939" spans="1:33">
      <c r="A1939" s="29"/>
      <c r="B1939" s="29"/>
      <c r="C1939" s="29"/>
      <c r="D1939" s="29"/>
      <c r="E1939" s="30"/>
      <c r="F1939" s="30"/>
      <c r="X1939" s="29"/>
      <c r="Y1939" s="29"/>
      <c r="AA1939" s="18"/>
      <c r="AC1939" s="31"/>
      <c r="AE1939" s="18"/>
      <c r="AG1939" s="29"/>
    </row>
    <row r="1940" spans="1:33">
      <c r="A1940" s="29"/>
      <c r="B1940" s="29"/>
      <c r="C1940" s="29"/>
      <c r="D1940" s="29"/>
      <c r="E1940" s="30"/>
      <c r="F1940" s="30"/>
      <c r="X1940" s="29"/>
      <c r="Y1940" s="29"/>
      <c r="AA1940" s="18"/>
      <c r="AC1940" s="31"/>
      <c r="AE1940" s="18"/>
      <c r="AG1940" s="29"/>
    </row>
    <row r="1941" spans="1:33">
      <c r="A1941" s="29"/>
      <c r="B1941" s="29"/>
      <c r="C1941" s="29"/>
      <c r="D1941" s="29"/>
      <c r="E1941" s="30"/>
      <c r="F1941" s="30"/>
      <c r="X1941" s="29"/>
      <c r="Y1941" s="29"/>
      <c r="AA1941" s="18"/>
      <c r="AC1941" s="30"/>
      <c r="AE1941" s="18"/>
      <c r="AG1941" s="29"/>
    </row>
    <row r="1942" spans="1:33">
      <c r="A1942" s="29"/>
      <c r="B1942" s="29"/>
      <c r="C1942" s="29"/>
      <c r="D1942" s="29"/>
      <c r="E1942" s="30"/>
      <c r="F1942" s="30"/>
      <c r="X1942" s="29"/>
      <c r="Y1942" s="29"/>
      <c r="AA1942" s="18"/>
      <c r="AC1942" s="31"/>
      <c r="AE1942" s="18"/>
      <c r="AG1942" s="29"/>
    </row>
    <row r="1943" spans="1:33">
      <c r="A1943" s="29"/>
      <c r="B1943" s="29"/>
      <c r="C1943" s="29"/>
      <c r="D1943" s="29"/>
      <c r="E1943" s="30"/>
      <c r="F1943" s="30"/>
      <c r="X1943" s="29"/>
      <c r="Y1943" s="29"/>
      <c r="AA1943" s="18"/>
      <c r="AC1943" s="31"/>
      <c r="AE1943" s="18"/>
      <c r="AG1943" s="29"/>
    </row>
    <row r="1944" spans="1:33">
      <c r="A1944" s="29"/>
      <c r="B1944" s="29"/>
      <c r="C1944" s="29"/>
      <c r="D1944" s="29"/>
      <c r="E1944" s="30"/>
      <c r="F1944" s="30"/>
      <c r="X1944" s="29"/>
      <c r="Y1944" s="29"/>
      <c r="AA1944" s="18"/>
      <c r="AC1944" s="31"/>
      <c r="AE1944" s="18"/>
      <c r="AG1944" s="29"/>
    </row>
    <row r="1945" spans="1:33">
      <c r="A1945" s="29"/>
      <c r="B1945" s="29"/>
      <c r="C1945" s="29"/>
      <c r="D1945" s="29"/>
      <c r="E1945" s="30"/>
      <c r="F1945" s="30"/>
      <c r="X1945" s="29"/>
      <c r="Y1945" s="29"/>
      <c r="AA1945" s="18"/>
      <c r="AC1945" s="31"/>
      <c r="AE1945" s="18"/>
      <c r="AG1945" s="29"/>
    </row>
    <row r="1946" spans="1:33">
      <c r="A1946" s="29"/>
      <c r="B1946" s="29"/>
      <c r="C1946" s="29"/>
      <c r="D1946" s="29"/>
      <c r="E1946" s="30"/>
      <c r="F1946" s="30"/>
      <c r="X1946" s="29"/>
      <c r="Y1946" s="29"/>
      <c r="AA1946" s="18"/>
      <c r="AC1946" s="31"/>
      <c r="AE1946" s="18"/>
      <c r="AG1946" s="29"/>
    </row>
    <row r="1947" spans="1:33">
      <c r="A1947" s="29"/>
      <c r="B1947" s="29"/>
      <c r="C1947" s="29"/>
      <c r="D1947" s="29"/>
      <c r="E1947" s="30"/>
      <c r="F1947" s="30"/>
      <c r="X1947" s="29"/>
      <c r="Y1947" s="29"/>
      <c r="AA1947" s="18"/>
      <c r="AC1947" s="31"/>
      <c r="AE1947" s="18"/>
      <c r="AG1947" s="29"/>
    </row>
    <row r="1948" spans="1:33">
      <c r="A1948" s="29"/>
      <c r="B1948" s="29"/>
      <c r="C1948" s="29"/>
      <c r="D1948" s="29"/>
      <c r="E1948" s="30"/>
      <c r="F1948" s="30"/>
      <c r="X1948" s="29"/>
      <c r="Y1948" s="29"/>
      <c r="AA1948" s="18"/>
      <c r="AC1948" s="31"/>
      <c r="AE1948" s="18"/>
      <c r="AG1948" s="29"/>
    </row>
    <row r="1949" spans="1:33">
      <c r="A1949" s="29"/>
      <c r="B1949" s="29"/>
      <c r="C1949" s="29"/>
      <c r="D1949" s="29"/>
      <c r="E1949" s="30"/>
      <c r="F1949" s="30"/>
      <c r="X1949" s="29"/>
      <c r="Y1949" s="29"/>
      <c r="AA1949" s="18"/>
      <c r="AC1949" s="31"/>
      <c r="AE1949" s="18"/>
      <c r="AG1949" s="29"/>
    </row>
    <row r="1950" spans="1:33">
      <c r="A1950" s="29"/>
      <c r="B1950" s="29"/>
      <c r="C1950" s="29"/>
      <c r="D1950" s="29"/>
      <c r="E1950" s="30"/>
      <c r="F1950" s="30"/>
      <c r="X1950" s="29"/>
      <c r="Y1950" s="29"/>
      <c r="AA1950" s="18"/>
      <c r="AC1950" s="31"/>
      <c r="AE1950" s="18"/>
      <c r="AG1950" s="29"/>
    </row>
    <row r="1951" spans="1:33">
      <c r="A1951" s="29"/>
      <c r="B1951" s="29"/>
      <c r="C1951" s="29"/>
      <c r="D1951" s="29"/>
      <c r="E1951" s="30"/>
      <c r="F1951" s="30"/>
      <c r="X1951" s="29"/>
      <c r="Y1951" s="29"/>
      <c r="AA1951" s="18"/>
      <c r="AC1951" s="31"/>
      <c r="AE1951" s="18"/>
      <c r="AG1951" s="29"/>
    </row>
    <row r="1952" spans="1:33">
      <c r="A1952" s="29"/>
      <c r="B1952" s="29"/>
      <c r="C1952" s="29"/>
      <c r="D1952" s="29"/>
      <c r="E1952" s="30"/>
      <c r="F1952" s="30"/>
      <c r="X1952" s="29"/>
      <c r="Y1952" s="29"/>
      <c r="AA1952" s="18"/>
      <c r="AC1952" s="31"/>
      <c r="AE1952" s="18"/>
      <c r="AG1952" s="29"/>
    </row>
    <row r="1953" spans="1:33">
      <c r="A1953" s="29"/>
      <c r="B1953" s="29"/>
      <c r="C1953" s="29"/>
      <c r="D1953" s="29"/>
      <c r="E1953" s="30"/>
      <c r="F1953" s="30"/>
      <c r="X1953" s="29"/>
      <c r="Y1953" s="29"/>
      <c r="AA1953" s="18"/>
      <c r="AC1953" s="31"/>
      <c r="AE1953" s="18"/>
      <c r="AG1953" s="29"/>
    </row>
    <row r="1954" spans="1:33">
      <c r="A1954" s="29"/>
      <c r="B1954" s="29"/>
      <c r="C1954" s="29"/>
      <c r="D1954" s="29"/>
      <c r="E1954" s="30"/>
      <c r="F1954" s="30"/>
      <c r="X1954" s="29"/>
      <c r="Y1954" s="29"/>
      <c r="AA1954" s="18"/>
      <c r="AC1954" s="31"/>
      <c r="AE1954" s="18"/>
      <c r="AG1954" s="29"/>
    </row>
    <row r="1955" spans="1:33">
      <c r="A1955" s="29"/>
      <c r="B1955" s="29"/>
      <c r="C1955" s="29"/>
      <c r="D1955" s="29"/>
      <c r="E1955" s="30"/>
      <c r="F1955" s="30"/>
      <c r="X1955" s="29"/>
      <c r="Y1955" s="29"/>
      <c r="AA1955" s="18"/>
      <c r="AC1955" s="31"/>
      <c r="AE1955" s="18"/>
      <c r="AG1955" s="29"/>
    </row>
    <row r="1956" spans="1:33">
      <c r="A1956" s="29"/>
      <c r="B1956" s="29"/>
      <c r="C1956" s="29"/>
      <c r="D1956" s="29"/>
      <c r="E1956" s="30"/>
      <c r="F1956" s="30"/>
      <c r="X1956" s="29"/>
      <c r="Y1956" s="29"/>
      <c r="AA1956" s="18"/>
      <c r="AC1956" s="31"/>
      <c r="AE1956" s="18"/>
      <c r="AG1956" s="29"/>
    </row>
    <row r="1957" spans="1:33">
      <c r="A1957" s="29"/>
      <c r="B1957" s="29"/>
      <c r="C1957" s="29"/>
      <c r="D1957" s="29"/>
      <c r="E1957" s="30"/>
      <c r="F1957" s="30"/>
      <c r="X1957" s="29"/>
      <c r="Y1957" s="29"/>
      <c r="AA1957" s="18"/>
      <c r="AC1957" s="31"/>
      <c r="AE1957" s="18"/>
      <c r="AG1957" s="29"/>
    </row>
    <row r="1958" spans="1:33">
      <c r="A1958" s="29"/>
      <c r="B1958" s="29"/>
      <c r="C1958" s="29"/>
      <c r="D1958" s="29"/>
      <c r="E1958" s="30"/>
      <c r="F1958" s="30"/>
      <c r="X1958" s="29"/>
      <c r="Y1958" s="29"/>
      <c r="AA1958" s="18"/>
      <c r="AC1958" s="31"/>
      <c r="AE1958" s="18"/>
      <c r="AG1958" s="29"/>
    </row>
    <row r="1959" spans="1:33">
      <c r="A1959" s="29"/>
      <c r="B1959" s="29"/>
      <c r="C1959" s="29"/>
      <c r="D1959" s="29"/>
      <c r="E1959" s="30"/>
      <c r="F1959" s="30"/>
      <c r="X1959" s="29"/>
      <c r="Y1959" s="29"/>
      <c r="AA1959" s="18"/>
      <c r="AC1959" s="31"/>
      <c r="AE1959" s="18"/>
      <c r="AG1959" s="29"/>
    </row>
    <row r="1960" spans="1:33">
      <c r="A1960" s="29"/>
      <c r="B1960" s="29"/>
      <c r="C1960" s="29"/>
      <c r="D1960" s="29"/>
      <c r="E1960" s="30"/>
      <c r="F1960" s="30"/>
      <c r="X1960" s="29"/>
      <c r="Y1960" s="29"/>
      <c r="AA1960" s="18"/>
      <c r="AC1960" s="31"/>
      <c r="AE1960" s="18"/>
      <c r="AG1960" s="29"/>
    </row>
    <row r="1961" spans="1:33">
      <c r="A1961" s="29"/>
      <c r="B1961" s="29"/>
      <c r="C1961" s="29"/>
      <c r="D1961" s="29"/>
      <c r="E1961" s="30"/>
      <c r="F1961" s="30"/>
      <c r="X1961" s="29"/>
      <c r="Y1961" s="29"/>
      <c r="AA1961" s="18"/>
      <c r="AC1961" s="31"/>
      <c r="AE1961" s="18"/>
      <c r="AG1961" s="29"/>
    </row>
    <row r="1962" spans="1:33">
      <c r="A1962" s="29"/>
      <c r="B1962" s="29"/>
      <c r="C1962" s="29"/>
      <c r="D1962" s="29"/>
      <c r="E1962" s="30"/>
      <c r="F1962" s="30"/>
      <c r="X1962" s="29"/>
      <c r="Y1962" s="29"/>
      <c r="AA1962" s="18"/>
      <c r="AC1962" s="31"/>
      <c r="AE1962" s="18"/>
      <c r="AG1962" s="29"/>
    </row>
    <row r="1963" spans="1:33">
      <c r="A1963" s="29"/>
      <c r="B1963" s="29"/>
      <c r="C1963" s="29"/>
      <c r="D1963" s="29"/>
      <c r="E1963" s="30"/>
      <c r="F1963" s="30"/>
      <c r="X1963" s="29"/>
      <c r="Y1963" s="29"/>
      <c r="AA1963" s="18"/>
      <c r="AC1963" s="31"/>
      <c r="AE1963" s="18"/>
      <c r="AG1963" s="29"/>
    </row>
    <row r="1964" spans="1:33">
      <c r="A1964" s="29"/>
      <c r="B1964" s="29"/>
      <c r="C1964" s="29"/>
      <c r="D1964" s="29"/>
      <c r="E1964" s="30"/>
      <c r="F1964" s="30"/>
      <c r="X1964" s="29"/>
      <c r="Y1964" s="29"/>
      <c r="AA1964" s="18"/>
      <c r="AC1964" s="31"/>
      <c r="AE1964" s="18"/>
      <c r="AG1964" s="29"/>
    </row>
    <row r="1965" spans="1:33">
      <c r="A1965" s="29"/>
      <c r="B1965" s="29"/>
      <c r="C1965" s="29"/>
      <c r="D1965" s="29"/>
      <c r="E1965" s="30"/>
      <c r="F1965" s="30"/>
      <c r="X1965" s="29"/>
      <c r="Y1965" s="29"/>
      <c r="AA1965" s="18"/>
      <c r="AC1965" s="31"/>
      <c r="AE1965" s="18"/>
      <c r="AG1965" s="29"/>
    </row>
    <row r="1966" spans="1:33">
      <c r="A1966" s="29"/>
      <c r="B1966" s="29"/>
      <c r="C1966" s="29"/>
      <c r="D1966" s="29"/>
      <c r="E1966" s="30"/>
      <c r="F1966" s="30"/>
      <c r="X1966" s="29"/>
      <c r="Y1966" s="29"/>
      <c r="AA1966" s="18"/>
      <c r="AC1966" s="31"/>
      <c r="AE1966" s="18"/>
      <c r="AG1966" s="29"/>
    </row>
    <row r="1967" spans="1:33">
      <c r="A1967" s="29"/>
      <c r="B1967" s="29"/>
      <c r="C1967" s="29"/>
      <c r="D1967" s="29"/>
      <c r="E1967" s="30"/>
      <c r="F1967" s="30"/>
      <c r="X1967" s="29"/>
      <c r="Y1967" s="29"/>
      <c r="AA1967" s="18"/>
      <c r="AC1967" s="31"/>
      <c r="AE1967" s="18"/>
      <c r="AG1967" s="29"/>
    </row>
    <row r="1968" spans="1:33">
      <c r="A1968" s="29"/>
      <c r="B1968" s="29"/>
      <c r="C1968" s="29"/>
      <c r="D1968" s="29"/>
      <c r="E1968" s="30"/>
      <c r="F1968" s="30"/>
      <c r="X1968" s="29"/>
      <c r="Y1968" s="29"/>
      <c r="AA1968" s="18"/>
      <c r="AC1968" s="31"/>
      <c r="AE1968" s="18"/>
      <c r="AG1968" s="29"/>
    </row>
    <row r="1969" spans="1:33">
      <c r="A1969" s="29"/>
      <c r="B1969" s="29"/>
      <c r="C1969" s="29"/>
      <c r="D1969" s="29"/>
      <c r="E1969" s="30"/>
      <c r="F1969" s="30"/>
      <c r="X1969" s="29"/>
      <c r="Y1969" s="29"/>
      <c r="AA1969" s="18"/>
      <c r="AC1969" s="31"/>
      <c r="AE1969" s="18"/>
      <c r="AG1969" s="29"/>
    </row>
    <row r="1970" spans="1:33">
      <c r="A1970" s="29"/>
      <c r="B1970" s="29"/>
      <c r="C1970" s="29"/>
      <c r="D1970" s="29"/>
      <c r="E1970" s="30"/>
      <c r="F1970" s="30"/>
      <c r="X1970" s="29"/>
      <c r="Y1970" s="29"/>
      <c r="AA1970" s="18"/>
      <c r="AC1970" s="31"/>
      <c r="AE1970" s="18"/>
      <c r="AG1970" s="29"/>
    </row>
    <row r="1971" spans="1:33">
      <c r="A1971" s="29"/>
      <c r="B1971" s="29"/>
      <c r="C1971" s="29"/>
      <c r="D1971" s="29"/>
      <c r="E1971" s="30"/>
      <c r="F1971" s="30"/>
      <c r="X1971" s="29"/>
      <c r="Y1971" s="29"/>
      <c r="AA1971" s="18"/>
      <c r="AC1971" s="31"/>
      <c r="AE1971" s="18"/>
      <c r="AG1971" s="29"/>
    </row>
    <row r="1972" spans="1:33">
      <c r="A1972" s="29"/>
      <c r="B1972" s="29"/>
      <c r="C1972" s="29"/>
      <c r="D1972" s="29"/>
      <c r="E1972" s="30"/>
      <c r="F1972" s="30"/>
      <c r="X1972" s="29"/>
      <c r="Y1972" s="29"/>
      <c r="AA1972" s="18"/>
      <c r="AC1972" s="31"/>
      <c r="AE1972" s="18"/>
      <c r="AG1972" s="29"/>
    </row>
    <row r="1973" spans="1:33">
      <c r="A1973" s="29"/>
      <c r="B1973" s="29"/>
      <c r="C1973" s="29"/>
      <c r="D1973" s="29"/>
      <c r="E1973" s="30"/>
      <c r="F1973" s="30"/>
      <c r="X1973" s="29"/>
      <c r="Y1973" s="29"/>
      <c r="AA1973" s="18"/>
      <c r="AC1973" s="31"/>
      <c r="AE1973" s="18"/>
      <c r="AG1973" s="29"/>
    </row>
    <row r="1974" spans="1:33">
      <c r="A1974" s="29"/>
      <c r="B1974" s="29"/>
      <c r="C1974" s="29"/>
      <c r="D1974" s="29"/>
      <c r="E1974" s="30"/>
      <c r="F1974" s="30"/>
      <c r="X1974" s="29"/>
      <c r="Y1974" s="29"/>
      <c r="AA1974" s="18"/>
      <c r="AC1974" s="31"/>
      <c r="AE1974" s="18"/>
      <c r="AG1974" s="29"/>
    </row>
    <row r="1975" spans="1:33">
      <c r="A1975" s="29"/>
      <c r="B1975" s="29"/>
      <c r="C1975" s="29"/>
      <c r="D1975" s="29"/>
      <c r="E1975" s="30"/>
      <c r="F1975" s="30"/>
      <c r="X1975" s="29"/>
      <c r="Y1975" s="29"/>
      <c r="AA1975" s="18"/>
      <c r="AC1975" s="31"/>
      <c r="AE1975" s="18"/>
      <c r="AG1975" s="29"/>
    </row>
    <row r="1976" spans="1:33">
      <c r="A1976" s="29"/>
      <c r="B1976" s="29"/>
      <c r="C1976" s="29"/>
      <c r="D1976" s="29"/>
      <c r="E1976" s="30"/>
      <c r="F1976" s="30"/>
      <c r="X1976" s="29"/>
      <c r="Y1976" s="29"/>
      <c r="AA1976" s="18"/>
      <c r="AC1976" s="31"/>
      <c r="AE1976" s="18"/>
      <c r="AG1976" s="29"/>
    </row>
    <row r="1977" spans="1:33">
      <c r="A1977" s="29"/>
      <c r="B1977" s="29"/>
      <c r="C1977" s="29"/>
      <c r="D1977" s="29"/>
      <c r="E1977" s="30"/>
      <c r="F1977" s="30"/>
      <c r="X1977" s="29"/>
      <c r="Y1977" s="29"/>
      <c r="AA1977" s="18"/>
      <c r="AC1977" s="31"/>
      <c r="AE1977" s="18"/>
      <c r="AG1977" s="29"/>
    </row>
    <row r="1978" spans="1:33">
      <c r="A1978" s="29"/>
      <c r="B1978" s="29"/>
      <c r="C1978" s="29"/>
      <c r="D1978" s="29"/>
      <c r="E1978" s="30"/>
      <c r="F1978" s="30"/>
      <c r="X1978" s="29"/>
      <c r="Y1978" s="29"/>
      <c r="AA1978" s="18"/>
      <c r="AC1978" s="31"/>
      <c r="AE1978" s="18"/>
      <c r="AG1978" s="29"/>
    </row>
    <row r="1979" spans="1:33">
      <c r="A1979" s="29"/>
      <c r="B1979" s="29"/>
      <c r="C1979" s="29"/>
      <c r="D1979" s="29"/>
      <c r="E1979" s="30"/>
      <c r="F1979" s="30"/>
      <c r="X1979" s="29"/>
      <c r="Y1979" s="29"/>
      <c r="AA1979" s="18"/>
      <c r="AC1979" s="31"/>
      <c r="AE1979" s="18"/>
      <c r="AG1979" s="29"/>
    </row>
    <row r="1980" spans="1:33">
      <c r="A1980" s="29"/>
      <c r="B1980" s="29"/>
      <c r="C1980" s="29"/>
      <c r="D1980" s="29"/>
      <c r="E1980" s="30"/>
      <c r="F1980" s="30"/>
      <c r="X1980" s="29"/>
      <c r="Y1980" s="29"/>
      <c r="AA1980" s="18"/>
      <c r="AC1980" s="31"/>
      <c r="AE1980" s="18"/>
      <c r="AG1980" s="29"/>
    </row>
    <row r="1981" spans="1:33">
      <c r="A1981" s="29"/>
      <c r="B1981" s="29"/>
      <c r="C1981" s="29"/>
      <c r="D1981" s="29"/>
      <c r="E1981" s="30"/>
      <c r="F1981" s="30"/>
      <c r="X1981" s="29"/>
      <c r="Y1981" s="29"/>
      <c r="AA1981" s="18"/>
      <c r="AC1981" s="31"/>
      <c r="AE1981" s="18"/>
      <c r="AG1981" s="29"/>
    </row>
    <row r="1982" spans="1:33">
      <c r="A1982" s="29"/>
      <c r="B1982" s="29"/>
      <c r="C1982" s="29"/>
      <c r="D1982" s="29"/>
      <c r="E1982" s="30"/>
      <c r="F1982" s="30"/>
      <c r="X1982" s="29"/>
      <c r="Y1982" s="29"/>
      <c r="AA1982" s="18"/>
      <c r="AC1982" s="31"/>
      <c r="AE1982" s="18"/>
      <c r="AG1982" s="29"/>
    </row>
    <row r="1983" spans="1:33">
      <c r="A1983" s="29"/>
      <c r="B1983" s="29"/>
      <c r="C1983" s="29"/>
      <c r="D1983" s="29"/>
      <c r="E1983" s="30"/>
      <c r="F1983" s="30"/>
      <c r="X1983" s="29"/>
      <c r="Y1983" s="29"/>
      <c r="AA1983" s="18"/>
      <c r="AC1983" s="31"/>
      <c r="AE1983" s="18"/>
      <c r="AG1983" s="29"/>
    </row>
    <row r="1984" spans="1:33">
      <c r="A1984" s="29"/>
      <c r="B1984" s="29"/>
      <c r="C1984" s="29"/>
      <c r="D1984" s="29"/>
      <c r="E1984" s="30"/>
      <c r="F1984" s="30"/>
      <c r="X1984" s="29"/>
      <c r="Y1984" s="29"/>
      <c r="AA1984" s="18"/>
      <c r="AC1984" s="31"/>
      <c r="AE1984" s="18"/>
      <c r="AG1984" s="29"/>
    </row>
    <row r="1985" spans="1:33">
      <c r="A1985" s="29"/>
      <c r="B1985" s="29"/>
      <c r="C1985" s="29"/>
      <c r="D1985" s="29"/>
      <c r="E1985" s="30"/>
      <c r="F1985" s="30"/>
      <c r="X1985" s="29"/>
      <c r="Y1985" s="29"/>
      <c r="AA1985" s="18"/>
      <c r="AC1985" s="31"/>
      <c r="AE1985" s="18"/>
      <c r="AG1985" s="29"/>
    </row>
    <row r="1986" spans="1:33">
      <c r="A1986" s="29"/>
      <c r="B1986" s="29"/>
      <c r="C1986" s="29"/>
      <c r="D1986" s="29"/>
      <c r="E1986" s="30"/>
      <c r="F1986" s="30"/>
      <c r="X1986" s="29"/>
      <c r="Y1986" s="29"/>
      <c r="AA1986" s="18"/>
      <c r="AC1986" s="31"/>
      <c r="AE1986" s="18"/>
      <c r="AG1986" s="29"/>
    </row>
    <row r="1987" spans="1:33">
      <c r="A1987" s="29"/>
      <c r="B1987" s="29"/>
      <c r="C1987" s="29"/>
      <c r="D1987" s="29"/>
      <c r="E1987" s="30"/>
      <c r="F1987" s="30"/>
      <c r="X1987" s="29"/>
      <c r="Y1987" s="29"/>
      <c r="AA1987" s="18"/>
      <c r="AC1987" s="30"/>
      <c r="AE1987" s="18"/>
      <c r="AG1987" s="29"/>
    </row>
    <row r="1988" spans="1:33">
      <c r="A1988" s="29"/>
      <c r="B1988" s="29"/>
      <c r="C1988" s="29"/>
      <c r="D1988" s="29"/>
      <c r="E1988" s="30"/>
      <c r="F1988" s="30"/>
      <c r="X1988" s="29"/>
      <c r="Y1988" s="29"/>
      <c r="AA1988" s="18"/>
      <c r="AC1988" s="31"/>
      <c r="AE1988" s="18"/>
      <c r="AG1988" s="29"/>
    </row>
    <row r="1989" spans="1:33">
      <c r="A1989" s="29"/>
      <c r="B1989" s="29"/>
      <c r="C1989" s="29"/>
      <c r="D1989" s="29"/>
      <c r="E1989" s="30"/>
      <c r="F1989" s="30"/>
      <c r="X1989" s="29"/>
      <c r="Y1989" s="29"/>
      <c r="AA1989" s="18"/>
      <c r="AC1989" s="31"/>
      <c r="AE1989" s="18"/>
      <c r="AG1989" s="29"/>
    </row>
    <row r="1990" spans="1:33">
      <c r="A1990" s="29"/>
      <c r="B1990" s="29"/>
      <c r="C1990" s="29"/>
      <c r="D1990" s="29"/>
      <c r="E1990" s="30"/>
      <c r="F1990" s="30"/>
      <c r="X1990" s="29"/>
      <c r="Y1990" s="29"/>
      <c r="AA1990" s="18"/>
      <c r="AC1990" s="31"/>
      <c r="AE1990" s="18"/>
      <c r="AG1990" s="29"/>
    </row>
    <row r="1991" spans="1:33">
      <c r="A1991" s="29"/>
      <c r="B1991" s="29"/>
      <c r="C1991" s="29"/>
      <c r="D1991" s="29"/>
      <c r="E1991" s="30"/>
      <c r="F1991" s="30"/>
      <c r="X1991" s="29"/>
      <c r="Y1991" s="29"/>
      <c r="AA1991" s="18"/>
      <c r="AC1991" s="31"/>
      <c r="AE1991" s="18"/>
      <c r="AG1991" s="29"/>
    </row>
    <row r="1992" spans="1:33">
      <c r="A1992" s="29"/>
      <c r="B1992" s="29"/>
      <c r="C1992" s="29"/>
      <c r="D1992" s="29"/>
      <c r="E1992" s="30"/>
      <c r="F1992" s="30"/>
      <c r="X1992" s="29"/>
      <c r="Y1992" s="29"/>
      <c r="AA1992" s="18"/>
      <c r="AC1992" s="31"/>
      <c r="AE1992" s="18"/>
      <c r="AG1992" s="29"/>
    </row>
    <row r="1993" spans="1:33">
      <c r="A1993" s="29"/>
      <c r="B1993" s="29"/>
      <c r="C1993" s="29"/>
      <c r="D1993" s="29"/>
      <c r="E1993" s="30"/>
      <c r="F1993" s="30"/>
      <c r="X1993" s="29"/>
      <c r="Y1993" s="29"/>
      <c r="AA1993" s="18"/>
      <c r="AC1993" s="31"/>
      <c r="AE1993" s="18"/>
      <c r="AG1993" s="29"/>
    </row>
    <row r="1994" spans="1:33">
      <c r="A1994" s="29"/>
      <c r="B1994" s="29"/>
      <c r="C1994" s="29"/>
      <c r="D1994" s="29"/>
      <c r="E1994" s="30"/>
      <c r="F1994" s="30"/>
      <c r="X1994" s="29"/>
      <c r="Y1994" s="29"/>
      <c r="AA1994" s="18"/>
      <c r="AC1994" s="31"/>
      <c r="AE1994" s="18"/>
      <c r="AG1994" s="29"/>
    </row>
    <row r="1995" spans="1:33">
      <c r="A1995" s="29"/>
      <c r="B1995" s="29"/>
      <c r="C1995" s="29"/>
      <c r="D1995" s="29"/>
      <c r="E1995" s="30"/>
      <c r="F1995" s="30"/>
      <c r="X1995" s="29"/>
      <c r="Y1995" s="29"/>
      <c r="AA1995" s="18"/>
      <c r="AC1995" s="31"/>
      <c r="AE1995" s="18"/>
      <c r="AG1995" s="29"/>
    </row>
    <row r="1996" spans="1:33">
      <c r="A1996" s="29"/>
      <c r="B1996" s="29"/>
      <c r="C1996" s="29"/>
      <c r="D1996" s="29"/>
      <c r="E1996" s="30"/>
      <c r="F1996" s="30"/>
      <c r="X1996" s="29"/>
      <c r="Y1996" s="29"/>
      <c r="AA1996" s="18"/>
      <c r="AC1996" s="31"/>
      <c r="AE1996" s="18"/>
      <c r="AG1996" s="29"/>
    </row>
    <row r="1997" spans="1:33">
      <c r="A1997" s="29"/>
      <c r="B1997" s="29"/>
      <c r="C1997" s="29"/>
      <c r="D1997" s="29"/>
      <c r="E1997" s="30"/>
      <c r="F1997" s="30"/>
      <c r="X1997" s="29"/>
      <c r="Y1997" s="29"/>
      <c r="AA1997" s="18"/>
      <c r="AC1997" s="31"/>
      <c r="AE1997" s="18"/>
      <c r="AG1997" s="29"/>
    </row>
    <row r="1998" spans="1:33">
      <c r="A1998" s="29"/>
      <c r="B1998" s="29"/>
      <c r="C1998" s="29"/>
      <c r="D1998" s="29"/>
      <c r="E1998" s="30"/>
      <c r="F1998" s="30"/>
      <c r="X1998" s="29"/>
      <c r="Y1998" s="29"/>
      <c r="AA1998" s="18"/>
      <c r="AC1998" s="31"/>
      <c r="AE1998" s="18"/>
      <c r="AG1998" s="29"/>
    </row>
    <row r="1999" spans="1:33">
      <c r="A1999" s="29"/>
      <c r="B1999" s="29"/>
      <c r="C1999" s="29"/>
      <c r="D1999" s="29"/>
      <c r="E1999" s="30"/>
      <c r="F1999" s="30"/>
      <c r="X1999" s="29"/>
      <c r="Y1999" s="29"/>
      <c r="AA1999" s="18"/>
      <c r="AC1999" s="31"/>
      <c r="AE1999" s="18"/>
      <c r="AG1999" s="29"/>
    </row>
    <row r="2000" spans="1:33">
      <c r="A2000" s="29"/>
      <c r="B2000" s="29"/>
      <c r="C2000" s="29"/>
      <c r="D2000" s="29"/>
      <c r="E2000" s="30"/>
      <c r="F2000" s="30"/>
      <c r="X2000" s="29"/>
      <c r="Y2000" s="29"/>
      <c r="AA2000" s="18"/>
      <c r="AC2000" s="31"/>
      <c r="AE2000" s="18"/>
      <c r="AG2000" s="29"/>
    </row>
    <row r="2001" spans="1:33">
      <c r="A2001" s="29"/>
      <c r="B2001" s="29"/>
      <c r="C2001" s="29"/>
      <c r="D2001" s="29"/>
      <c r="E2001" s="30"/>
      <c r="F2001" s="30"/>
      <c r="X2001" s="29"/>
      <c r="Y2001" s="29"/>
      <c r="AA2001" s="18"/>
      <c r="AC2001" s="31"/>
      <c r="AE2001" s="18"/>
      <c r="AG2001" s="29"/>
    </row>
    <row r="2002" spans="1:33">
      <c r="A2002" s="29"/>
      <c r="B2002" s="29"/>
      <c r="C2002" s="29"/>
      <c r="D2002" s="29"/>
      <c r="E2002" s="30"/>
      <c r="F2002" s="30"/>
      <c r="X2002" s="29"/>
      <c r="Y2002" s="29"/>
      <c r="AA2002" s="18"/>
      <c r="AC2002" s="31"/>
      <c r="AE2002" s="18"/>
      <c r="AG2002" s="29"/>
    </row>
    <row r="2003" spans="1:33">
      <c r="A2003" s="29"/>
      <c r="B2003" s="29"/>
      <c r="C2003" s="29"/>
      <c r="D2003" s="29"/>
      <c r="E2003" s="30"/>
      <c r="F2003" s="30"/>
      <c r="X2003" s="29"/>
      <c r="Y2003" s="29"/>
      <c r="AA2003" s="18"/>
      <c r="AC2003" s="31"/>
      <c r="AE2003" s="18"/>
      <c r="AG2003" s="29"/>
    </row>
    <row r="2004" spans="1:33">
      <c r="A2004" s="29"/>
      <c r="B2004" s="29"/>
      <c r="C2004" s="29"/>
      <c r="D2004" s="29"/>
      <c r="E2004" s="30"/>
      <c r="F2004" s="30"/>
      <c r="X2004" s="29"/>
      <c r="Y2004" s="29"/>
      <c r="AA2004" s="18"/>
      <c r="AC2004" s="31"/>
      <c r="AE2004" s="18"/>
      <c r="AG2004" s="29"/>
    </row>
    <row r="2005" spans="1:33">
      <c r="A2005" s="29"/>
      <c r="B2005" s="29"/>
      <c r="C2005" s="29"/>
      <c r="D2005" s="29"/>
      <c r="E2005" s="30"/>
      <c r="F2005" s="30"/>
      <c r="X2005" s="29"/>
      <c r="Y2005" s="29"/>
      <c r="AA2005" s="18"/>
      <c r="AC2005" s="31"/>
      <c r="AE2005" s="18"/>
      <c r="AG2005" s="29"/>
    </row>
    <row r="2006" spans="1:33">
      <c r="A2006" s="29"/>
      <c r="B2006" s="29"/>
      <c r="C2006" s="29"/>
      <c r="D2006" s="29"/>
      <c r="E2006" s="30"/>
      <c r="F2006" s="30"/>
      <c r="X2006" s="29"/>
      <c r="Y2006" s="29"/>
      <c r="AA2006" s="18"/>
      <c r="AC2006" s="31"/>
      <c r="AE2006" s="18"/>
      <c r="AG2006" s="29"/>
    </row>
    <row r="2007" spans="1:33">
      <c r="A2007" s="29"/>
      <c r="B2007" s="29"/>
      <c r="C2007" s="29"/>
      <c r="D2007" s="29"/>
      <c r="E2007" s="30"/>
      <c r="F2007" s="30"/>
      <c r="X2007" s="29"/>
      <c r="Y2007" s="29"/>
      <c r="AA2007" s="18"/>
      <c r="AC2007" s="31"/>
      <c r="AE2007" s="18"/>
      <c r="AG2007" s="29"/>
    </row>
    <row r="2008" spans="1:33">
      <c r="A2008" s="29"/>
      <c r="B2008" s="29"/>
      <c r="C2008" s="29"/>
      <c r="D2008" s="29"/>
      <c r="E2008" s="30"/>
      <c r="F2008" s="30"/>
      <c r="X2008" s="29"/>
      <c r="Y2008" s="29"/>
      <c r="AA2008" s="18"/>
      <c r="AC2008" s="31"/>
      <c r="AE2008" s="18"/>
      <c r="AG2008" s="29"/>
    </row>
    <row r="2009" spans="1:33">
      <c r="A2009" s="29"/>
      <c r="B2009" s="29"/>
      <c r="C2009" s="29"/>
      <c r="D2009" s="29"/>
      <c r="E2009" s="30"/>
      <c r="F2009" s="30"/>
      <c r="X2009" s="29"/>
      <c r="Y2009" s="29"/>
      <c r="AA2009" s="18"/>
      <c r="AC2009" s="31"/>
      <c r="AE2009" s="18"/>
      <c r="AG2009" s="29"/>
    </row>
    <row r="2010" spans="1:33">
      <c r="A2010" s="29"/>
      <c r="B2010" s="29"/>
      <c r="C2010" s="29"/>
      <c r="D2010" s="29"/>
      <c r="E2010" s="30"/>
      <c r="F2010" s="30"/>
      <c r="X2010" s="29"/>
      <c r="Y2010" s="29"/>
      <c r="AA2010" s="18"/>
      <c r="AC2010" s="31"/>
      <c r="AE2010" s="18"/>
      <c r="AG2010" s="29"/>
    </row>
    <row r="2011" spans="1:33">
      <c r="A2011" s="29"/>
      <c r="B2011" s="29"/>
      <c r="C2011" s="29"/>
      <c r="D2011" s="29"/>
      <c r="E2011" s="30"/>
      <c r="F2011" s="30"/>
      <c r="X2011" s="29"/>
      <c r="Y2011" s="29"/>
      <c r="AA2011" s="18"/>
      <c r="AC2011" s="31"/>
      <c r="AE2011" s="18"/>
      <c r="AG2011" s="29"/>
    </row>
    <row r="2012" spans="1:33">
      <c r="A2012" s="29"/>
      <c r="B2012" s="29"/>
      <c r="C2012" s="29"/>
      <c r="D2012" s="29"/>
      <c r="E2012" s="30"/>
      <c r="F2012" s="30"/>
      <c r="X2012" s="29"/>
      <c r="Y2012" s="29"/>
      <c r="AA2012" s="18"/>
      <c r="AC2012" s="31"/>
      <c r="AE2012" s="18"/>
      <c r="AG2012" s="29"/>
    </row>
    <row r="2013" spans="1:33">
      <c r="A2013" s="29"/>
      <c r="B2013" s="29"/>
      <c r="C2013" s="29"/>
      <c r="D2013" s="29"/>
      <c r="E2013" s="30"/>
      <c r="F2013" s="30"/>
      <c r="X2013" s="29"/>
      <c r="Y2013" s="29"/>
      <c r="AA2013" s="18"/>
      <c r="AC2013" s="31"/>
      <c r="AE2013" s="18"/>
      <c r="AG2013" s="29"/>
    </row>
    <row r="2014" spans="1:33">
      <c r="A2014" s="29"/>
      <c r="B2014" s="29"/>
      <c r="C2014" s="29"/>
      <c r="D2014" s="29"/>
      <c r="E2014" s="30"/>
      <c r="F2014" s="30"/>
      <c r="X2014" s="29"/>
      <c r="Y2014" s="29"/>
      <c r="AA2014" s="18"/>
      <c r="AC2014" s="31"/>
      <c r="AE2014" s="18"/>
      <c r="AG2014" s="29"/>
    </row>
    <row r="2015" spans="1:33">
      <c r="A2015" s="29"/>
      <c r="B2015" s="29"/>
      <c r="C2015" s="29"/>
      <c r="D2015" s="29"/>
      <c r="E2015" s="30"/>
      <c r="F2015" s="30"/>
      <c r="X2015" s="29"/>
      <c r="Y2015" s="29"/>
      <c r="AA2015" s="18"/>
      <c r="AC2015" s="31"/>
      <c r="AE2015" s="18"/>
      <c r="AG2015" s="29"/>
    </row>
    <row r="2016" spans="1:33">
      <c r="A2016" s="29"/>
      <c r="B2016" s="29"/>
      <c r="C2016" s="29"/>
      <c r="D2016" s="29"/>
      <c r="E2016" s="30"/>
      <c r="F2016" s="30"/>
      <c r="X2016" s="29"/>
      <c r="Y2016" s="29"/>
      <c r="AA2016" s="18"/>
      <c r="AC2016" s="31"/>
      <c r="AE2016" s="18"/>
      <c r="AG2016" s="29"/>
    </row>
    <row r="2017" spans="1:33">
      <c r="A2017" s="29"/>
      <c r="B2017" s="29"/>
      <c r="C2017" s="29"/>
      <c r="D2017" s="29"/>
      <c r="E2017" s="30"/>
      <c r="F2017" s="30"/>
      <c r="X2017" s="29"/>
      <c r="Y2017" s="29"/>
      <c r="AA2017" s="18"/>
      <c r="AC2017" s="31"/>
      <c r="AE2017" s="18"/>
      <c r="AG2017" s="29"/>
    </row>
    <row r="2018" spans="1:33">
      <c r="A2018" s="29"/>
      <c r="B2018" s="29"/>
      <c r="C2018" s="29"/>
      <c r="D2018" s="29"/>
      <c r="E2018" s="30"/>
      <c r="F2018" s="30"/>
      <c r="X2018" s="29"/>
      <c r="Y2018" s="29"/>
      <c r="AA2018" s="18"/>
      <c r="AC2018" s="31"/>
      <c r="AE2018" s="18"/>
      <c r="AG2018" s="29"/>
    </row>
    <row r="2019" spans="1:33">
      <c r="A2019" s="29"/>
      <c r="B2019" s="29"/>
      <c r="C2019" s="29"/>
      <c r="D2019" s="29"/>
      <c r="E2019" s="30"/>
      <c r="F2019" s="30"/>
      <c r="X2019" s="29"/>
      <c r="Y2019" s="29"/>
      <c r="AA2019" s="18"/>
      <c r="AC2019" s="31"/>
      <c r="AE2019" s="18"/>
      <c r="AG2019" s="29"/>
    </row>
    <row r="2020" spans="1:33">
      <c r="A2020" s="29"/>
      <c r="B2020" s="29"/>
      <c r="C2020" s="29"/>
      <c r="D2020" s="29"/>
      <c r="E2020" s="30"/>
      <c r="F2020" s="30"/>
      <c r="X2020" s="29"/>
      <c r="Y2020" s="29"/>
      <c r="AA2020" s="18"/>
      <c r="AC2020" s="31"/>
      <c r="AE2020" s="18"/>
      <c r="AG2020" s="29"/>
    </row>
    <row r="2021" spans="1:33">
      <c r="A2021" s="29"/>
      <c r="B2021" s="29"/>
      <c r="C2021" s="29"/>
      <c r="D2021" s="29"/>
      <c r="E2021" s="30"/>
      <c r="F2021" s="30"/>
      <c r="X2021" s="29"/>
      <c r="Y2021" s="29"/>
      <c r="AA2021" s="18"/>
      <c r="AC2021" s="31"/>
      <c r="AE2021" s="18"/>
      <c r="AG2021" s="29"/>
    </row>
    <row r="2022" spans="1:33">
      <c r="A2022" s="29"/>
      <c r="B2022" s="29"/>
      <c r="C2022" s="29"/>
      <c r="D2022" s="29"/>
      <c r="E2022" s="30"/>
      <c r="F2022" s="30"/>
      <c r="X2022" s="29"/>
      <c r="Y2022" s="29"/>
      <c r="AA2022" s="18"/>
      <c r="AC2022" s="31"/>
      <c r="AE2022" s="18"/>
      <c r="AG2022" s="29"/>
    </row>
    <row r="2023" spans="1:33">
      <c r="A2023" s="29"/>
      <c r="B2023" s="29"/>
      <c r="C2023" s="29"/>
      <c r="D2023" s="29"/>
      <c r="E2023" s="30"/>
      <c r="F2023" s="30"/>
      <c r="X2023" s="29"/>
      <c r="Y2023" s="29"/>
      <c r="AA2023" s="18"/>
      <c r="AC2023" s="31"/>
      <c r="AE2023" s="18"/>
      <c r="AG2023" s="29"/>
    </row>
    <row r="2024" spans="1:33">
      <c r="A2024" s="29"/>
      <c r="B2024" s="29"/>
      <c r="C2024" s="29"/>
      <c r="D2024" s="29"/>
      <c r="E2024" s="30"/>
      <c r="F2024" s="30"/>
      <c r="X2024" s="29"/>
      <c r="Y2024" s="29"/>
      <c r="AA2024" s="18"/>
      <c r="AC2024" s="31"/>
      <c r="AE2024" s="18"/>
      <c r="AG2024" s="29"/>
    </row>
    <row r="2025" spans="1:33">
      <c r="A2025" s="29"/>
      <c r="B2025" s="29"/>
      <c r="C2025" s="29"/>
      <c r="D2025" s="29"/>
      <c r="E2025" s="30"/>
      <c r="F2025" s="30"/>
      <c r="X2025" s="29"/>
      <c r="Y2025" s="29"/>
      <c r="AA2025" s="18"/>
      <c r="AC2025" s="31"/>
      <c r="AE2025" s="18"/>
      <c r="AG2025" s="29"/>
    </row>
    <row r="2026" spans="1:33">
      <c r="A2026" s="29"/>
      <c r="B2026" s="29"/>
      <c r="C2026" s="29"/>
      <c r="D2026" s="29"/>
      <c r="E2026" s="30"/>
      <c r="F2026" s="30"/>
      <c r="X2026" s="29"/>
      <c r="Y2026" s="29"/>
      <c r="AA2026" s="18"/>
      <c r="AC2026" s="31"/>
      <c r="AE2026" s="18"/>
      <c r="AG2026" s="29"/>
    </row>
    <row r="2027" spans="1:33">
      <c r="A2027" s="29"/>
      <c r="B2027" s="29"/>
      <c r="C2027" s="29"/>
      <c r="D2027" s="29"/>
      <c r="E2027" s="30"/>
      <c r="F2027" s="30"/>
      <c r="X2027" s="29"/>
      <c r="Y2027" s="29"/>
      <c r="AA2027" s="18"/>
      <c r="AC2027" s="31"/>
      <c r="AE2027" s="18"/>
      <c r="AG2027" s="29"/>
    </row>
    <row r="2028" spans="1:33">
      <c r="A2028" s="29"/>
      <c r="B2028" s="29"/>
      <c r="C2028" s="29"/>
      <c r="D2028" s="29"/>
      <c r="E2028" s="30"/>
      <c r="F2028" s="30"/>
      <c r="X2028" s="29"/>
      <c r="Y2028" s="29"/>
      <c r="AA2028" s="18"/>
      <c r="AC2028" s="31"/>
      <c r="AE2028" s="18"/>
      <c r="AG2028" s="29"/>
    </row>
    <row r="2029" spans="1:33">
      <c r="A2029" s="29"/>
      <c r="B2029" s="29"/>
      <c r="C2029" s="29"/>
      <c r="D2029" s="29"/>
      <c r="E2029" s="30"/>
      <c r="F2029" s="30"/>
      <c r="X2029" s="29"/>
      <c r="Y2029" s="29"/>
      <c r="AA2029" s="18"/>
      <c r="AC2029" s="31"/>
      <c r="AE2029" s="18"/>
      <c r="AG2029" s="29"/>
    </row>
    <row r="2030" spans="1:33">
      <c r="A2030" s="29"/>
      <c r="B2030" s="29"/>
      <c r="C2030" s="29"/>
      <c r="D2030" s="29"/>
      <c r="E2030" s="30"/>
      <c r="F2030" s="30"/>
      <c r="X2030" s="29"/>
      <c r="Y2030" s="29"/>
      <c r="AA2030" s="18"/>
      <c r="AC2030" s="31"/>
      <c r="AE2030" s="18"/>
      <c r="AG2030" s="29"/>
    </row>
    <row r="2031" spans="1:33">
      <c r="A2031" s="29"/>
      <c r="B2031" s="29"/>
      <c r="C2031" s="29"/>
      <c r="D2031" s="29"/>
      <c r="E2031" s="30"/>
      <c r="F2031" s="30"/>
      <c r="X2031" s="29"/>
      <c r="Y2031" s="29"/>
      <c r="AA2031" s="18"/>
      <c r="AC2031" s="30"/>
      <c r="AE2031" s="18"/>
      <c r="AG2031" s="29"/>
    </row>
    <row r="2032" spans="1:33">
      <c r="A2032" s="29"/>
      <c r="B2032" s="29"/>
      <c r="C2032" s="29"/>
      <c r="D2032" s="29"/>
      <c r="E2032" s="30"/>
      <c r="F2032" s="30"/>
      <c r="X2032" s="29"/>
      <c r="Y2032" s="29"/>
      <c r="AA2032" s="18"/>
      <c r="AC2032" s="31"/>
      <c r="AE2032" s="18"/>
      <c r="AG2032" s="29"/>
    </row>
    <row r="2033" spans="1:33">
      <c r="A2033" s="29"/>
      <c r="B2033" s="29"/>
      <c r="C2033" s="29"/>
      <c r="D2033" s="29"/>
      <c r="E2033" s="30"/>
      <c r="F2033" s="30"/>
      <c r="X2033" s="29"/>
      <c r="Y2033" s="29"/>
      <c r="AA2033" s="18"/>
      <c r="AC2033" s="31"/>
      <c r="AE2033" s="18"/>
      <c r="AG2033" s="29"/>
    </row>
    <row r="2034" spans="1:33">
      <c r="A2034" s="29"/>
      <c r="B2034" s="29"/>
      <c r="C2034" s="29"/>
      <c r="D2034" s="29"/>
      <c r="E2034" s="30"/>
      <c r="F2034" s="30"/>
      <c r="X2034" s="29"/>
      <c r="Y2034" s="29"/>
      <c r="AA2034" s="18"/>
      <c r="AC2034" s="31"/>
      <c r="AE2034" s="18"/>
      <c r="AG2034" s="29"/>
    </row>
    <row r="2035" spans="1:33">
      <c r="A2035" s="29"/>
      <c r="B2035" s="29"/>
      <c r="C2035" s="29"/>
      <c r="D2035" s="29"/>
      <c r="E2035" s="30"/>
      <c r="F2035" s="30"/>
      <c r="X2035" s="29"/>
      <c r="Y2035" s="29"/>
      <c r="AA2035" s="18"/>
      <c r="AC2035" s="31"/>
      <c r="AE2035" s="18"/>
      <c r="AG2035" s="29"/>
    </row>
    <row r="2036" spans="1:33">
      <c r="A2036" s="29"/>
      <c r="B2036" s="29"/>
      <c r="C2036" s="29"/>
      <c r="D2036" s="29"/>
      <c r="E2036" s="30"/>
      <c r="F2036" s="30"/>
      <c r="X2036" s="29"/>
      <c r="Y2036" s="29"/>
      <c r="AA2036" s="18"/>
      <c r="AC2036" s="31"/>
      <c r="AE2036" s="18"/>
      <c r="AG2036" s="29"/>
    </row>
    <row r="2037" spans="1:33">
      <c r="A2037" s="29"/>
      <c r="B2037" s="29"/>
      <c r="C2037" s="29"/>
      <c r="D2037" s="29"/>
      <c r="E2037" s="30"/>
      <c r="F2037" s="30"/>
      <c r="X2037" s="29"/>
      <c r="Y2037" s="29"/>
      <c r="AA2037" s="18"/>
      <c r="AC2037" s="31"/>
      <c r="AE2037" s="18"/>
      <c r="AG2037" s="29"/>
    </row>
    <row r="2038" spans="1:33">
      <c r="A2038" s="29"/>
      <c r="B2038" s="29"/>
      <c r="C2038" s="29"/>
      <c r="D2038" s="29"/>
      <c r="E2038" s="30"/>
      <c r="F2038" s="30"/>
      <c r="X2038" s="29"/>
      <c r="Y2038" s="29"/>
      <c r="AA2038" s="18"/>
      <c r="AC2038" s="31"/>
      <c r="AE2038" s="18"/>
      <c r="AG2038" s="29"/>
    </row>
    <row r="2039" spans="1:33">
      <c r="A2039" s="29"/>
      <c r="B2039" s="29"/>
      <c r="C2039" s="29"/>
      <c r="D2039" s="29"/>
      <c r="E2039" s="30"/>
      <c r="F2039" s="30"/>
      <c r="X2039" s="29"/>
      <c r="Y2039" s="29"/>
      <c r="AA2039" s="18"/>
      <c r="AC2039" s="31"/>
      <c r="AE2039" s="18"/>
      <c r="AG2039" s="29"/>
    </row>
    <row r="2040" spans="1:33">
      <c r="A2040" s="29"/>
      <c r="B2040" s="29"/>
      <c r="C2040" s="29"/>
      <c r="D2040" s="29"/>
      <c r="E2040" s="30"/>
      <c r="F2040" s="30"/>
      <c r="X2040" s="29"/>
      <c r="Y2040" s="29"/>
      <c r="AA2040" s="18"/>
      <c r="AC2040" s="31"/>
      <c r="AE2040" s="18"/>
      <c r="AG2040" s="29"/>
    </row>
    <row r="2041" spans="1:33">
      <c r="A2041" s="29"/>
      <c r="B2041" s="29"/>
      <c r="C2041" s="29"/>
      <c r="D2041" s="29"/>
      <c r="E2041" s="30"/>
      <c r="F2041" s="30"/>
      <c r="X2041" s="29"/>
      <c r="Y2041" s="29"/>
      <c r="AA2041" s="18"/>
      <c r="AC2041" s="31"/>
      <c r="AE2041" s="18"/>
      <c r="AG2041" s="29"/>
    </row>
    <row r="2042" spans="1:33">
      <c r="A2042" s="29"/>
      <c r="B2042" s="29"/>
      <c r="C2042" s="29"/>
      <c r="D2042" s="29"/>
      <c r="E2042" s="30"/>
      <c r="F2042" s="30"/>
      <c r="X2042" s="29"/>
      <c r="Y2042" s="29"/>
      <c r="AA2042" s="18"/>
      <c r="AC2042" s="30"/>
      <c r="AE2042" s="18"/>
      <c r="AG2042" s="29"/>
    </row>
    <row r="2043" spans="1:33">
      <c r="A2043" s="29"/>
      <c r="B2043" s="29"/>
      <c r="C2043" s="29"/>
      <c r="D2043" s="29"/>
      <c r="E2043" s="30"/>
      <c r="F2043" s="30"/>
      <c r="X2043" s="29"/>
      <c r="Y2043" s="29"/>
      <c r="AA2043" s="18"/>
      <c r="AC2043" s="31"/>
      <c r="AE2043" s="18"/>
      <c r="AG2043" s="29"/>
    </row>
    <row r="2044" spans="1:33">
      <c r="A2044" s="29"/>
      <c r="B2044" s="29"/>
      <c r="C2044" s="29"/>
      <c r="D2044" s="29"/>
      <c r="E2044" s="30"/>
      <c r="F2044" s="30"/>
      <c r="X2044" s="29"/>
      <c r="Y2044" s="29"/>
      <c r="AA2044" s="18"/>
      <c r="AC2044" s="31"/>
      <c r="AE2044" s="18"/>
      <c r="AG2044" s="29"/>
    </row>
    <row r="2045" spans="1:33">
      <c r="A2045" s="29"/>
      <c r="B2045" s="29"/>
      <c r="C2045" s="29"/>
      <c r="D2045" s="29"/>
      <c r="E2045" s="30"/>
      <c r="F2045" s="30"/>
      <c r="X2045" s="29"/>
      <c r="Y2045" s="29"/>
      <c r="AA2045" s="18"/>
      <c r="AC2045" s="31"/>
      <c r="AE2045" s="18"/>
      <c r="AG2045" s="29"/>
    </row>
    <row r="2046" spans="1:33">
      <c r="A2046" s="29"/>
      <c r="B2046" s="29"/>
      <c r="C2046" s="29"/>
      <c r="D2046" s="29"/>
      <c r="E2046" s="30"/>
      <c r="F2046" s="30"/>
      <c r="X2046" s="29"/>
      <c r="Y2046" s="29"/>
      <c r="AA2046" s="18"/>
      <c r="AC2046" s="31"/>
      <c r="AE2046" s="18"/>
      <c r="AG2046" s="29"/>
    </row>
    <row r="2047" spans="1:33">
      <c r="A2047" s="29"/>
      <c r="B2047" s="29"/>
      <c r="C2047" s="29"/>
      <c r="D2047" s="29"/>
      <c r="E2047" s="30"/>
      <c r="F2047" s="30"/>
      <c r="X2047" s="29"/>
      <c r="Y2047" s="29"/>
      <c r="AA2047" s="18"/>
      <c r="AC2047" s="31"/>
      <c r="AE2047" s="18"/>
      <c r="AG2047" s="29"/>
    </row>
    <row r="2048" spans="1:33">
      <c r="A2048" s="29"/>
      <c r="B2048" s="29"/>
      <c r="C2048" s="29"/>
      <c r="D2048" s="29"/>
      <c r="E2048" s="30"/>
      <c r="F2048" s="30"/>
      <c r="X2048" s="29"/>
      <c r="Y2048" s="29"/>
      <c r="AA2048" s="18"/>
      <c r="AC2048" s="31"/>
      <c r="AE2048" s="18"/>
      <c r="AG2048" s="29"/>
    </row>
    <row r="2049" spans="1:33">
      <c r="A2049" s="29"/>
      <c r="B2049" s="29"/>
      <c r="C2049" s="29"/>
      <c r="D2049" s="29"/>
      <c r="E2049" s="30"/>
      <c r="F2049" s="30"/>
      <c r="X2049" s="29"/>
      <c r="Y2049" s="29"/>
      <c r="AA2049" s="18"/>
      <c r="AC2049" s="31"/>
      <c r="AE2049" s="18"/>
      <c r="AG2049" s="29"/>
    </row>
    <row r="2050" spans="1:33">
      <c r="A2050" s="29"/>
      <c r="B2050" s="29"/>
      <c r="C2050" s="29"/>
      <c r="D2050" s="29"/>
      <c r="E2050" s="30"/>
      <c r="F2050" s="30"/>
      <c r="X2050" s="29"/>
      <c r="Y2050" s="29"/>
      <c r="AA2050" s="18"/>
      <c r="AC2050" s="31"/>
      <c r="AE2050" s="18"/>
      <c r="AG2050" s="29"/>
    </row>
    <row r="2051" spans="1:33">
      <c r="A2051" s="29"/>
      <c r="B2051" s="29"/>
      <c r="C2051" s="29"/>
      <c r="D2051" s="29"/>
      <c r="E2051" s="30"/>
      <c r="F2051" s="30"/>
      <c r="X2051" s="29"/>
      <c r="Y2051" s="29"/>
      <c r="AA2051" s="18"/>
      <c r="AC2051" s="31"/>
      <c r="AE2051" s="18"/>
      <c r="AG2051" s="29"/>
    </row>
    <row r="2052" spans="1:33">
      <c r="A2052" s="29"/>
      <c r="B2052" s="29"/>
      <c r="C2052" s="29"/>
      <c r="D2052" s="29"/>
      <c r="E2052" s="30"/>
      <c r="F2052" s="30"/>
      <c r="X2052" s="29"/>
      <c r="Y2052" s="29"/>
      <c r="AA2052" s="18"/>
      <c r="AC2052" s="31"/>
      <c r="AE2052" s="18"/>
      <c r="AG2052" s="29"/>
    </row>
    <row r="2053" spans="1:33">
      <c r="A2053" s="29"/>
      <c r="B2053" s="29"/>
      <c r="C2053" s="29"/>
      <c r="D2053" s="29"/>
      <c r="E2053" s="30"/>
      <c r="F2053" s="30"/>
      <c r="X2053" s="29"/>
      <c r="Y2053" s="29"/>
      <c r="AA2053" s="18"/>
      <c r="AC2053" s="31"/>
      <c r="AE2053" s="18"/>
      <c r="AG2053" s="29"/>
    </row>
    <row r="2054" spans="1:33">
      <c r="A2054" s="29"/>
      <c r="B2054" s="29"/>
      <c r="C2054" s="29"/>
      <c r="D2054" s="29"/>
      <c r="E2054" s="30"/>
      <c r="F2054" s="30"/>
      <c r="X2054" s="29"/>
      <c r="Y2054" s="29"/>
      <c r="AA2054" s="18"/>
      <c r="AC2054" s="31"/>
      <c r="AE2054" s="18"/>
      <c r="AG2054" s="29"/>
    </row>
    <row r="2055" spans="1:33">
      <c r="A2055" s="29"/>
      <c r="B2055" s="29"/>
      <c r="C2055" s="29"/>
      <c r="D2055" s="29"/>
      <c r="E2055" s="30"/>
      <c r="F2055" s="30"/>
      <c r="X2055" s="29"/>
      <c r="Y2055" s="29"/>
      <c r="AA2055" s="18"/>
      <c r="AC2055" s="31"/>
      <c r="AE2055" s="18"/>
      <c r="AG2055" s="29"/>
    </row>
    <row r="2056" spans="1:33">
      <c r="A2056" s="29"/>
      <c r="B2056" s="29"/>
      <c r="C2056" s="29"/>
      <c r="D2056" s="29"/>
      <c r="E2056" s="30"/>
      <c r="F2056" s="30"/>
      <c r="X2056" s="29"/>
      <c r="Y2056" s="29"/>
      <c r="AA2056" s="18"/>
      <c r="AC2056" s="31"/>
      <c r="AE2056" s="18"/>
      <c r="AG2056" s="29"/>
    </row>
    <row r="2057" spans="1:33">
      <c r="A2057" s="29"/>
      <c r="B2057" s="29"/>
      <c r="C2057" s="29"/>
      <c r="D2057" s="29"/>
      <c r="E2057" s="30"/>
      <c r="F2057" s="30"/>
      <c r="X2057" s="29"/>
      <c r="Y2057" s="29"/>
      <c r="AA2057" s="18"/>
      <c r="AC2057" s="31"/>
      <c r="AE2057" s="18"/>
      <c r="AG2057" s="29"/>
    </row>
    <row r="2058" spans="1:33">
      <c r="A2058" s="29"/>
      <c r="B2058" s="29"/>
      <c r="C2058" s="29"/>
      <c r="D2058" s="29"/>
      <c r="E2058" s="30"/>
      <c r="F2058" s="30"/>
      <c r="X2058" s="29"/>
      <c r="Y2058" s="29"/>
      <c r="AA2058" s="18"/>
      <c r="AC2058" s="31"/>
      <c r="AE2058" s="18"/>
      <c r="AG2058" s="29"/>
    </row>
    <row r="2059" spans="1:33">
      <c r="A2059" s="29"/>
      <c r="B2059" s="29"/>
      <c r="C2059" s="29"/>
      <c r="D2059" s="29"/>
      <c r="E2059" s="30"/>
      <c r="F2059" s="30"/>
      <c r="X2059" s="29"/>
      <c r="Y2059" s="29"/>
      <c r="AA2059" s="18"/>
      <c r="AC2059" s="31"/>
      <c r="AE2059" s="18"/>
      <c r="AG2059" s="29"/>
    </row>
    <row r="2060" spans="1:33">
      <c r="A2060" s="29"/>
      <c r="B2060" s="29"/>
      <c r="C2060" s="29"/>
      <c r="D2060" s="29"/>
      <c r="E2060" s="30"/>
      <c r="F2060" s="30"/>
      <c r="X2060" s="29"/>
      <c r="Y2060" s="29"/>
      <c r="AA2060" s="18"/>
      <c r="AC2060" s="31"/>
      <c r="AE2060" s="18"/>
      <c r="AG2060" s="29"/>
    </row>
    <row r="2061" spans="1:33">
      <c r="A2061" s="29"/>
      <c r="B2061" s="29"/>
      <c r="C2061" s="29"/>
      <c r="D2061" s="29"/>
      <c r="E2061" s="30"/>
      <c r="F2061" s="30"/>
      <c r="X2061" s="29"/>
      <c r="Y2061" s="29"/>
      <c r="AA2061" s="18"/>
      <c r="AC2061" s="31"/>
      <c r="AE2061" s="18"/>
      <c r="AG2061" s="29"/>
    </row>
    <row r="2062" spans="1:33">
      <c r="A2062" s="29"/>
      <c r="B2062" s="29"/>
      <c r="C2062" s="29"/>
      <c r="D2062" s="29"/>
      <c r="E2062" s="30"/>
      <c r="F2062" s="30"/>
      <c r="X2062" s="29"/>
      <c r="Y2062" s="29"/>
      <c r="AA2062" s="18"/>
      <c r="AC2062" s="31"/>
      <c r="AE2062" s="18"/>
      <c r="AG2062" s="29"/>
    </row>
    <row r="2063" spans="1:33">
      <c r="A2063" s="29"/>
      <c r="B2063" s="29"/>
      <c r="C2063" s="29"/>
      <c r="D2063" s="29"/>
      <c r="E2063" s="30"/>
      <c r="F2063" s="30"/>
      <c r="X2063" s="29"/>
      <c r="Y2063" s="29"/>
      <c r="AA2063" s="18"/>
      <c r="AC2063" s="31"/>
      <c r="AE2063" s="18"/>
      <c r="AG2063" s="29"/>
    </row>
    <row r="2064" spans="1:33">
      <c r="A2064" s="29"/>
      <c r="B2064" s="29"/>
      <c r="C2064" s="29"/>
      <c r="D2064" s="29"/>
      <c r="E2064" s="30"/>
      <c r="F2064" s="30"/>
      <c r="X2064" s="29"/>
      <c r="Y2064" s="29"/>
      <c r="AA2064" s="18"/>
      <c r="AC2064" s="31"/>
      <c r="AE2064" s="18"/>
      <c r="AG2064" s="29"/>
    </row>
    <row r="2065" spans="1:33">
      <c r="A2065" s="29"/>
      <c r="B2065" s="29"/>
      <c r="C2065" s="29"/>
      <c r="D2065" s="29"/>
      <c r="E2065" s="30"/>
      <c r="F2065" s="30"/>
      <c r="X2065" s="29"/>
      <c r="Y2065" s="29"/>
      <c r="AA2065" s="18"/>
      <c r="AC2065" s="31"/>
      <c r="AE2065" s="18"/>
      <c r="AG2065" s="29"/>
    </row>
    <row r="2066" spans="1:33">
      <c r="A2066" s="29"/>
      <c r="B2066" s="29"/>
      <c r="C2066" s="29"/>
      <c r="D2066" s="29"/>
      <c r="E2066" s="30"/>
      <c r="F2066" s="30"/>
      <c r="X2066" s="29"/>
      <c r="Y2066" s="29"/>
      <c r="AA2066" s="18"/>
      <c r="AC2066" s="31"/>
      <c r="AE2066" s="18"/>
      <c r="AG2066" s="29"/>
    </row>
    <row r="2067" spans="1:33">
      <c r="A2067" s="29"/>
      <c r="B2067" s="29"/>
      <c r="C2067" s="29"/>
      <c r="D2067" s="29"/>
      <c r="E2067" s="30"/>
      <c r="F2067" s="30"/>
      <c r="X2067" s="29"/>
      <c r="Y2067" s="29"/>
      <c r="AA2067" s="18"/>
      <c r="AC2067" s="31"/>
      <c r="AE2067" s="18"/>
      <c r="AG2067" s="29"/>
    </row>
    <row r="2068" spans="1:33">
      <c r="A2068" s="29"/>
      <c r="B2068" s="29"/>
      <c r="C2068" s="29"/>
      <c r="D2068" s="29"/>
      <c r="E2068" s="30"/>
      <c r="F2068" s="30"/>
      <c r="X2068" s="29"/>
      <c r="Y2068" s="29"/>
      <c r="AA2068" s="18"/>
      <c r="AC2068" s="31"/>
      <c r="AE2068" s="18"/>
      <c r="AG2068" s="29"/>
    </row>
    <row r="2069" spans="1:33">
      <c r="A2069" s="29"/>
      <c r="B2069" s="29"/>
      <c r="C2069" s="29"/>
      <c r="D2069" s="29"/>
      <c r="E2069" s="30"/>
      <c r="F2069" s="30"/>
      <c r="X2069" s="29"/>
      <c r="Y2069" s="29"/>
      <c r="AA2069" s="18"/>
      <c r="AC2069" s="31"/>
      <c r="AE2069" s="18"/>
      <c r="AG2069" s="29"/>
    </row>
    <row r="2070" spans="1:33">
      <c r="A2070" s="29"/>
      <c r="B2070" s="29"/>
      <c r="C2070" s="29"/>
      <c r="D2070" s="29"/>
      <c r="E2070" s="30"/>
      <c r="F2070" s="30"/>
      <c r="X2070" s="29"/>
      <c r="Y2070" s="29"/>
      <c r="AA2070" s="18"/>
      <c r="AC2070" s="31"/>
      <c r="AE2070" s="18"/>
      <c r="AG2070" s="29"/>
    </row>
    <row r="2071" spans="1:33">
      <c r="A2071" s="29"/>
      <c r="B2071" s="29"/>
      <c r="C2071" s="29"/>
      <c r="D2071" s="29"/>
      <c r="E2071" s="30"/>
      <c r="F2071" s="30"/>
      <c r="X2071" s="29"/>
      <c r="Y2071" s="29"/>
      <c r="AA2071" s="18"/>
      <c r="AC2071" s="31"/>
      <c r="AE2071" s="18"/>
      <c r="AG2071" s="29"/>
    </row>
    <row r="2072" spans="1:33">
      <c r="A2072" s="29"/>
      <c r="B2072" s="29"/>
      <c r="C2072" s="29"/>
      <c r="D2072" s="29"/>
      <c r="E2072" s="30"/>
      <c r="F2072" s="30"/>
      <c r="X2072" s="29"/>
      <c r="Y2072" s="29"/>
      <c r="AA2072" s="18"/>
      <c r="AC2072" s="31"/>
      <c r="AE2072" s="18"/>
      <c r="AG2072" s="29"/>
    </row>
    <row r="2073" spans="1:33">
      <c r="A2073" s="29"/>
      <c r="B2073" s="29"/>
      <c r="C2073" s="29"/>
      <c r="D2073" s="29"/>
      <c r="E2073" s="30"/>
      <c r="F2073" s="30"/>
      <c r="X2073" s="29"/>
      <c r="Y2073" s="29"/>
      <c r="AA2073" s="18"/>
      <c r="AC2073" s="31"/>
      <c r="AE2073" s="18"/>
      <c r="AG2073" s="29"/>
    </row>
    <row r="2074" spans="1:33">
      <c r="A2074" s="29"/>
      <c r="B2074" s="29"/>
      <c r="C2074" s="29"/>
      <c r="D2074" s="29"/>
      <c r="E2074" s="30"/>
      <c r="F2074" s="30"/>
      <c r="X2074" s="29"/>
      <c r="Y2074" s="29"/>
      <c r="AA2074" s="18"/>
      <c r="AC2074" s="31"/>
      <c r="AE2074" s="18"/>
      <c r="AG2074" s="29"/>
    </row>
    <row r="2075" spans="1:33">
      <c r="A2075" s="29"/>
      <c r="B2075" s="29"/>
      <c r="C2075" s="29"/>
      <c r="D2075" s="29"/>
      <c r="E2075" s="30"/>
      <c r="F2075" s="30"/>
      <c r="X2075" s="29"/>
      <c r="Y2075" s="29"/>
      <c r="AA2075" s="18"/>
      <c r="AC2075" s="31"/>
      <c r="AE2075" s="18"/>
      <c r="AG2075" s="29"/>
    </row>
    <row r="2076" spans="1:33">
      <c r="A2076" s="29"/>
      <c r="B2076" s="29"/>
      <c r="C2076" s="29"/>
      <c r="D2076" s="29"/>
      <c r="E2076" s="30"/>
      <c r="F2076" s="30"/>
      <c r="X2076" s="29"/>
      <c r="Y2076" s="29"/>
      <c r="AA2076" s="18"/>
      <c r="AC2076" s="31"/>
      <c r="AE2076" s="18"/>
      <c r="AG2076" s="29"/>
    </row>
    <row r="2077" spans="1:33">
      <c r="A2077" s="29"/>
      <c r="B2077" s="29"/>
      <c r="C2077" s="29"/>
      <c r="D2077" s="29"/>
      <c r="E2077" s="30"/>
      <c r="F2077" s="30"/>
      <c r="X2077" s="29"/>
      <c r="Y2077" s="29"/>
      <c r="AA2077" s="18"/>
      <c r="AC2077" s="31"/>
      <c r="AE2077" s="18"/>
      <c r="AG2077" s="29"/>
    </row>
    <row r="2078" spans="1:33">
      <c r="A2078" s="29"/>
      <c r="B2078" s="29"/>
      <c r="C2078" s="29"/>
      <c r="D2078" s="29"/>
      <c r="E2078" s="30"/>
      <c r="F2078" s="30"/>
      <c r="X2078" s="29"/>
      <c r="Y2078" s="29"/>
      <c r="AA2078" s="18"/>
      <c r="AC2078" s="31"/>
      <c r="AE2078" s="18"/>
      <c r="AG2078" s="29"/>
    </row>
    <row r="2079" spans="1:33">
      <c r="A2079" s="29"/>
      <c r="B2079" s="29"/>
      <c r="C2079" s="29"/>
      <c r="D2079" s="29"/>
      <c r="E2079" s="30"/>
      <c r="F2079" s="30"/>
      <c r="X2079" s="29"/>
      <c r="Y2079" s="29"/>
      <c r="AA2079" s="18"/>
      <c r="AC2079" s="31"/>
      <c r="AE2079" s="18"/>
      <c r="AG2079" s="29"/>
    </row>
    <row r="2080" spans="1:33">
      <c r="A2080" s="29"/>
      <c r="B2080" s="29"/>
      <c r="C2080" s="29"/>
      <c r="D2080" s="29"/>
      <c r="E2080" s="30"/>
      <c r="F2080" s="30"/>
      <c r="X2080" s="29"/>
      <c r="Y2080" s="29"/>
      <c r="AA2080" s="18"/>
      <c r="AC2080" s="31"/>
      <c r="AE2080" s="18"/>
      <c r="AG2080" s="29"/>
    </row>
    <row r="2081" spans="1:33">
      <c r="A2081" s="29"/>
      <c r="B2081" s="29"/>
      <c r="C2081" s="29"/>
      <c r="D2081" s="29"/>
      <c r="E2081" s="30"/>
      <c r="F2081" s="30"/>
      <c r="X2081" s="29"/>
      <c r="Y2081" s="29"/>
      <c r="AA2081" s="18"/>
      <c r="AC2081" s="31"/>
      <c r="AE2081" s="18"/>
      <c r="AG2081" s="29"/>
    </row>
    <row r="2082" spans="1:33">
      <c r="A2082" s="29"/>
      <c r="B2082" s="29"/>
      <c r="C2082" s="29"/>
      <c r="D2082" s="29"/>
      <c r="E2082" s="30"/>
      <c r="F2082" s="30"/>
      <c r="X2082" s="29"/>
      <c r="Y2082" s="29"/>
      <c r="AA2082" s="18"/>
      <c r="AC2082" s="31"/>
      <c r="AE2082" s="18"/>
      <c r="AG2082" s="29"/>
    </row>
    <row r="2083" spans="1:33">
      <c r="A2083" s="29"/>
      <c r="B2083" s="29"/>
      <c r="C2083" s="29"/>
      <c r="D2083" s="29"/>
      <c r="E2083" s="30"/>
      <c r="F2083" s="30"/>
      <c r="X2083" s="29"/>
      <c r="Y2083" s="29"/>
      <c r="AA2083" s="18"/>
      <c r="AC2083" s="31"/>
      <c r="AE2083" s="18"/>
      <c r="AG2083" s="29"/>
    </row>
    <row r="2084" spans="1:33">
      <c r="A2084" s="29"/>
      <c r="B2084" s="29"/>
      <c r="C2084" s="29"/>
      <c r="D2084" s="29"/>
      <c r="E2084" s="30"/>
      <c r="F2084" s="30"/>
      <c r="X2084" s="29"/>
      <c r="Y2084" s="29"/>
      <c r="AA2084" s="18"/>
      <c r="AC2084" s="30"/>
      <c r="AE2084" s="18"/>
      <c r="AG2084" s="29"/>
    </row>
    <row r="2085" spans="1:33">
      <c r="A2085" s="29"/>
      <c r="B2085" s="29"/>
      <c r="C2085" s="29"/>
      <c r="D2085" s="29"/>
      <c r="E2085" s="30"/>
      <c r="F2085" s="30"/>
      <c r="X2085" s="29"/>
      <c r="Y2085" s="29"/>
      <c r="AA2085" s="18"/>
      <c r="AC2085" s="31"/>
      <c r="AE2085" s="18"/>
      <c r="AG2085" s="29"/>
    </row>
    <row r="2086" spans="1:33">
      <c r="A2086" s="29"/>
      <c r="B2086" s="29"/>
      <c r="C2086" s="29"/>
      <c r="D2086" s="29"/>
      <c r="E2086" s="30"/>
      <c r="F2086" s="30"/>
      <c r="X2086" s="29"/>
      <c r="Y2086" s="29"/>
      <c r="AA2086" s="18"/>
      <c r="AC2086" s="31"/>
      <c r="AE2086" s="18"/>
      <c r="AG2086" s="29"/>
    </row>
    <row r="2087" spans="1:33">
      <c r="A2087" s="29"/>
      <c r="B2087" s="29"/>
      <c r="C2087" s="29"/>
      <c r="D2087" s="29"/>
      <c r="E2087" s="30"/>
      <c r="F2087" s="30"/>
      <c r="X2087" s="29"/>
      <c r="Y2087" s="29"/>
      <c r="AA2087" s="18"/>
      <c r="AC2087" s="31"/>
      <c r="AE2087" s="18"/>
      <c r="AG2087" s="29"/>
    </row>
    <row r="2088" spans="1:33">
      <c r="A2088" s="29"/>
      <c r="B2088" s="29"/>
      <c r="C2088" s="29"/>
      <c r="D2088" s="29"/>
      <c r="E2088" s="30"/>
      <c r="F2088" s="30"/>
      <c r="X2088" s="29"/>
      <c r="Y2088" s="29"/>
      <c r="AA2088" s="18"/>
      <c r="AC2088" s="31"/>
      <c r="AE2088" s="18"/>
      <c r="AG2088" s="29"/>
    </row>
    <row r="2089" spans="1:33">
      <c r="A2089" s="29"/>
      <c r="B2089" s="29"/>
      <c r="C2089" s="29"/>
      <c r="D2089" s="29"/>
      <c r="E2089" s="30"/>
      <c r="F2089" s="30"/>
      <c r="X2089" s="29"/>
      <c r="Y2089" s="29"/>
      <c r="AA2089" s="18"/>
      <c r="AC2089" s="31"/>
      <c r="AE2089" s="18"/>
      <c r="AG2089" s="29"/>
    </row>
    <row r="2090" spans="1:33">
      <c r="A2090" s="29"/>
      <c r="B2090" s="29"/>
      <c r="C2090" s="29"/>
      <c r="D2090" s="29"/>
      <c r="E2090" s="30"/>
      <c r="F2090" s="30"/>
      <c r="X2090" s="29"/>
      <c r="Y2090" s="29"/>
      <c r="AA2090" s="18"/>
      <c r="AC2090" s="31"/>
      <c r="AE2090" s="18"/>
      <c r="AG2090" s="29"/>
    </row>
    <row r="2091" spans="1:33">
      <c r="A2091" s="29"/>
      <c r="B2091" s="29"/>
      <c r="C2091" s="29"/>
      <c r="D2091" s="29"/>
      <c r="E2091" s="30"/>
      <c r="F2091" s="30"/>
      <c r="X2091" s="29"/>
      <c r="Y2091" s="29"/>
      <c r="AA2091" s="18"/>
      <c r="AC2091" s="30"/>
      <c r="AE2091" s="18"/>
      <c r="AG2091" s="29"/>
    </row>
    <row r="2092" spans="1:33">
      <c r="A2092" s="29"/>
      <c r="B2092" s="29"/>
      <c r="C2092" s="29"/>
      <c r="D2092" s="29"/>
      <c r="E2092" s="30"/>
      <c r="F2092" s="30"/>
      <c r="X2092" s="29"/>
      <c r="Y2092" s="29"/>
      <c r="AA2092" s="18"/>
      <c r="AC2092" s="31"/>
      <c r="AE2092" s="18"/>
      <c r="AG2092" s="29"/>
    </row>
    <row r="2093" spans="1:33">
      <c r="A2093" s="29"/>
      <c r="B2093" s="29"/>
      <c r="C2093" s="29"/>
      <c r="D2093" s="29"/>
      <c r="E2093" s="30"/>
      <c r="F2093" s="30"/>
      <c r="X2093" s="29"/>
      <c r="Y2093" s="29"/>
      <c r="AA2093" s="18"/>
      <c r="AC2093" s="31"/>
      <c r="AE2093" s="18"/>
      <c r="AG2093" s="29"/>
    </row>
    <row r="2094" spans="1:33">
      <c r="A2094" s="29"/>
      <c r="B2094" s="29"/>
      <c r="C2094" s="29"/>
      <c r="D2094" s="29"/>
      <c r="E2094" s="30"/>
      <c r="F2094" s="30"/>
      <c r="X2094" s="29"/>
      <c r="Y2094" s="29"/>
      <c r="AA2094" s="18"/>
      <c r="AC2094" s="31"/>
      <c r="AE2094" s="18"/>
      <c r="AG2094" s="29"/>
    </row>
    <row r="2095" spans="1:33">
      <c r="A2095" s="29"/>
      <c r="B2095" s="29"/>
      <c r="C2095" s="29"/>
      <c r="D2095" s="29"/>
      <c r="E2095" s="30"/>
      <c r="F2095" s="30"/>
      <c r="X2095" s="29"/>
      <c r="Y2095" s="29"/>
      <c r="AA2095" s="18"/>
      <c r="AC2095" s="31"/>
      <c r="AE2095" s="18"/>
      <c r="AG2095" s="29"/>
    </row>
    <row r="2096" spans="1:33">
      <c r="A2096" s="29"/>
      <c r="B2096" s="29"/>
      <c r="C2096" s="29"/>
      <c r="D2096" s="29"/>
      <c r="E2096" s="30"/>
      <c r="F2096" s="30"/>
      <c r="X2096" s="29"/>
      <c r="Y2096" s="29"/>
      <c r="AA2096" s="18"/>
      <c r="AC2096" s="31"/>
      <c r="AE2096" s="18"/>
      <c r="AG2096" s="29"/>
    </row>
    <row r="2097" spans="1:33">
      <c r="A2097" s="29"/>
      <c r="B2097" s="29"/>
      <c r="C2097" s="29"/>
      <c r="D2097" s="29"/>
      <c r="E2097" s="30"/>
      <c r="F2097" s="30"/>
      <c r="X2097" s="29"/>
      <c r="Y2097" s="29"/>
      <c r="AA2097" s="18"/>
      <c r="AC2097" s="31"/>
      <c r="AE2097" s="18"/>
      <c r="AG2097" s="29"/>
    </row>
    <row r="2098" spans="1:33">
      <c r="A2098" s="29"/>
      <c r="B2098" s="29"/>
      <c r="C2098" s="29"/>
      <c r="D2098" s="29"/>
      <c r="E2098" s="30"/>
      <c r="F2098" s="30"/>
      <c r="X2098" s="29"/>
      <c r="Y2098" s="29"/>
      <c r="AA2098" s="18"/>
      <c r="AC2098" s="30"/>
      <c r="AE2098" s="18"/>
      <c r="AG2098" s="29"/>
    </row>
    <row r="2099" spans="1:33">
      <c r="A2099" s="29"/>
      <c r="B2099" s="29"/>
      <c r="C2099" s="29"/>
      <c r="D2099" s="29"/>
      <c r="E2099" s="30"/>
      <c r="F2099" s="30"/>
      <c r="X2099" s="29"/>
      <c r="Y2099" s="29"/>
      <c r="AA2099" s="18"/>
      <c r="AC2099" s="31"/>
      <c r="AE2099" s="18"/>
      <c r="AG2099" s="29"/>
    </row>
    <row r="2100" spans="1:33">
      <c r="A2100" s="29"/>
      <c r="B2100" s="29"/>
      <c r="C2100" s="29"/>
      <c r="D2100" s="29"/>
      <c r="E2100" s="30"/>
      <c r="F2100" s="30"/>
      <c r="X2100" s="29"/>
      <c r="Y2100" s="29"/>
      <c r="AA2100" s="18"/>
      <c r="AC2100" s="31"/>
      <c r="AE2100" s="18"/>
      <c r="AG2100" s="29"/>
    </row>
    <row r="2101" spans="1:33">
      <c r="A2101" s="29"/>
      <c r="B2101" s="29"/>
      <c r="C2101" s="29"/>
      <c r="D2101" s="29"/>
      <c r="E2101" s="30"/>
      <c r="F2101" s="30"/>
      <c r="X2101" s="29"/>
      <c r="Y2101" s="29"/>
      <c r="AA2101" s="18"/>
      <c r="AC2101" s="31"/>
      <c r="AE2101" s="18"/>
      <c r="AG2101" s="29"/>
    </row>
    <row r="2102" spans="1:33">
      <c r="A2102" s="29"/>
      <c r="B2102" s="29"/>
      <c r="C2102" s="29"/>
      <c r="D2102" s="29"/>
      <c r="E2102" s="30"/>
      <c r="F2102" s="30"/>
      <c r="X2102" s="29"/>
      <c r="Y2102" s="29"/>
      <c r="AA2102" s="18"/>
      <c r="AC2102" s="31"/>
      <c r="AE2102" s="18"/>
      <c r="AG2102" s="29"/>
    </row>
    <row r="2103" spans="1:33">
      <c r="A2103" s="29"/>
      <c r="B2103" s="29"/>
      <c r="C2103" s="29"/>
      <c r="D2103" s="29"/>
      <c r="E2103" s="30"/>
      <c r="F2103" s="30"/>
      <c r="X2103" s="29"/>
      <c r="Y2103" s="29"/>
      <c r="AA2103" s="18"/>
      <c r="AC2103" s="31"/>
      <c r="AE2103" s="18"/>
      <c r="AG2103" s="29"/>
    </row>
    <row r="2104" spans="1:33">
      <c r="A2104" s="29"/>
      <c r="B2104" s="29"/>
      <c r="C2104" s="29"/>
      <c r="D2104" s="29"/>
      <c r="E2104" s="30"/>
      <c r="F2104" s="30"/>
      <c r="X2104" s="29"/>
      <c r="Y2104" s="29"/>
      <c r="AA2104" s="18"/>
      <c r="AC2104" s="31"/>
      <c r="AE2104" s="18"/>
      <c r="AG2104" s="29"/>
    </row>
    <row r="2105" spans="1:33">
      <c r="A2105" s="29"/>
      <c r="B2105" s="29"/>
      <c r="C2105" s="29"/>
      <c r="D2105" s="29"/>
      <c r="E2105" s="30"/>
      <c r="F2105" s="30"/>
      <c r="X2105" s="29"/>
      <c r="Y2105" s="29"/>
      <c r="AA2105" s="18"/>
      <c r="AC2105" s="31"/>
      <c r="AE2105" s="18"/>
      <c r="AG2105" s="29"/>
    </row>
    <row r="2106" spans="1:33">
      <c r="A2106" s="29"/>
      <c r="B2106" s="29"/>
      <c r="C2106" s="29"/>
      <c r="D2106" s="29"/>
      <c r="E2106" s="30"/>
      <c r="F2106" s="30"/>
      <c r="X2106" s="29"/>
      <c r="Y2106" s="29"/>
      <c r="AA2106" s="18"/>
      <c r="AC2106" s="31"/>
      <c r="AE2106" s="18"/>
      <c r="AG2106" s="29"/>
    </row>
    <row r="2107" spans="1:33">
      <c r="A2107" s="29"/>
      <c r="B2107" s="29"/>
      <c r="C2107" s="29"/>
      <c r="D2107" s="29"/>
      <c r="E2107" s="30"/>
      <c r="F2107" s="30"/>
      <c r="X2107" s="29"/>
      <c r="Y2107" s="29"/>
      <c r="AA2107" s="18"/>
      <c r="AC2107" s="31"/>
      <c r="AE2107" s="18"/>
      <c r="AG2107" s="29"/>
    </row>
    <row r="2108" spans="1:33">
      <c r="A2108" s="29"/>
      <c r="B2108" s="29"/>
      <c r="C2108" s="29"/>
      <c r="D2108" s="29"/>
      <c r="E2108" s="30"/>
      <c r="F2108" s="30"/>
      <c r="X2108" s="29"/>
      <c r="Y2108" s="29"/>
      <c r="AA2108" s="18"/>
      <c r="AC2108" s="30"/>
      <c r="AE2108" s="18"/>
      <c r="AG2108" s="29"/>
    </row>
    <row r="2109" spans="1:33">
      <c r="A2109" s="29"/>
      <c r="B2109" s="29"/>
      <c r="C2109" s="29"/>
      <c r="D2109" s="29"/>
      <c r="E2109" s="30"/>
      <c r="F2109" s="30"/>
      <c r="X2109" s="29"/>
      <c r="Y2109" s="29"/>
      <c r="AA2109" s="18"/>
      <c r="AC2109" s="31"/>
      <c r="AE2109" s="18"/>
      <c r="AG2109" s="29"/>
    </row>
    <row r="2110" spans="1:33">
      <c r="A2110" s="29"/>
      <c r="B2110" s="29"/>
      <c r="C2110" s="29"/>
      <c r="D2110" s="29"/>
      <c r="E2110" s="30"/>
      <c r="F2110" s="30"/>
      <c r="X2110" s="29"/>
      <c r="Y2110" s="29"/>
      <c r="AA2110" s="18"/>
      <c r="AC2110" s="31"/>
      <c r="AE2110" s="18"/>
      <c r="AG2110" s="29"/>
    </row>
    <row r="2111" spans="1:33">
      <c r="A2111" s="29"/>
      <c r="B2111" s="29"/>
      <c r="C2111" s="29"/>
      <c r="D2111" s="29"/>
      <c r="E2111" s="30"/>
      <c r="F2111" s="30"/>
      <c r="X2111" s="29"/>
      <c r="Y2111" s="29"/>
      <c r="AA2111" s="18"/>
      <c r="AC2111" s="31"/>
      <c r="AE2111" s="18"/>
      <c r="AG2111" s="29"/>
    </row>
    <row r="2112" spans="1:33">
      <c r="A2112" s="29"/>
      <c r="B2112" s="29"/>
      <c r="C2112" s="29"/>
      <c r="D2112" s="29"/>
      <c r="E2112" s="30"/>
      <c r="F2112" s="30"/>
      <c r="X2112" s="29"/>
      <c r="Y2112" s="29"/>
      <c r="AA2112" s="18"/>
      <c r="AC2112" s="31"/>
      <c r="AE2112" s="18"/>
      <c r="AG2112" s="29"/>
    </row>
    <row r="2113" spans="1:33">
      <c r="A2113" s="29"/>
      <c r="B2113" s="29"/>
      <c r="C2113" s="29"/>
      <c r="D2113" s="29"/>
      <c r="E2113" s="30"/>
      <c r="F2113" s="30"/>
      <c r="X2113" s="29"/>
      <c r="Y2113" s="29"/>
      <c r="AA2113" s="18"/>
      <c r="AC2113" s="31"/>
      <c r="AE2113" s="18"/>
      <c r="AG2113" s="29"/>
    </row>
    <row r="2114" spans="1:33">
      <c r="A2114" s="29"/>
      <c r="B2114" s="29"/>
      <c r="C2114" s="29"/>
      <c r="D2114" s="29"/>
      <c r="E2114" s="30"/>
      <c r="F2114" s="30"/>
      <c r="X2114" s="29"/>
      <c r="Y2114" s="29"/>
      <c r="AA2114" s="18"/>
      <c r="AC2114" s="31"/>
      <c r="AE2114" s="18"/>
      <c r="AG2114" s="29"/>
    </row>
    <row r="2115" spans="1:33">
      <c r="A2115" s="29"/>
      <c r="B2115" s="29"/>
      <c r="C2115" s="29"/>
      <c r="D2115" s="29"/>
      <c r="E2115" s="30"/>
      <c r="F2115" s="30"/>
      <c r="X2115" s="29"/>
      <c r="Y2115" s="29"/>
      <c r="AA2115" s="18"/>
      <c r="AC2115" s="31"/>
      <c r="AE2115" s="18"/>
      <c r="AG2115" s="29"/>
    </row>
    <row r="2116" spans="1:33">
      <c r="A2116" s="29"/>
      <c r="B2116" s="29"/>
      <c r="C2116" s="29"/>
      <c r="D2116" s="29"/>
      <c r="E2116" s="30"/>
      <c r="F2116" s="30"/>
      <c r="X2116" s="29"/>
      <c r="Y2116" s="29"/>
      <c r="AA2116" s="18"/>
      <c r="AC2116" s="31"/>
      <c r="AE2116" s="18"/>
      <c r="AG2116" s="29"/>
    </row>
    <row r="2117" spans="1:33">
      <c r="A2117" s="29"/>
      <c r="B2117" s="29"/>
      <c r="C2117" s="29"/>
      <c r="D2117" s="29"/>
      <c r="E2117" s="30"/>
      <c r="F2117" s="30"/>
      <c r="X2117" s="29"/>
      <c r="Y2117" s="29"/>
      <c r="AA2117" s="18"/>
      <c r="AC2117" s="31"/>
      <c r="AE2117" s="18"/>
      <c r="AG2117" s="29"/>
    </row>
    <row r="2118" spans="1:33">
      <c r="A2118" s="29"/>
      <c r="B2118" s="29"/>
      <c r="C2118" s="29"/>
      <c r="D2118" s="29"/>
      <c r="E2118" s="30"/>
      <c r="F2118" s="30"/>
      <c r="X2118" s="29"/>
      <c r="Y2118" s="29"/>
      <c r="AA2118" s="18"/>
      <c r="AC2118" s="31"/>
      <c r="AE2118" s="18"/>
      <c r="AG2118" s="29"/>
    </row>
    <row r="2119" spans="1:33">
      <c r="A2119" s="29"/>
      <c r="B2119" s="29"/>
      <c r="C2119" s="29"/>
      <c r="D2119" s="29"/>
      <c r="E2119" s="30"/>
      <c r="F2119" s="30"/>
      <c r="X2119" s="29"/>
      <c r="Y2119" s="29"/>
      <c r="AA2119" s="18"/>
      <c r="AC2119" s="31"/>
      <c r="AE2119" s="18"/>
      <c r="AG2119" s="29"/>
    </row>
    <row r="2120" spans="1:33">
      <c r="A2120" s="29"/>
      <c r="B2120" s="29"/>
      <c r="C2120" s="29"/>
      <c r="D2120" s="29"/>
      <c r="E2120" s="30"/>
      <c r="F2120" s="30"/>
      <c r="X2120" s="29"/>
      <c r="Y2120" s="29"/>
      <c r="AA2120" s="18"/>
      <c r="AC2120" s="31"/>
      <c r="AE2120" s="18"/>
      <c r="AG2120" s="29"/>
    </row>
    <row r="2121" spans="1:33">
      <c r="A2121" s="29"/>
      <c r="B2121" s="29"/>
      <c r="C2121" s="29"/>
      <c r="D2121" s="29"/>
      <c r="E2121" s="30"/>
      <c r="F2121" s="30"/>
      <c r="X2121" s="29"/>
      <c r="Y2121" s="29"/>
      <c r="AA2121" s="18"/>
      <c r="AC2121" s="30"/>
      <c r="AE2121" s="18"/>
      <c r="AG2121" s="29"/>
    </row>
    <row r="2122" spans="1:33">
      <c r="A2122" s="29"/>
      <c r="B2122" s="29"/>
      <c r="C2122" s="29"/>
      <c r="D2122" s="29"/>
      <c r="E2122" s="30"/>
      <c r="F2122" s="30"/>
      <c r="X2122" s="29"/>
      <c r="Y2122" s="29"/>
      <c r="AA2122" s="18"/>
      <c r="AC2122" s="31"/>
      <c r="AE2122" s="18"/>
      <c r="AG2122" s="29"/>
    </row>
    <row r="2123" spans="1:33">
      <c r="A2123" s="29"/>
      <c r="B2123" s="29"/>
      <c r="C2123" s="29"/>
      <c r="D2123" s="29"/>
      <c r="E2123" s="30"/>
      <c r="F2123" s="30"/>
      <c r="X2123" s="29"/>
      <c r="Y2123" s="29"/>
      <c r="AA2123" s="18"/>
      <c r="AC2123" s="31"/>
      <c r="AE2123" s="18"/>
      <c r="AG2123" s="29"/>
    </row>
    <row r="2124" spans="1:33">
      <c r="A2124" s="29"/>
      <c r="B2124" s="29"/>
      <c r="C2124" s="29"/>
      <c r="D2124" s="29"/>
      <c r="E2124" s="30"/>
      <c r="F2124" s="30"/>
      <c r="X2124" s="29"/>
      <c r="Y2124" s="29"/>
      <c r="AA2124" s="18"/>
      <c r="AC2124" s="31"/>
      <c r="AE2124" s="18"/>
      <c r="AG2124" s="29"/>
    </row>
    <row r="2125" spans="1:33">
      <c r="A2125" s="29"/>
      <c r="B2125" s="29"/>
      <c r="C2125" s="29"/>
      <c r="D2125" s="29"/>
      <c r="E2125" s="30"/>
      <c r="F2125" s="30"/>
      <c r="X2125" s="29"/>
      <c r="Y2125" s="29"/>
      <c r="AA2125" s="18"/>
      <c r="AC2125" s="31"/>
      <c r="AE2125" s="18"/>
      <c r="AG2125" s="29"/>
    </row>
    <row r="2126" spans="1:33">
      <c r="A2126" s="29"/>
      <c r="B2126" s="29"/>
      <c r="C2126" s="29"/>
      <c r="D2126" s="29"/>
      <c r="E2126" s="30"/>
      <c r="F2126" s="30"/>
      <c r="X2126" s="29"/>
      <c r="Y2126" s="29"/>
      <c r="AA2126" s="18"/>
      <c r="AC2126" s="30"/>
      <c r="AE2126" s="18"/>
      <c r="AG2126" s="29"/>
    </row>
    <row r="2127" spans="1:33">
      <c r="A2127" s="29"/>
      <c r="B2127" s="29"/>
      <c r="C2127" s="29"/>
      <c r="D2127" s="29"/>
      <c r="E2127" s="30"/>
      <c r="F2127" s="30"/>
      <c r="X2127" s="29"/>
      <c r="Y2127" s="29"/>
      <c r="AA2127" s="18"/>
      <c r="AC2127" s="31"/>
      <c r="AE2127" s="18"/>
      <c r="AG2127" s="29"/>
    </row>
    <row r="2128" spans="1:33">
      <c r="A2128" s="29"/>
      <c r="B2128" s="29"/>
      <c r="C2128" s="29"/>
      <c r="D2128" s="29"/>
      <c r="E2128" s="30"/>
      <c r="F2128" s="30"/>
      <c r="X2128" s="29"/>
      <c r="Y2128" s="29"/>
      <c r="AA2128" s="18"/>
      <c r="AC2128" s="31"/>
      <c r="AE2128" s="18"/>
      <c r="AG2128" s="29"/>
    </row>
    <row r="2129" spans="1:33">
      <c r="A2129" s="29"/>
      <c r="B2129" s="29"/>
      <c r="C2129" s="29"/>
      <c r="D2129" s="29"/>
      <c r="E2129" s="30"/>
      <c r="F2129" s="30"/>
      <c r="X2129" s="29"/>
      <c r="Y2129" s="29"/>
      <c r="AA2129" s="18"/>
      <c r="AC2129" s="31"/>
      <c r="AE2129" s="18"/>
      <c r="AG2129" s="29"/>
    </row>
    <row r="2130" spans="1:33">
      <c r="A2130" s="29"/>
      <c r="B2130" s="29"/>
      <c r="C2130" s="29"/>
      <c r="D2130" s="29"/>
      <c r="E2130" s="30"/>
      <c r="F2130" s="30"/>
      <c r="X2130" s="29"/>
      <c r="Y2130" s="29"/>
      <c r="AA2130" s="18"/>
      <c r="AC2130" s="31"/>
      <c r="AE2130" s="18"/>
      <c r="AG2130" s="29"/>
    </row>
    <row r="2131" spans="1:33">
      <c r="A2131" s="29"/>
      <c r="B2131" s="29"/>
      <c r="C2131" s="29"/>
      <c r="D2131" s="29"/>
      <c r="E2131" s="30"/>
      <c r="F2131" s="30"/>
      <c r="X2131" s="29"/>
      <c r="Y2131" s="29"/>
      <c r="AA2131" s="18"/>
      <c r="AC2131" s="31"/>
      <c r="AE2131" s="18"/>
      <c r="AG2131" s="29"/>
    </row>
    <row r="2132" spans="1:33">
      <c r="A2132" s="29"/>
      <c r="B2132" s="29"/>
      <c r="C2132" s="29"/>
      <c r="D2132" s="29"/>
      <c r="E2132" s="30"/>
      <c r="F2132" s="30"/>
      <c r="X2132" s="29"/>
      <c r="Y2132" s="29"/>
      <c r="AA2132" s="18"/>
      <c r="AC2132" s="31"/>
      <c r="AE2132" s="18"/>
      <c r="AG2132" s="29"/>
    </row>
    <row r="2133" spans="1:33">
      <c r="A2133" s="29"/>
      <c r="B2133" s="29"/>
      <c r="C2133" s="29"/>
      <c r="D2133" s="29"/>
      <c r="E2133" s="30"/>
      <c r="F2133" s="30"/>
      <c r="X2133" s="29"/>
      <c r="Y2133" s="29"/>
      <c r="AA2133" s="18"/>
      <c r="AC2133" s="31"/>
      <c r="AE2133" s="18"/>
      <c r="AG2133" s="29"/>
    </row>
    <row r="2134" spans="1:33">
      <c r="A2134" s="29"/>
      <c r="B2134" s="29"/>
      <c r="C2134" s="29"/>
      <c r="D2134" s="29"/>
      <c r="E2134" s="30"/>
      <c r="F2134" s="30"/>
      <c r="X2134" s="29"/>
      <c r="Y2134" s="29"/>
      <c r="AA2134" s="18"/>
      <c r="AC2134" s="31"/>
      <c r="AE2134" s="18"/>
      <c r="AG2134" s="29"/>
    </row>
    <row r="2135" spans="1:33">
      <c r="A2135" s="29"/>
      <c r="B2135" s="29"/>
      <c r="C2135" s="29"/>
      <c r="D2135" s="29"/>
      <c r="E2135" s="30"/>
      <c r="F2135" s="30"/>
      <c r="X2135" s="29"/>
      <c r="Y2135" s="29"/>
      <c r="AA2135" s="18"/>
      <c r="AC2135" s="30"/>
      <c r="AE2135" s="18"/>
      <c r="AG2135" s="29"/>
    </row>
    <row r="2136" spans="1:33">
      <c r="A2136" s="29"/>
      <c r="B2136" s="29"/>
      <c r="C2136" s="29"/>
      <c r="D2136" s="29"/>
      <c r="E2136" s="30"/>
      <c r="F2136" s="30"/>
      <c r="X2136" s="29"/>
      <c r="Y2136" s="29"/>
      <c r="AA2136" s="18"/>
      <c r="AC2136" s="31"/>
      <c r="AE2136" s="18"/>
      <c r="AG2136" s="29"/>
    </row>
    <row r="2137" spans="1:33">
      <c r="A2137" s="29"/>
      <c r="B2137" s="29"/>
      <c r="C2137" s="29"/>
      <c r="D2137" s="29"/>
      <c r="E2137" s="30"/>
      <c r="F2137" s="30"/>
      <c r="X2137" s="29"/>
      <c r="Y2137" s="29"/>
      <c r="AA2137" s="18"/>
      <c r="AC2137" s="31"/>
      <c r="AE2137" s="18"/>
      <c r="AG2137" s="29"/>
    </row>
    <row r="2138" spans="1:33">
      <c r="A2138" s="29"/>
      <c r="B2138" s="29"/>
      <c r="C2138" s="29"/>
      <c r="D2138" s="29"/>
      <c r="E2138" s="30"/>
      <c r="F2138" s="30"/>
      <c r="X2138" s="29"/>
      <c r="Y2138" s="29"/>
      <c r="AA2138" s="18"/>
      <c r="AC2138" s="31"/>
      <c r="AE2138" s="18"/>
      <c r="AG2138" s="29"/>
    </row>
    <row r="2139" spans="1:33">
      <c r="A2139" s="29"/>
      <c r="B2139" s="29"/>
      <c r="C2139" s="29"/>
      <c r="D2139" s="29"/>
      <c r="E2139" s="30"/>
      <c r="F2139" s="30"/>
      <c r="X2139" s="29"/>
      <c r="Y2139" s="29"/>
      <c r="AA2139" s="18"/>
      <c r="AC2139" s="30"/>
      <c r="AE2139" s="18"/>
      <c r="AG2139" s="29"/>
    </row>
    <row r="2140" spans="1:33">
      <c r="A2140" s="29"/>
      <c r="B2140" s="29"/>
      <c r="C2140" s="29"/>
      <c r="D2140" s="29"/>
      <c r="E2140" s="30"/>
      <c r="F2140" s="30"/>
      <c r="X2140" s="29"/>
      <c r="Y2140" s="29"/>
      <c r="AA2140" s="18"/>
      <c r="AC2140" s="30"/>
      <c r="AE2140" s="18"/>
      <c r="AG2140" s="29"/>
    </row>
    <row r="2141" spans="1:33">
      <c r="A2141" s="29"/>
      <c r="B2141" s="29"/>
      <c r="C2141" s="29"/>
      <c r="D2141" s="29"/>
      <c r="E2141" s="30"/>
      <c r="F2141" s="30"/>
      <c r="X2141" s="29"/>
      <c r="Y2141" s="29"/>
      <c r="AA2141" s="18"/>
      <c r="AC2141" s="30"/>
      <c r="AE2141" s="18"/>
      <c r="AG2141" s="29"/>
    </row>
    <row r="2142" spans="1:33">
      <c r="A2142" s="29"/>
      <c r="B2142" s="29"/>
      <c r="C2142" s="29"/>
      <c r="D2142" s="29"/>
      <c r="E2142" s="30"/>
      <c r="F2142" s="30"/>
      <c r="X2142" s="29"/>
      <c r="Y2142" s="29"/>
      <c r="AA2142" s="18"/>
      <c r="AC2142" s="31"/>
      <c r="AE2142" s="18"/>
      <c r="AG2142" s="29"/>
    </row>
    <row r="2143" spans="1:33">
      <c r="A2143" s="29"/>
      <c r="B2143" s="29"/>
      <c r="C2143" s="29"/>
      <c r="D2143" s="29"/>
      <c r="E2143" s="30"/>
      <c r="F2143" s="30"/>
      <c r="X2143" s="29"/>
      <c r="Y2143" s="29"/>
      <c r="AA2143" s="18"/>
      <c r="AC2143" s="31"/>
      <c r="AE2143" s="18"/>
      <c r="AG2143" s="29"/>
    </row>
    <row r="2144" spans="1:33">
      <c r="A2144" s="29"/>
      <c r="B2144" s="29"/>
      <c r="C2144" s="29"/>
      <c r="D2144" s="29"/>
      <c r="E2144" s="30"/>
      <c r="F2144" s="30"/>
      <c r="X2144" s="29"/>
      <c r="Y2144" s="29"/>
      <c r="AA2144" s="18"/>
      <c r="AC2144" s="31"/>
      <c r="AE2144" s="18"/>
      <c r="AG2144" s="29"/>
    </row>
    <row r="2145" spans="1:33">
      <c r="A2145" s="29"/>
      <c r="B2145" s="29"/>
      <c r="C2145" s="29"/>
      <c r="D2145" s="29"/>
      <c r="E2145" s="30"/>
      <c r="F2145" s="30"/>
      <c r="X2145" s="29"/>
      <c r="Y2145" s="29"/>
      <c r="AA2145" s="18"/>
      <c r="AC2145" s="31"/>
      <c r="AE2145" s="18"/>
      <c r="AG2145" s="29"/>
    </row>
    <row r="2146" spans="1:33">
      <c r="A2146" s="29"/>
      <c r="B2146" s="29"/>
      <c r="C2146" s="29"/>
      <c r="D2146" s="29"/>
      <c r="E2146" s="30"/>
      <c r="F2146" s="30"/>
      <c r="X2146" s="29"/>
      <c r="Y2146" s="29"/>
      <c r="AA2146" s="18"/>
      <c r="AC2146" s="31"/>
      <c r="AE2146" s="18"/>
      <c r="AG2146" s="29"/>
    </row>
    <row r="2147" spans="1:33">
      <c r="A2147" s="29"/>
      <c r="B2147" s="29"/>
      <c r="C2147" s="29"/>
      <c r="D2147" s="29"/>
      <c r="E2147" s="30"/>
      <c r="F2147" s="30"/>
      <c r="X2147" s="29"/>
      <c r="Y2147" s="29"/>
      <c r="AA2147" s="18"/>
      <c r="AC2147" s="31"/>
      <c r="AE2147" s="18"/>
      <c r="AG2147" s="29"/>
    </row>
    <row r="2148" spans="1:33">
      <c r="A2148" s="29"/>
      <c r="B2148" s="29"/>
      <c r="C2148" s="29"/>
      <c r="D2148" s="29"/>
      <c r="E2148" s="30"/>
      <c r="F2148" s="30"/>
      <c r="X2148" s="29"/>
      <c r="Y2148" s="29"/>
      <c r="AA2148" s="18"/>
      <c r="AC2148" s="31"/>
      <c r="AE2148" s="18"/>
      <c r="AG2148" s="29"/>
    </row>
    <row r="2149" spans="1:33">
      <c r="A2149" s="29"/>
      <c r="B2149" s="29"/>
      <c r="C2149" s="29"/>
      <c r="D2149" s="29"/>
      <c r="E2149" s="30"/>
      <c r="F2149" s="30"/>
      <c r="X2149" s="29"/>
      <c r="Y2149" s="29"/>
      <c r="AA2149" s="18"/>
      <c r="AC2149" s="31"/>
      <c r="AE2149" s="18"/>
      <c r="AG2149" s="29"/>
    </row>
    <row r="2150" spans="1:33">
      <c r="A2150" s="29"/>
      <c r="B2150" s="29"/>
      <c r="C2150" s="29"/>
      <c r="D2150" s="29"/>
      <c r="E2150" s="30"/>
      <c r="F2150" s="30"/>
      <c r="X2150" s="29"/>
      <c r="Y2150" s="29"/>
      <c r="AA2150" s="18"/>
      <c r="AC2150" s="31"/>
      <c r="AE2150" s="18"/>
      <c r="AG2150" s="29"/>
    </row>
    <row r="2151" spans="1:33">
      <c r="A2151" s="29"/>
      <c r="B2151" s="29"/>
      <c r="C2151" s="29"/>
      <c r="D2151" s="29"/>
      <c r="E2151" s="30"/>
      <c r="F2151" s="30"/>
      <c r="X2151" s="29"/>
      <c r="Y2151" s="29"/>
      <c r="AA2151" s="18"/>
      <c r="AC2151" s="31"/>
      <c r="AE2151" s="18"/>
      <c r="AG2151" s="29"/>
    </row>
    <row r="2152" spans="1:33">
      <c r="A2152" s="29"/>
      <c r="B2152" s="29"/>
      <c r="C2152" s="29"/>
      <c r="D2152" s="29"/>
      <c r="E2152" s="30"/>
      <c r="F2152" s="30"/>
      <c r="X2152" s="29"/>
      <c r="Y2152" s="29"/>
      <c r="AA2152" s="18"/>
      <c r="AC2152" s="31"/>
      <c r="AE2152" s="18"/>
      <c r="AG2152" s="29"/>
    </row>
    <row r="2153" spans="1:33">
      <c r="A2153" s="29"/>
      <c r="B2153" s="29"/>
      <c r="C2153" s="29"/>
      <c r="D2153" s="29"/>
      <c r="E2153" s="30"/>
      <c r="F2153" s="30"/>
      <c r="X2153" s="29"/>
      <c r="Y2153" s="29"/>
      <c r="AA2153" s="18"/>
      <c r="AC2153" s="31"/>
      <c r="AE2153" s="18"/>
      <c r="AG2153" s="29"/>
    </row>
    <row r="2154" spans="1:33">
      <c r="A2154" s="29"/>
      <c r="B2154" s="29"/>
      <c r="C2154" s="29"/>
      <c r="D2154" s="29"/>
      <c r="E2154" s="30"/>
      <c r="F2154" s="30"/>
      <c r="X2154" s="29"/>
      <c r="Y2154" s="29"/>
      <c r="AA2154" s="18"/>
      <c r="AC2154" s="31"/>
      <c r="AE2154" s="18"/>
      <c r="AG2154" s="29"/>
    </row>
    <row r="2155" spans="1:33">
      <c r="A2155" s="29"/>
      <c r="B2155" s="29"/>
      <c r="C2155" s="29"/>
      <c r="D2155" s="29"/>
      <c r="E2155" s="30"/>
      <c r="F2155" s="30"/>
      <c r="X2155" s="29"/>
      <c r="Y2155" s="29"/>
      <c r="AA2155" s="18"/>
      <c r="AC2155" s="31"/>
      <c r="AE2155" s="18"/>
      <c r="AG2155" s="29"/>
    </row>
    <row r="2156" spans="1:33">
      <c r="A2156" s="29"/>
      <c r="B2156" s="29"/>
      <c r="C2156" s="29"/>
      <c r="D2156" s="29"/>
      <c r="E2156" s="30"/>
      <c r="F2156" s="30"/>
      <c r="X2156" s="29"/>
      <c r="Y2156" s="29"/>
      <c r="AA2156" s="18"/>
      <c r="AC2156" s="31"/>
      <c r="AE2156" s="18"/>
      <c r="AG2156" s="29"/>
    </row>
    <row r="2157" spans="1:33">
      <c r="A2157" s="29"/>
      <c r="B2157" s="29"/>
      <c r="C2157" s="29"/>
      <c r="D2157" s="29"/>
      <c r="E2157" s="30"/>
      <c r="F2157" s="30"/>
      <c r="X2157" s="29"/>
      <c r="Y2157" s="29"/>
      <c r="AA2157" s="18"/>
      <c r="AC2157" s="31"/>
      <c r="AE2157" s="18"/>
      <c r="AG2157" s="29"/>
    </row>
    <row r="2158" spans="1:33">
      <c r="A2158" s="29"/>
      <c r="B2158" s="29"/>
      <c r="C2158" s="29"/>
      <c r="D2158" s="29"/>
      <c r="E2158" s="30"/>
      <c r="F2158" s="30"/>
      <c r="X2158" s="29"/>
      <c r="Y2158" s="29"/>
      <c r="AA2158" s="18"/>
      <c r="AC2158" s="31"/>
      <c r="AE2158" s="18"/>
      <c r="AG2158" s="29"/>
    </row>
    <row r="2159" spans="1:33">
      <c r="A2159" s="29"/>
      <c r="B2159" s="29"/>
      <c r="C2159" s="29"/>
      <c r="D2159" s="29"/>
      <c r="E2159" s="30"/>
      <c r="F2159" s="30"/>
      <c r="X2159" s="29"/>
      <c r="Y2159" s="29"/>
      <c r="AA2159" s="18"/>
      <c r="AC2159" s="31"/>
      <c r="AE2159" s="18"/>
      <c r="AG2159" s="29"/>
    </row>
    <row r="2160" spans="1:33">
      <c r="A2160" s="29"/>
      <c r="B2160" s="29"/>
      <c r="C2160" s="29"/>
      <c r="D2160" s="29"/>
      <c r="E2160" s="30"/>
      <c r="F2160" s="30"/>
      <c r="X2160" s="29"/>
      <c r="Y2160" s="29"/>
      <c r="AA2160" s="18"/>
      <c r="AC2160" s="31"/>
      <c r="AE2160" s="18"/>
      <c r="AG2160" s="29"/>
    </row>
    <row r="2161" spans="1:33">
      <c r="A2161" s="29"/>
      <c r="B2161" s="29"/>
      <c r="C2161" s="29"/>
      <c r="D2161" s="29"/>
      <c r="E2161" s="30"/>
      <c r="F2161" s="30"/>
      <c r="X2161" s="29"/>
      <c r="Y2161" s="29"/>
      <c r="AA2161" s="18"/>
      <c r="AC2161" s="31"/>
      <c r="AE2161" s="18"/>
      <c r="AG2161" s="29"/>
    </row>
    <row r="2162" spans="1:33">
      <c r="A2162" s="29"/>
      <c r="B2162" s="29"/>
      <c r="C2162" s="29"/>
      <c r="D2162" s="29"/>
      <c r="E2162" s="30"/>
      <c r="F2162" s="30"/>
      <c r="X2162" s="29"/>
      <c r="Y2162" s="29"/>
      <c r="AA2162" s="18"/>
      <c r="AC2162" s="31"/>
      <c r="AE2162" s="18"/>
      <c r="AG2162" s="29"/>
    </row>
    <row r="2163" spans="1:33">
      <c r="A2163" s="29"/>
      <c r="B2163" s="29"/>
      <c r="C2163" s="29"/>
      <c r="D2163" s="29"/>
      <c r="E2163" s="30"/>
      <c r="F2163" s="30"/>
      <c r="X2163" s="29"/>
      <c r="Y2163" s="29"/>
      <c r="AA2163" s="18"/>
      <c r="AC2163" s="30"/>
      <c r="AE2163" s="18"/>
      <c r="AG2163" s="29"/>
    </row>
    <row r="2164" spans="1:33">
      <c r="A2164" s="29"/>
      <c r="B2164" s="29"/>
      <c r="C2164" s="29"/>
      <c r="D2164" s="29"/>
      <c r="E2164" s="30"/>
      <c r="F2164" s="30"/>
      <c r="X2164" s="29"/>
      <c r="Y2164" s="29"/>
      <c r="AA2164" s="18"/>
      <c r="AC2164" s="31"/>
      <c r="AE2164" s="18"/>
      <c r="AG2164" s="29"/>
    </row>
    <row r="2165" spans="1:33">
      <c r="A2165" s="29"/>
      <c r="B2165" s="29"/>
      <c r="C2165" s="29"/>
      <c r="D2165" s="29"/>
      <c r="E2165" s="30"/>
      <c r="F2165" s="30"/>
      <c r="X2165" s="29"/>
      <c r="Y2165" s="29"/>
      <c r="AA2165" s="18"/>
      <c r="AC2165" s="31"/>
      <c r="AE2165" s="18"/>
      <c r="AG2165" s="29"/>
    </row>
    <row r="2166" spans="1:33">
      <c r="A2166" s="29"/>
      <c r="B2166" s="29"/>
      <c r="C2166" s="29"/>
      <c r="D2166" s="29"/>
      <c r="E2166" s="30"/>
      <c r="F2166" s="30"/>
      <c r="X2166" s="29"/>
      <c r="Y2166" s="29"/>
      <c r="AA2166" s="18"/>
      <c r="AC2166" s="31"/>
      <c r="AE2166" s="18"/>
      <c r="AG2166" s="29"/>
    </row>
    <row r="2167" spans="1:33">
      <c r="A2167" s="29"/>
      <c r="B2167" s="29"/>
      <c r="C2167" s="29"/>
      <c r="D2167" s="29"/>
      <c r="E2167" s="30"/>
      <c r="F2167" s="30"/>
      <c r="X2167" s="29"/>
      <c r="Y2167" s="29"/>
      <c r="AA2167" s="18"/>
      <c r="AC2167" s="31"/>
      <c r="AE2167" s="18"/>
      <c r="AG2167" s="29"/>
    </row>
    <row r="2168" spans="1:33">
      <c r="A2168" s="29"/>
      <c r="B2168" s="29"/>
      <c r="C2168" s="29"/>
      <c r="D2168" s="29"/>
      <c r="E2168" s="30"/>
      <c r="F2168" s="30"/>
      <c r="X2168" s="29"/>
      <c r="Y2168" s="29"/>
      <c r="AA2168" s="18"/>
      <c r="AC2168" s="31"/>
      <c r="AE2168" s="18"/>
      <c r="AG2168" s="29"/>
    </row>
    <row r="2169" spans="1:33">
      <c r="A2169" s="29"/>
      <c r="B2169" s="29"/>
      <c r="C2169" s="29"/>
      <c r="D2169" s="29"/>
      <c r="E2169" s="30"/>
      <c r="F2169" s="30"/>
      <c r="X2169" s="29"/>
      <c r="Y2169" s="29"/>
      <c r="AA2169" s="18"/>
      <c r="AC2169" s="31"/>
      <c r="AE2169" s="18"/>
      <c r="AG2169" s="29"/>
    </row>
    <row r="2170" spans="1:33">
      <c r="A2170" s="29"/>
      <c r="B2170" s="29"/>
      <c r="C2170" s="29"/>
      <c r="D2170" s="29"/>
      <c r="E2170" s="30"/>
      <c r="F2170" s="30"/>
      <c r="X2170" s="29"/>
      <c r="Y2170" s="29"/>
      <c r="AA2170" s="18"/>
      <c r="AC2170" s="31"/>
      <c r="AE2170" s="18"/>
      <c r="AG2170" s="29"/>
    </row>
    <row r="2171" spans="1:33">
      <c r="A2171" s="29"/>
      <c r="B2171" s="29"/>
      <c r="C2171" s="29"/>
      <c r="D2171" s="29"/>
      <c r="E2171" s="30"/>
      <c r="F2171" s="30"/>
      <c r="X2171" s="29"/>
      <c r="Y2171" s="29"/>
      <c r="AA2171" s="18"/>
      <c r="AC2171" s="31"/>
      <c r="AE2171" s="18"/>
      <c r="AG2171" s="29"/>
    </row>
    <row r="2172" spans="1:33">
      <c r="A2172" s="29"/>
      <c r="B2172" s="29"/>
      <c r="C2172" s="29"/>
      <c r="D2172" s="29"/>
      <c r="E2172" s="30"/>
      <c r="F2172" s="30"/>
      <c r="X2172" s="29"/>
      <c r="Y2172" s="29"/>
      <c r="AA2172" s="18"/>
      <c r="AC2172" s="31"/>
      <c r="AE2172" s="18"/>
      <c r="AG2172" s="29"/>
    </row>
    <row r="2173" spans="1:33">
      <c r="A2173" s="29"/>
      <c r="B2173" s="29"/>
      <c r="C2173" s="29"/>
      <c r="D2173" s="29"/>
      <c r="E2173" s="30"/>
      <c r="F2173" s="30"/>
      <c r="X2173" s="29"/>
      <c r="Y2173" s="29"/>
      <c r="AA2173" s="18"/>
      <c r="AC2173" s="31"/>
      <c r="AE2173" s="18"/>
      <c r="AG2173" s="29"/>
    </row>
    <row r="2174" spans="1:33">
      <c r="A2174" s="29"/>
      <c r="B2174" s="29"/>
      <c r="C2174" s="29"/>
      <c r="D2174" s="29"/>
      <c r="E2174" s="30"/>
      <c r="F2174" s="30"/>
      <c r="X2174" s="29"/>
      <c r="Y2174" s="29"/>
      <c r="AA2174" s="18"/>
      <c r="AC2174" s="31"/>
      <c r="AE2174" s="18"/>
      <c r="AG2174" s="29"/>
    </row>
    <row r="2175" spans="1:33">
      <c r="A2175" s="29"/>
      <c r="B2175" s="29"/>
      <c r="C2175" s="29"/>
      <c r="D2175" s="29"/>
      <c r="E2175" s="30"/>
      <c r="F2175" s="30"/>
      <c r="X2175" s="29"/>
      <c r="Y2175" s="29"/>
      <c r="AA2175" s="18"/>
      <c r="AC2175" s="31"/>
      <c r="AE2175" s="18"/>
      <c r="AG2175" s="29"/>
    </row>
    <row r="2176" spans="1:33">
      <c r="A2176" s="29"/>
      <c r="B2176" s="29"/>
      <c r="C2176" s="29"/>
      <c r="D2176" s="29"/>
      <c r="E2176" s="30"/>
      <c r="F2176" s="30"/>
      <c r="X2176" s="29"/>
      <c r="Y2176" s="29"/>
      <c r="AA2176" s="18"/>
      <c r="AC2176" s="31"/>
      <c r="AE2176" s="18"/>
      <c r="AG2176" s="29"/>
    </row>
    <row r="2177" spans="1:33">
      <c r="A2177" s="29"/>
      <c r="B2177" s="29"/>
      <c r="C2177" s="29"/>
      <c r="D2177" s="29"/>
      <c r="E2177" s="30"/>
      <c r="F2177" s="30"/>
      <c r="X2177" s="29"/>
      <c r="Y2177" s="29"/>
      <c r="AA2177" s="18"/>
      <c r="AC2177" s="31"/>
      <c r="AE2177" s="18"/>
      <c r="AG2177" s="29"/>
    </row>
    <row r="2178" spans="1:33">
      <c r="A2178" s="29"/>
      <c r="B2178" s="29"/>
      <c r="C2178" s="29"/>
      <c r="D2178" s="29"/>
      <c r="E2178" s="30"/>
      <c r="F2178" s="30"/>
      <c r="X2178" s="29"/>
      <c r="Y2178" s="29"/>
      <c r="AA2178" s="18"/>
      <c r="AC2178" s="31"/>
      <c r="AE2178" s="18"/>
      <c r="AG2178" s="29"/>
    </row>
    <row r="2179" spans="1:33">
      <c r="A2179" s="29"/>
      <c r="B2179" s="29"/>
      <c r="C2179" s="29"/>
      <c r="D2179" s="29"/>
      <c r="E2179" s="30"/>
      <c r="F2179" s="30"/>
      <c r="X2179" s="29"/>
      <c r="Y2179" s="29"/>
      <c r="AA2179" s="18"/>
      <c r="AC2179" s="31"/>
      <c r="AE2179" s="18"/>
      <c r="AG2179" s="29"/>
    </row>
    <row r="2180" spans="1:33">
      <c r="A2180" s="29"/>
      <c r="B2180" s="29"/>
      <c r="C2180" s="29"/>
      <c r="D2180" s="29"/>
      <c r="E2180" s="30"/>
      <c r="F2180" s="30"/>
      <c r="X2180" s="29"/>
      <c r="Y2180" s="29"/>
      <c r="AA2180" s="18"/>
      <c r="AC2180" s="31"/>
      <c r="AE2180" s="18"/>
      <c r="AG2180" s="29"/>
    </row>
    <row r="2181" spans="1:33">
      <c r="A2181" s="29"/>
      <c r="B2181" s="29"/>
      <c r="C2181" s="29"/>
      <c r="D2181" s="29"/>
      <c r="E2181" s="30"/>
      <c r="F2181" s="30"/>
      <c r="X2181" s="29"/>
      <c r="Y2181" s="29"/>
      <c r="AA2181" s="18"/>
      <c r="AC2181" s="31"/>
      <c r="AE2181" s="18"/>
      <c r="AG2181" s="29"/>
    </row>
    <row r="2182" spans="1:33">
      <c r="A2182" s="29"/>
      <c r="B2182" s="29"/>
      <c r="C2182" s="29"/>
      <c r="D2182" s="29"/>
      <c r="E2182" s="30"/>
      <c r="F2182" s="30"/>
      <c r="X2182" s="29"/>
      <c r="Y2182" s="29"/>
      <c r="AA2182" s="18"/>
      <c r="AC2182" s="31"/>
      <c r="AE2182" s="18"/>
      <c r="AG2182" s="29"/>
    </row>
    <row r="2183" spans="1:33">
      <c r="A2183" s="29"/>
      <c r="B2183" s="29"/>
      <c r="C2183" s="29"/>
      <c r="D2183" s="29"/>
      <c r="E2183" s="30"/>
      <c r="F2183" s="30"/>
      <c r="X2183" s="29"/>
      <c r="Y2183" s="29"/>
      <c r="AA2183" s="18"/>
      <c r="AC2183" s="31"/>
      <c r="AE2183" s="18"/>
      <c r="AG2183" s="29"/>
    </row>
    <row r="2184" spans="1:33">
      <c r="A2184" s="29"/>
      <c r="B2184" s="29"/>
      <c r="C2184" s="29"/>
      <c r="D2184" s="29"/>
      <c r="E2184" s="30"/>
      <c r="F2184" s="30"/>
      <c r="X2184" s="29"/>
      <c r="Y2184" s="29"/>
      <c r="AA2184" s="18"/>
      <c r="AC2184" s="31"/>
      <c r="AE2184" s="18"/>
      <c r="AG2184" s="29"/>
    </row>
    <row r="2185" spans="1:33">
      <c r="A2185" s="29"/>
      <c r="B2185" s="29"/>
      <c r="C2185" s="29"/>
      <c r="D2185" s="29"/>
      <c r="E2185" s="30"/>
      <c r="F2185" s="30"/>
      <c r="X2185" s="29"/>
      <c r="Y2185" s="29"/>
      <c r="AA2185" s="18"/>
      <c r="AC2185" s="31"/>
      <c r="AE2185" s="18"/>
      <c r="AG2185" s="29"/>
    </row>
    <row r="2186" spans="1:33">
      <c r="A2186" s="29"/>
      <c r="B2186" s="29"/>
      <c r="C2186" s="29"/>
      <c r="D2186" s="29"/>
      <c r="E2186" s="30"/>
      <c r="F2186" s="30"/>
      <c r="X2186" s="29"/>
      <c r="Y2186" s="29"/>
      <c r="AA2186" s="18"/>
      <c r="AC2186" s="31"/>
      <c r="AE2186" s="18"/>
      <c r="AG2186" s="29"/>
    </row>
    <row r="2187" spans="1:33">
      <c r="A2187" s="29"/>
      <c r="B2187" s="29"/>
      <c r="C2187" s="29"/>
      <c r="D2187" s="29"/>
      <c r="E2187" s="30"/>
      <c r="F2187" s="30"/>
      <c r="X2187" s="29"/>
      <c r="Y2187" s="29"/>
      <c r="AA2187" s="18"/>
      <c r="AC2187" s="31"/>
      <c r="AE2187" s="18"/>
      <c r="AG2187" s="29"/>
    </row>
    <row r="2188" spans="1:33">
      <c r="A2188" s="29"/>
      <c r="B2188" s="29"/>
      <c r="C2188" s="29"/>
      <c r="D2188" s="29"/>
      <c r="E2188" s="30"/>
      <c r="F2188" s="30"/>
      <c r="X2188" s="29"/>
      <c r="Y2188" s="29"/>
      <c r="AA2188" s="18"/>
      <c r="AC2188" s="31"/>
      <c r="AE2188" s="18"/>
      <c r="AG2188" s="29"/>
    </row>
    <row r="2189" spans="1:33">
      <c r="A2189" s="29"/>
      <c r="B2189" s="29"/>
      <c r="C2189" s="29"/>
      <c r="D2189" s="29"/>
      <c r="E2189" s="30"/>
      <c r="F2189" s="30"/>
      <c r="X2189" s="29"/>
      <c r="Y2189" s="29"/>
      <c r="AA2189" s="18"/>
      <c r="AC2189" s="31"/>
      <c r="AE2189" s="18"/>
      <c r="AG2189" s="29"/>
    </row>
    <row r="2190" spans="1:33">
      <c r="A2190" s="29"/>
      <c r="B2190" s="29"/>
      <c r="C2190" s="29"/>
      <c r="D2190" s="29"/>
      <c r="E2190" s="30"/>
      <c r="F2190" s="30"/>
      <c r="X2190" s="29"/>
      <c r="Y2190" s="29"/>
      <c r="AA2190" s="18"/>
      <c r="AC2190" s="31"/>
      <c r="AE2190" s="18"/>
      <c r="AG2190" s="29"/>
    </row>
    <row r="2191" spans="1:33">
      <c r="A2191" s="29"/>
      <c r="B2191" s="29"/>
      <c r="C2191" s="29"/>
      <c r="D2191" s="29"/>
      <c r="E2191" s="30"/>
      <c r="F2191" s="30"/>
      <c r="X2191" s="29"/>
      <c r="Y2191" s="29"/>
      <c r="AA2191" s="18"/>
      <c r="AC2191" s="31"/>
      <c r="AE2191" s="18"/>
      <c r="AG2191" s="29"/>
    </row>
    <row r="2192" spans="1:33">
      <c r="A2192" s="29"/>
      <c r="B2192" s="29"/>
      <c r="C2192" s="29"/>
      <c r="D2192" s="29"/>
      <c r="E2192" s="30"/>
      <c r="F2192" s="30"/>
      <c r="X2192" s="29"/>
      <c r="Y2192" s="29"/>
      <c r="AA2192" s="18"/>
      <c r="AC2192" s="31"/>
      <c r="AE2192" s="18"/>
      <c r="AG2192" s="29"/>
    </row>
    <row r="2193" spans="1:33">
      <c r="A2193" s="29"/>
      <c r="B2193" s="29"/>
      <c r="C2193" s="29"/>
      <c r="D2193" s="29"/>
      <c r="E2193" s="30"/>
      <c r="F2193" s="30"/>
      <c r="X2193" s="29"/>
      <c r="Y2193" s="29"/>
      <c r="AA2193" s="18"/>
      <c r="AC2193" s="31"/>
      <c r="AE2193" s="18"/>
      <c r="AG2193" s="29"/>
    </row>
    <row r="2194" spans="1:33">
      <c r="A2194" s="29"/>
      <c r="B2194" s="29"/>
      <c r="C2194" s="29"/>
      <c r="D2194" s="29"/>
      <c r="E2194" s="30"/>
      <c r="F2194" s="30"/>
      <c r="X2194" s="29"/>
      <c r="Y2194" s="29"/>
      <c r="AA2194" s="18"/>
      <c r="AC2194" s="31"/>
      <c r="AE2194" s="18"/>
      <c r="AG2194" s="29"/>
    </row>
    <row r="2195" spans="1:33">
      <c r="A2195" s="29"/>
      <c r="B2195" s="29"/>
      <c r="C2195" s="29"/>
      <c r="D2195" s="29"/>
      <c r="E2195" s="30"/>
      <c r="F2195" s="30"/>
      <c r="X2195" s="29"/>
      <c r="Y2195" s="29"/>
      <c r="AA2195" s="18"/>
      <c r="AC2195" s="31"/>
      <c r="AE2195" s="18"/>
      <c r="AG2195" s="29"/>
    </row>
    <row r="2196" spans="1:33">
      <c r="A2196" s="29"/>
      <c r="B2196" s="29"/>
      <c r="C2196" s="29"/>
      <c r="D2196" s="29"/>
      <c r="E2196" s="30"/>
      <c r="F2196" s="30"/>
      <c r="X2196" s="29"/>
      <c r="Y2196" s="29"/>
      <c r="AA2196" s="18"/>
      <c r="AC2196" s="31"/>
      <c r="AE2196" s="18"/>
      <c r="AG2196" s="29"/>
    </row>
    <row r="2197" spans="1:33">
      <c r="A2197" s="29"/>
      <c r="B2197" s="29"/>
      <c r="C2197" s="29"/>
      <c r="D2197" s="29"/>
      <c r="E2197" s="30"/>
      <c r="F2197" s="30"/>
      <c r="X2197" s="29"/>
      <c r="Y2197" s="29"/>
      <c r="AA2197" s="18"/>
      <c r="AC2197" s="31"/>
      <c r="AE2197" s="18"/>
      <c r="AG2197" s="29"/>
    </row>
    <row r="2198" spans="1:33">
      <c r="A2198" s="29"/>
      <c r="B2198" s="29"/>
      <c r="C2198" s="29"/>
      <c r="D2198" s="29"/>
      <c r="E2198" s="30"/>
      <c r="F2198" s="30"/>
      <c r="X2198" s="29"/>
      <c r="Y2198" s="29"/>
      <c r="AA2198" s="18"/>
      <c r="AC2198" s="31"/>
      <c r="AE2198" s="18"/>
      <c r="AG2198" s="29"/>
    </row>
    <row r="2199" spans="1:33">
      <c r="A2199" s="29"/>
      <c r="B2199" s="29"/>
      <c r="C2199" s="29"/>
      <c r="D2199" s="29"/>
      <c r="E2199" s="30"/>
      <c r="F2199" s="30"/>
      <c r="X2199" s="29"/>
      <c r="Y2199" s="29"/>
      <c r="AA2199" s="18"/>
      <c r="AC2199" s="31"/>
      <c r="AE2199" s="18"/>
      <c r="AG2199" s="29"/>
    </row>
    <row r="2200" spans="1:33">
      <c r="A2200" s="29"/>
      <c r="B2200" s="29"/>
      <c r="C2200" s="29"/>
      <c r="D2200" s="29"/>
      <c r="E2200" s="30"/>
      <c r="F2200" s="30"/>
      <c r="X2200" s="29"/>
      <c r="Y2200" s="29"/>
      <c r="AA2200" s="18"/>
      <c r="AC2200" s="31"/>
      <c r="AE2200" s="18"/>
      <c r="AG2200" s="29"/>
    </row>
    <row r="2201" spans="1:33">
      <c r="A2201" s="29"/>
      <c r="B2201" s="29"/>
      <c r="C2201" s="29"/>
      <c r="D2201" s="29"/>
      <c r="E2201" s="30"/>
      <c r="F2201" s="30"/>
      <c r="X2201" s="29"/>
      <c r="Y2201" s="29"/>
      <c r="AA2201" s="18"/>
      <c r="AC2201" s="31"/>
      <c r="AE2201" s="18"/>
      <c r="AG2201" s="29"/>
    </row>
    <row r="2202" spans="1:33">
      <c r="A2202" s="29"/>
      <c r="B2202" s="29"/>
      <c r="C2202" s="29"/>
      <c r="D2202" s="29"/>
      <c r="E2202" s="30"/>
      <c r="F2202" s="30"/>
      <c r="X2202" s="29"/>
      <c r="Y2202" s="29"/>
      <c r="AA2202" s="18"/>
      <c r="AC2202" s="31"/>
      <c r="AE2202" s="18"/>
      <c r="AG2202" s="29"/>
    </row>
    <row r="2203" spans="1:33">
      <c r="A2203" s="29"/>
      <c r="B2203" s="29"/>
      <c r="C2203" s="29"/>
      <c r="D2203" s="29"/>
      <c r="E2203" s="30"/>
      <c r="F2203" s="30"/>
      <c r="X2203" s="29"/>
      <c r="Y2203" s="29"/>
      <c r="AA2203" s="18"/>
      <c r="AC2203" s="31"/>
      <c r="AE2203" s="18"/>
      <c r="AG2203" s="29"/>
    </row>
    <row r="2204" spans="1:33">
      <c r="A2204" s="29"/>
      <c r="B2204" s="29"/>
      <c r="C2204" s="29"/>
      <c r="D2204" s="29"/>
      <c r="E2204" s="30"/>
      <c r="F2204" s="30"/>
      <c r="X2204" s="29"/>
      <c r="Y2204" s="29"/>
      <c r="AA2204" s="18"/>
      <c r="AC2204" s="31"/>
      <c r="AE2204" s="18"/>
      <c r="AG2204" s="29"/>
    </row>
    <row r="2205" spans="1:33">
      <c r="A2205" s="29"/>
      <c r="B2205" s="29"/>
      <c r="C2205" s="29"/>
      <c r="D2205" s="29"/>
      <c r="E2205" s="30"/>
      <c r="F2205" s="30"/>
      <c r="X2205" s="29"/>
      <c r="Y2205" s="29"/>
      <c r="AA2205" s="18"/>
      <c r="AC2205" s="31"/>
      <c r="AE2205" s="18"/>
      <c r="AG2205" s="29"/>
    </row>
    <row r="2206" spans="1:33">
      <c r="A2206" s="29"/>
      <c r="B2206" s="29"/>
      <c r="C2206" s="29"/>
      <c r="D2206" s="29"/>
      <c r="E2206" s="30"/>
      <c r="F2206" s="30"/>
      <c r="X2206" s="29"/>
      <c r="Y2206" s="29"/>
      <c r="AA2206" s="18"/>
      <c r="AC2206" s="31"/>
      <c r="AE2206" s="18"/>
      <c r="AG2206" s="29"/>
    </row>
    <row r="2207" spans="1:33">
      <c r="A2207" s="29"/>
      <c r="B2207" s="29"/>
      <c r="C2207" s="29"/>
      <c r="D2207" s="29"/>
      <c r="E2207" s="30"/>
      <c r="F2207" s="30"/>
      <c r="X2207" s="29"/>
      <c r="Y2207" s="29"/>
      <c r="AA2207" s="18"/>
      <c r="AC2207" s="31"/>
      <c r="AE2207" s="18"/>
      <c r="AG2207" s="29"/>
    </row>
    <row r="2208" spans="1:33">
      <c r="A2208" s="29"/>
      <c r="B2208" s="29"/>
      <c r="C2208" s="29"/>
      <c r="D2208" s="29"/>
      <c r="E2208" s="30"/>
      <c r="F2208" s="30"/>
      <c r="X2208" s="29"/>
      <c r="Y2208" s="29"/>
      <c r="AA2208" s="18"/>
      <c r="AC2208" s="31"/>
      <c r="AE2208" s="18"/>
      <c r="AG2208" s="29"/>
    </row>
    <row r="2209" spans="1:33">
      <c r="A2209" s="29"/>
      <c r="B2209" s="29"/>
      <c r="C2209" s="29"/>
      <c r="D2209" s="29"/>
      <c r="E2209" s="30"/>
      <c r="F2209" s="30"/>
      <c r="X2209" s="29"/>
      <c r="Y2209" s="29"/>
      <c r="AA2209" s="18"/>
      <c r="AC2209" s="31"/>
      <c r="AE2209" s="18"/>
      <c r="AG2209" s="29"/>
    </row>
    <row r="2210" spans="1:33">
      <c r="A2210" s="29"/>
      <c r="B2210" s="29"/>
      <c r="C2210" s="29"/>
      <c r="D2210" s="29"/>
      <c r="E2210" s="30"/>
      <c r="F2210" s="30"/>
      <c r="X2210" s="29"/>
      <c r="Y2210" s="29"/>
      <c r="AA2210" s="18"/>
      <c r="AC2210" s="31"/>
      <c r="AE2210" s="18"/>
      <c r="AG2210" s="29"/>
    </row>
    <row r="2211" spans="1:33">
      <c r="A2211" s="29"/>
      <c r="B2211" s="29"/>
      <c r="C2211" s="29"/>
      <c r="D2211" s="29"/>
      <c r="E2211" s="30"/>
      <c r="F2211" s="30"/>
      <c r="X2211" s="29"/>
      <c r="Y2211" s="29"/>
      <c r="AA2211" s="18"/>
      <c r="AC2211" s="31"/>
      <c r="AE2211" s="18"/>
      <c r="AG2211" s="29"/>
    </row>
    <row r="2212" spans="1:33">
      <c r="A2212" s="29"/>
      <c r="B2212" s="29"/>
      <c r="C2212" s="29"/>
      <c r="D2212" s="29"/>
      <c r="E2212" s="30"/>
      <c r="F2212" s="30"/>
      <c r="X2212" s="29"/>
      <c r="Y2212" s="29"/>
      <c r="AA2212" s="18"/>
      <c r="AC2212" s="31"/>
      <c r="AE2212" s="18"/>
      <c r="AG2212" s="29"/>
    </row>
    <row r="2213" spans="1:33">
      <c r="A2213" s="29"/>
      <c r="B2213" s="29"/>
      <c r="C2213" s="29"/>
      <c r="D2213" s="29"/>
      <c r="E2213" s="30"/>
      <c r="F2213" s="30"/>
      <c r="X2213" s="29"/>
      <c r="Y2213" s="29"/>
      <c r="AA2213" s="18"/>
      <c r="AC2213" s="31"/>
      <c r="AE2213" s="18"/>
      <c r="AG2213" s="29"/>
    </row>
    <row r="2214" spans="1:33">
      <c r="A2214" s="29"/>
      <c r="B2214" s="29"/>
      <c r="C2214" s="29"/>
      <c r="D2214" s="29"/>
      <c r="E2214" s="30"/>
      <c r="F2214" s="30"/>
      <c r="X2214" s="29"/>
      <c r="Y2214" s="29"/>
      <c r="AA2214" s="18"/>
      <c r="AC2214" s="31"/>
      <c r="AE2214" s="18"/>
      <c r="AG2214" s="29"/>
    </row>
    <row r="2215" spans="1:33">
      <c r="A2215" s="29"/>
      <c r="B2215" s="29"/>
      <c r="C2215" s="29"/>
      <c r="D2215" s="29"/>
      <c r="E2215" s="30"/>
      <c r="F2215" s="30"/>
      <c r="X2215" s="29"/>
      <c r="Y2215" s="29"/>
      <c r="AA2215" s="18"/>
      <c r="AC2215" s="31"/>
      <c r="AE2215" s="18"/>
      <c r="AG2215" s="29"/>
    </row>
    <row r="2216" spans="1:33">
      <c r="A2216" s="29"/>
      <c r="B2216" s="29"/>
      <c r="C2216" s="29"/>
      <c r="D2216" s="29"/>
      <c r="E2216" s="30"/>
      <c r="F2216" s="30"/>
      <c r="X2216" s="29"/>
      <c r="Y2216" s="29"/>
      <c r="AA2216" s="18"/>
      <c r="AC2216" s="31"/>
      <c r="AE2216" s="18"/>
      <c r="AG2216" s="29"/>
    </row>
    <row r="2217" spans="1:33">
      <c r="A2217" s="29"/>
      <c r="B2217" s="29"/>
      <c r="C2217" s="29"/>
      <c r="D2217" s="29"/>
      <c r="E2217" s="30"/>
      <c r="F2217" s="30"/>
      <c r="X2217" s="29"/>
      <c r="Y2217" s="29"/>
      <c r="AA2217" s="18"/>
      <c r="AC2217" s="31"/>
      <c r="AE2217" s="18"/>
      <c r="AG2217" s="29"/>
    </row>
    <row r="2218" spans="1:33">
      <c r="A2218" s="29"/>
      <c r="B2218" s="29"/>
      <c r="C2218" s="29"/>
      <c r="D2218" s="29"/>
      <c r="E2218" s="30"/>
      <c r="F2218" s="30"/>
      <c r="X2218" s="29"/>
      <c r="Y2218" s="29"/>
      <c r="AA2218" s="18"/>
      <c r="AC2218" s="31"/>
      <c r="AE2218" s="18"/>
      <c r="AG2218" s="29"/>
    </row>
    <row r="2219" spans="1:33">
      <c r="A2219" s="29"/>
      <c r="B2219" s="29"/>
      <c r="C2219" s="29"/>
      <c r="D2219" s="29"/>
      <c r="E2219" s="30"/>
      <c r="F2219" s="30"/>
      <c r="X2219" s="29"/>
      <c r="Y2219" s="29"/>
      <c r="AA2219" s="18"/>
      <c r="AC2219" s="31"/>
      <c r="AE2219" s="18"/>
      <c r="AG2219" s="29"/>
    </row>
    <row r="2220" spans="1:33">
      <c r="A2220" s="29"/>
      <c r="B2220" s="29"/>
      <c r="C2220" s="29"/>
      <c r="D2220" s="29"/>
      <c r="E2220" s="30"/>
      <c r="F2220" s="30"/>
      <c r="X2220" s="29"/>
      <c r="Y2220" s="29"/>
      <c r="AA2220" s="18"/>
      <c r="AC2220" s="31"/>
      <c r="AE2220" s="18"/>
      <c r="AG2220" s="29"/>
    </row>
    <row r="2221" spans="1:33">
      <c r="A2221" s="29"/>
      <c r="B2221" s="29"/>
      <c r="C2221" s="29"/>
      <c r="D2221" s="29"/>
      <c r="E2221" s="30"/>
      <c r="F2221" s="30"/>
      <c r="X2221" s="29"/>
      <c r="Y2221" s="29"/>
      <c r="AA2221" s="18"/>
      <c r="AC2221" s="30"/>
      <c r="AE2221" s="18"/>
      <c r="AG2221" s="29"/>
    </row>
    <row r="2222" spans="1:33">
      <c r="A2222" s="29"/>
      <c r="B2222" s="29"/>
      <c r="C2222" s="29"/>
      <c r="D2222" s="29"/>
      <c r="E2222" s="30"/>
      <c r="F2222" s="30"/>
      <c r="X2222" s="29"/>
      <c r="Y2222" s="29"/>
      <c r="AA2222" s="18"/>
      <c r="AC2222" s="31"/>
      <c r="AE2222" s="18"/>
      <c r="AG2222" s="29"/>
    </row>
    <row r="2223" spans="1:33">
      <c r="A2223" s="29"/>
      <c r="B2223" s="29"/>
      <c r="C2223" s="29"/>
      <c r="D2223" s="29"/>
      <c r="E2223" s="30"/>
      <c r="F2223" s="30"/>
      <c r="X2223" s="29"/>
      <c r="Y2223" s="29"/>
      <c r="AA2223" s="18"/>
      <c r="AC2223" s="31"/>
      <c r="AE2223" s="18"/>
      <c r="AG2223" s="29"/>
    </row>
    <row r="2224" spans="1:33">
      <c r="A2224" s="29"/>
      <c r="B2224" s="29"/>
      <c r="C2224" s="29"/>
      <c r="D2224" s="29"/>
      <c r="E2224" s="30"/>
      <c r="F2224" s="30"/>
      <c r="X2224" s="29"/>
      <c r="Y2224" s="29"/>
      <c r="AA2224" s="18"/>
      <c r="AC2224" s="31"/>
      <c r="AE2224" s="18"/>
      <c r="AG2224" s="29"/>
    </row>
    <row r="2225" spans="1:33">
      <c r="A2225" s="29"/>
      <c r="B2225" s="29"/>
      <c r="C2225" s="29"/>
      <c r="D2225" s="29"/>
      <c r="E2225" s="30"/>
      <c r="F2225" s="30"/>
      <c r="X2225" s="29"/>
      <c r="Y2225" s="29"/>
      <c r="AA2225" s="18"/>
      <c r="AC2225" s="31"/>
      <c r="AE2225" s="18"/>
      <c r="AG2225" s="29"/>
    </row>
    <row r="2226" spans="1:33">
      <c r="A2226" s="29"/>
      <c r="B2226" s="29"/>
      <c r="C2226" s="29"/>
      <c r="D2226" s="29"/>
      <c r="E2226" s="30"/>
      <c r="F2226" s="30"/>
      <c r="X2226" s="29"/>
      <c r="Y2226" s="29"/>
      <c r="AA2226" s="18"/>
      <c r="AC2226" s="30"/>
      <c r="AE2226" s="18"/>
      <c r="AG2226" s="29"/>
    </row>
    <row r="2227" spans="1:33">
      <c r="A2227" s="29"/>
      <c r="B2227" s="29"/>
      <c r="C2227" s="29"/>
      <c r="D2227" s="29"/>
      <c r="E2227" s="30"/>
      <c r="F2227" s="30"/>
      <c r="X2227" s="29"/>
      <c r="Y2227" s="29"/>
      <c r="AA2227" s="18"/>
      <c r="AC2227" s="31"/>
      <c r="AE2227" s="18"/>
      <c r="AG2227" s="29"/>
    </row>
    <row r="2228" spans="1:33">
      <c r="A2228" s="29"/>
      <c r="B2228" s="29"/>
      <c r="C2228" s="29"/>
      <c r="D2228" s="29"/>
      <c r="E2228" s="30"/>
      <c r="F2228" s="30"/>
      <c r="X2228" s="29"/>
      <c r="Y2228" s="29"/>
      <c r="AA2228" s="18"/>
      <c r="AC2228" s="31"/>
      <c r="AE2228" s="18"/>
      <c r="AG2228" s="29"/>
    </row>
    <row r="2229" spans="1:33">
      <c r="A2229" s="29"/>
      <c r="B2229" s="29"/>
      <c r="C2229" s="29"/>
      <c r="D2229" s="29"/>
      <c r="E2229" s="30"/>
      <c r="F2229" s="30"/>
      <c r="X2229" s="29"/>
      <c r="Y2229" s="29"/>
      <c r="AA2229" s="18"/>
      <c r="AC2229" s="31"/>
      <c r="AE2229" s="18"/>
      <c r="AG2229" s="29"/>
    </row>
    <row r="2230" spans="1:33">
      <c r="A2230" s="29"/>
      <c r="B2230" s="29"/>
      <c r="C2230" s="29"/>
      <c r="D2230" s="29"/>
      <c r="E2230" s="30"/>
      <c r="F2230" s="30"/>
      <c r="X2230" s="29"/>
      <c r="Y2230" s="29"/>
      <c r="AA2230" s="18"/>
      <c r="AC2230" s="31"/>
      <c r="AE2230" s="18"/>
      <c r="AG2230" s="29"/>
    </row>
    <row r="2231" spans="1:33">
      <c r="A2231" s="29"/>
      <c r="B2231" s="29"/>
      <c r="C2231" s="29"/>
      <c r="D2231" s="29"/>
      <c r="E2231" s="30"/>
      <c r="F2231" s="30"/>
      <c r="X2231" s="29"/>
      <c r="Y2231" s="29"/>
      <c r="AA2231" s="18"/>
      <c r="AC2231" s="31"/>
      <c r="AE2231" s="18"/>
      <c r="AG2231" s="29"/>
    </row>
    <row r="2232" spans="1:33">
      <c r="A2232" s="29"/>
      <c r="B2232" s="29"/>
      <c r="C2232" s="29"/>
      <c r="D2232" s="29"/>
      <c r="E2232" s="30"/>
      <c r="F2232" s="30"/>
      <c r="X2232" s="29"/>
      <c r="Y2232" s="29"/>
      <c r="AA2232" s="18"/>
      <c r="AC2232" s="31"/>
      <c r="AE2232" s="18"/>
      <c r="AG2232" s="29"/>
    </row>
    <row r="2233" spans="1:33">
      <c r="A2233" s="29"/>
      <c r="B2233" s="29"/>
      <c r="C2233" s="29"/>
      <c r="D2233" s="29"/>
      <c r="E2233" s="30"/>
      <c r="F2233" s="30"/>
      <c r="X2233" s="29"/>
      <c r="Y2233" s="29"/>
      <c r="AA2233" s="18"/>
      <c r="AC2233" s="31"/>
      <c r="AE2233" s="18"/>
      <c r="AG2233" s="29"/>
    </row>
    <row r="2234" spans="1:33">
      <c r="A2234" s="29"/>
      <c r="B2234" s="29"/>
      <c r="C2234" s="29"/>
      <c r="D2234" s="29"/>
      <c r="E2234" s="30"/>
      <c r="F2234" s="30"/>
      <c r="X2234" s="29"/>
      <c r="Y2234" s="29"/>
      <c r="AA2234" s="18"/>
      <c r="AC2234" s="31"/>
      <c r="AE2234" s="18"/>
      <c r="AG2234" s="29"/>
    </row>
    <row r="2235" spans="1:33">
      <c r="A2235" s="29"/>
      <c r="B2235" s="29"/>
      <c r="C2235" s="29"/>
      <c r="D2235" s="29"/>
      <c r="E2235" s="30"/>
      <c r="F2235" s="30"/>
      <c r="X2235" s="29"/>
      <c r="Y2235" s="29"/>
      <c r="AA2235" s="18"/>
      <c r="AC2235" s="31"/>
      <c r="AE2235" s="18"/>
      <c r="AG2235" s="29"/>
    </row>
    <row r="2236" spans="1:33">
      <c r="A2236" s="29"/>
      <c r="B2236" s="29"/>
      <c r="C2236" s="29"/>
      <c r="D2236" s="29"/>
      <c r="E2236" s="30"/>
      <c r="F2236" s="30"/>
      <c r="X2236" s="29"/>
      <c r="Y2236" s="29"/>
      <c r="AA2236" s="18"/>
      <c r="AC2236" s="31"/>
      <c r="AE2236" s="18"/>
      <c r="AG2236" s="29"/>
    </row>
    <row r="2237" spans="1:33">
      <c r="A2237" s="29"/>
      <c r="B2237" s="29"/>
      <c r="C2237" s="29"/>
      <c r="D2237" s="29"/>
      <c r="E2237" s="30"/>
      <c r="F2237" s="30"/>
      <c r="X2237" s="29"/>
      <c r="Y2237" s="29"/>
      <c r="AA2237" s="18"/>
      <c r="AC2237" s="31"/>
      <c r="AE2237" s="18"/>
      <c r="AG2237" s="29"/>
    </row>
    <row r="2238" spans="1:33">
      <c r="A2238" s="29"/>
      <c r="B2238" s="29"/>
      <c r="C2238" s="29"/>
      <c r="D2238" s="29"/>
      <c r="E2238" s="30"/>
      <c r="F2238" s="30"/>
      <c r="X2238" s="29"/>
      <c r="Y2238" s="29"/>
      <c r="AA2238" s="18"/>
      <c r="AC2238" s="31"/>
      <c r="AE2238" s="18"/>
      <c r="AG2238" s="29"/>
    </row>
    <row r="2239" spans="1:33">
      <c r="A2239" s="29"/>
      <c r="B2239" s="29"/>
      <c r="C2239" s="29"/>
      <c r="D2239" s="29"/>
      <c r="E2239" s="30"/>
      <c r="F2239" s="30"/>
      <c r="X2239" s="29"/>
      <c r="Y2239" s="29"/>
      <c r="AA2239" s="18"/>
      <c r="AC2239" s="31"/>
      <c r="AE2239" s="18"/>
      <c r="AG2239" s="29"/>
    </row>
    <row r="2240" spans="1:33">
      <c r="A2240" s="29"/>
      <c r="B2240" s="29"/>
      <c r="C2240" s="29"/>
      <c r="D2240" s="29"/>
      <c r="E2240" s="30"/>
      <c r="F2240" s="30"/>
      <c r="X2240" s="29"/>
      <c r="Y2240" s="29"/>
      <c r="AA2240" s="18"/>
      <c r="AC2240" s="31"/>
      <c r="AE2240" s="18"/>
      <c r="AG2240" s="29"/>
    </row>
    <row r="2241" spans="1:33">
      <c r="A2241" s="29"/>
      <c r="B2241" s="29"/>
      <c r="C2241" s="29"/>
      <c r="D2241" s="29"/>
      <c r="E2241" s="30"/>
      <c r="F2241" s="30"/>
      <c r="X2241" s="29"/>
      <c r="Y2241" s="29"/>
      <c r="AA2241" s="18"/>
      <c r="AC2241" s="31"/>
      <c r="AE2241" s="18"/>
      <c r="AG2241" s="29"/>
    </row>
    <row r="2242" spans="1:33">
      <c r="A2242" s="29"/>
      <c r="B2242" s="29"/>
      <c r="C2242" s="29"/>
      <c r="D2242" s="29"/>
      <c r="E2242" s="30"/>
      <c r="F2242" s="30"/>
      <c r="X2242" s="29"/>
      <c r="Y2242" s="29"/>
      <c r="AA2242" s="18"/>
      <c r="AC2242" s="31"/>
      <c r="AE2242" s="18"/>
      <c r="AG2242" s="29"/>
    </row>
    <row r="2243" spans="1:33">
      <c r="A2243" s="29"/>
      <c r="B2243" s="29"/>
      <c r="C2243" s="29"/>
      <c r="D2243" s="29"/>
      <c r="E2243" s="30"/>
      <c r="F2243" s="30"/>
      <c r="X2243" s="29"/>
      <c r="Y2243" s="29"/>
      <c r="AA2243" s="18"/>
      <c r="AC2243" s="31"/>
      <c r="AE2243" s="18"/>
      <c r="AG2243" s="29"/>
    </row>
    <row r="2244" spans="1:33">
      <c r="A2244" s="29"/>
      <c r="B2244" s="29"/>
      <c r="C2244" s="29"/>
      <c r="D2244" s="29"/>
      <c r="E2244" s="30"/>
      <c r="F2244" s="30"/>
      <c r="X2244" s="29"/>
      <c r="Y2244" s="29"/>
      <c r="AA2244" s="18"/>
      <c r="AC2244" s="31"/>
      <c r="AE2244" s="18"/>
      <c r="AG2244" s="29"/>
    </row>
    <row r="2245" spans="1:33">
      <c r="A2245" s="29"/>
      <c r="B2245" s="29"/>
      <c r="C2245" s="29"/>
      <c r="D2245" s="29"/>
      <c r="E2245" s="30"/>
      <c r="F2245" s="30"/>
      <c r="X2245" s="29"/>
      <c r="Y2245" s="29"/>
      <c r="AA2245" s="18"/>
      <c r="AC2245" s="31"/>
      <c r="AE2245" s="18"/>
      <c r="AG2245" s="29"/>
    </row>
    <row r="2246" spans="1:33">
      <c r="A2246" s="29"/>
      <c r="B2246" s="29"/>
      <c r="C2246" s="29"/>
      <c r="D2246" s="29"/>
      <c r="E2246" s="30"/>
      <c r="F2246" s="30"/>
      <c r="X2246" s="29"/>
      <c r="Y2246" s="29"/>
      <c r="AA2246" s="18"/>
      <c r="AC2246" s="31"/>
      <c r="AE2246" s="18"/>
      <c r="AG2246" s="29"/>
    </row>
    <row r="2247" spans="1:33">
      <c r="A2247" s="29"/>
      <c r="B2247" s="29"/>
      <c r="C2247" s="29"/>
      <c r="D2247" s="29"/>
      <c r="E2247" s="30"/>
      <c r="F2247" s="30"/>
      <c r="X2247" s="29"/>
      <c r="Y2247" s="29"/>
      <c r="AA2247" s="18"/>
      <c r="AC2247" s="31"/>
      <c r="AE2247" s="18"/>
      <c r="AG2247" s="29"/>
    </row>
    <row r="2248" spans="1:33">
      <c r="A2248" s="29"/>
      <c r="B2248" s="29"/>
      <c r="C2248" s="29"/>
      <c r="D2248" s="29"/>
      <c r="E2248" s="30"/>
      <c r="F2248" s="30"/>
      <c r="X2248" s="29"/>
      <c r="Y2248" s="29"/>
      <c r="AA2248" s="18"/>
      <c r="AC2248" s="31"/>
      <c r="AE2248" s="18"/>
      <c r="AG2248" s="29"/>
    </row>
    <row r="2249" spans="1:33">
      <c r="A2249" s="29"/>
      <c r="B2249" s="29"/>
      <c r="C2249" s="29"/>
      <c r="D2249" s="29"/>
      <c r="E2249" s="30"/>
      <c r="F2249" s="30"/>
      <c r="X2249" s="29"/>
      <c r="Y2249" s="29"/>
      <c r="AA2249" s="18"/>
      <c r="AC2249" s="31"/>
      <c r="AE2249" s="18"/>
      <c r="AG2249" s="29"/>
    </row>
    <row r="2250" spans="1:33">
      <c r="A2250" s="29"/>
      <c r="B2250" s="29"/>
      <c r="C2250" s="29"/>
      <c r="D2250" s="29"/>
      <c r="E2250" s="30"/>
      <c r="F2250" s="30"/>
      <c r="X2250" s="29"/>
      <c r="Y2250" s="29"/>
      <c r="AA2250" s="18"/>
      <c r="AC2250" s="31"/>
      <c r="AE2250" s="18"/>
      <c r="AG2250" s="29"/>
    </row>
    <row r="2251" spans="1:33">
      <c r="A2251" s="29"/>
      <c r="B2251" s="29"/>
      <c r="C2251" s="29"/>
      <c r="D2251" s="29"/>
      <c r="E2251" s="30"/>
      <c r="F2251" s="30"/>
      <c r="X2251" s="29"/>
      <c r="Y2251" s="29"/>
      <c r="AA2251" s="18"/>
      <c r="AC2251" s="31"/>
      <c r="AE2251" s="18"/>
      <c r="AG2251" s="29"/>
    </row>
    <row r="2252" spans="1:33">
      <c r="A2252" s="29"/>
      <c r="B2252" s="29"/>
      <c r="C2252" s="29"/>
      <c r="D2252" s="29"/>
      <c r="E2252" s="30"/>
      <c r="F2252" s="30"/>
      <c r="X2252" s="29"/>
      <c r="Y2252" s="29"/>
      <c r="AA2252" s="18"/>
      <c r="AC2252" s="31"/>
      <c r="AE2252" s="18"/>
      <c r="AG2252" s="29"/>
    </row>
    <row r="2253" spans="1:33">
      <c r="A2253" s="29"/>
      <c r="B2253" s="29"/>
      <c r="C2253" s="29"/>
      <c r="D2253" s="29"/>
      <c r="E2253" s="30"/>
      <c r="F2253" s="30"/>
      <c r="X2253" s="29"/>
      <c r="Y2253" s="29"/>
      <c r="AA2253" s="18"/>
      <c r="AC2253" s="31"/>
      <c r="AE2253" s="18"/>
      <c r="AG2253" s="29"/>
    </row>
    <row r="2254" spans="1:33">
      <c r="A2254" s="29"/>
      <c r="B2254" s="29"/>
      <c r="C2254" s="29"/>
      <c r="D2254" s="29"/>
      <c r="E2254" s="30"/>
      <c r="F2254" s="30"/>
      <c r="X2254" s="29"/>
      <c r="Y2254" s="29"/>
      <c r="AA2254" s="18"/>
      <c r="AC2254" s="31"/>
      <c r="AE2254" s="18"/>
      <c r="AG2254" s="29"/>
    </row>
    <row r="2255" spans="1:33">
      <c r="A2255" s="29"/>
      <c r="B2255" s="29"/>
      <c r="C2255" s="29"/>
      <c r="D2255" s="29"/>
      <c r="E2255" s="30"/>
      <c r="F2255" s="30"/>
      <c r="X2255" s="29"/>
      <c r="Y2255" s="29"/>
      <c r="AA2255" s="18"/>
      <c r="AC2255" s="31"/>
      <c r="AE2255" s="18"/>
      <c r="AG2255" s="29"/>
    </row>
    <row r="2256" spans="1:33">
      <c r="A2256" s="29"/>
      <c r="B2256" s="29"/>
      <c r="C2256" s="29"/>
      <c r="D2256" s="29"/>
      <c r="E2256" s="30"/>
      <c r="F2256" s="30"/>
      <c r="X2256" s="29"/>
      <c r="Y2256" s="29"/>
      <c r="AA2256" s="18"/>
      <c r="AC2256" s="31"/>
      <c r="AE2256" s="18"/>
      <c r="AG2256" s="29"/>
    </row>
    <row r="2257" spans="1:33">
      <c r="A2257" s="29"/>
      <c r="B2257" s="29"/>
      <c r="C2257" s="29"/>
      <c r="D2257" s="29"/>
      <c r="E2257" s="30"/>
      <c r="F2257" s="30"/>
      <c r="X2257" s="29"/>
      <c r="Y2257" s="29"/>
      <c r="AA2257" s="18"/>
      <c r="AC2257" s="31"/>
      <c r="AE2257" s="18"/>
      <c r="AG2257" s="29"/>
    </row>
    <row r="2258" spans="1:33">
      <c r="A2258" s="29"/>
      <c r="B2258" s="29"/>
      <c r="C2258" s="29"/>
      <c r="D2258" s="29"/>
      <c r="E2258" s="30"/>
      <c r="F2258" s="30"/>
      <c r="X2258" s="29"/>
      <c r="Y2258" s="29"/>
      <c r="AA2258" s="18"/>
      <c r="AC2258" s="31"/>
      <c r="AE2258" s="18"/>
      <c r="AG2258" s="29"/>
    </row>
    <row r="2259" spans="1:33">
      <c r="A2259" s="29"/>
      <c r="B2259" s="29"/>
      <c r="C2259" s="29"/>
      <c r="D2259" s="29"/>
      <c r="E2259" s="30"/>
      <c r="F2259" s="30"/>
      <c r="X2259" s="29"/>
      <c r="Y2259" s="29"/>
      <c r="AA2259" s="18"/>
      <c r="AC2259" s="31"/>
      <c r="AE2259" s="18"/>
      <c r="AG2259" s="29"/>
    </row>
    <row r="2260" spans="1:33">
      <c r="A2260" s="29"/>
      <c r="B2260" s="29"/>
      <c r="C2260" s="29"/>
      <c r="D2260" s="29"/>
      <c r="E2260" s="30"/>
      <c r="F2260" s="30"/>
      <c r="X2260" s="29"/>
      <c r="Y2260" s="29"/>
      <c r="AA2260" s="18"/>
      <c r="AC2260" s="31"/>
      <c r="AE2260" s="18"/>
      <c r="AG2260" s="29"/>
    </row>
    <row r="2261" spans="1:33">
      <c r="A2261" s="29"/>
      <c r="B2261" s="29"/>
      <c r="C2261" s="29"/>
      <c r="D2261" s="29"/>
      <c r="E2261" s="30"/>
      <c r="F2261" s="30"/>
      <c r="X2261" s="29"/>
      <c r="Y2261" s="29"/>
      <c r="AA2261" s="18"/>
      <c r="AC2261" s="31"/>
      <c r="AE2261" s="18"/>
      <c r="AG2261" s="29"/>
    </row>
    <row r="2262" spans="1:33">
      <c r="A2262" s="29"/>
      <c r="B2262" s="29"/>
      <c r="C2262" s="29"/>
      <c r="D2262" s="29"/>
      <c r="E2262" s="30"/>
      <c r="F2262" s="30"/>
      <c r="X2262" s="29"/>
      <c r="Y2262" s="29"/>
      <c r="AA2262" s="18"/>
      <c r="AC2262" s="31"/>
      <c r="AE2262" s="18"/>
      <c r="AG2262" s="29"/>
    </row>
    <row r="2263" spans="1:33">
      <c r="A2263" s="29"/>
      <c r="B2263" s="29"/>
      <c r="C2263" s="29"/>
      <c r="D2263" s="29"/>
      <c r="E2263" s="30"/>
      <c r="F2263" s="30"/>
      <c r="X2263" s="29"/>
      <c r="Y2263" s="29"/>
      <c r="AA2263" s="18"/>
      <c r="AC2263" s="31"/>
      <c r="AE2263" s="18"/>
      <c r="AG2263" s="29"/>
    </row>
    <row r="2264" spans="1:33">
      <c r="A2264" s="29"/>
      <c r="B2264" s="29"/>
      <c r="C2264" s="29"/>
      <c r="D2264" s="29"/>
      <c r="E2264" s="30"/>
      <c r="F2264" s="30"/>
      <c r="X2264" s="29"/>
      <c r="Y2264" s="29"/>
      <c r="AA2264" s="18"/>
      <c r="AC2264" s="31"/>
      <c r="AE2264" s="18"/>
      <c r="AG2264" s="29"/>
    </row>
    <row r="2265" spans="1:33">
      <c r="A2265" s="29"/>
      <c r="B2265" s="29"/>
      <c r="C2265" s="29"/>
      <c r="D2265" s="29"/>
      <c r="E2265" s="30"/>
      <c r="F2265" s="30"/>
      <c r="X2265" s="29"/>
      <c r="Y2265" s="29"/>
      <c r="AA2265" s="18"/>
      <c r="AC2265" s="31"/>
      <c r="AE2265" s="18"/>
      <c r="AG2265" s="29"/>
    </row>
    <row r="2266" spans="1:33">
      <c r="A2266" s="29"/>
      <c r="B2266" s="29"/>
      <c r="C2266" s="29"/>
      <c r="D2266" s="29"/>
      <c r="E2266" s="30"/>
      <c r="F2266" s="30"/>
      <c r="X2266" s="29"/>
      <c r="Y2266" s="29"/>
      <c r="AA2266" s="18"/>
      <c r="AC2266" s="31"/>
      <c r="AE2266" s="18"/>
      <c r="AG2266" s="29"/>
    </row>
    <row r="2267" spans="1:33">
      <c r="A2267" s="29"/>
      <c r="B2267" s="29"/>
      <c r="C2267" s="29"/>
      <c r="D2267" s="29"/>
      <c r="E2267" s="30"/>
      <c r="F2267" s="30"/>
      <c r="X2267" s="29"/>
      <c r="Y2267" s="29"/>
      <c r="AA2267" s="18"/>
      <c r="AC2267" s="31"/>
      <c r="AE2267" s="18"/>
      <c r="AG2267" s="29"/>
    </row>
    <row r="2268" spans="1:33">
      <c r="A2268" s="29"/>
      <c r="B2268" s="29"/>
      <c r="C2268" s="29"/>
      <c r="D2268" s="29"/>
      <c r="E2268" s="30"/>
      <c r="F2268" s="30"/>
      <c r="X2268" s="29"/>
      <c r="Y2268" s="29"/>
      <c r="AA2268" s="18"/>
      <c r="AC2268" s="31"/>
      <c r="AE2268" s="18"/>
      <c r="AG2268" s="29"/>
    </row>
    <row r="2269" spans="1:33">
      <c r="A2269" s="29"/>
      <c r="B2269" s="29"/>
      <c r="C2269" s="29"/>
      <c r="D2269" s="29"/>
      <c r="E2269" s="30"/>
      <c r="F2269" s="30"/>
      <c r="X2269" s="29"/>
      <c r="Y2269" s="29"/>
      <c r="AA2269" s="18"/>
      <c r="AC2269" s="31"/>
      <c r="AE2269" s="18"/>
      <c r="AG2269" s="29"/>
    </row>
    <row r="2270" spans="1:33">
      <c r="A2270" s="29"/>
      <c r="B2270" s="29"/>
      <c r="C2270" s="29"/>
      <c r="D2270" s="29"/>
      <c r="E2270" s="30"/>
      <c r="F2270" s="30"/>
      <c r="X2270" s="29"/>
      <c r="Y2270" s="29"/>
      <c r="AA2270" s="18"/>
      <c r="AC2270" s="31"/>
      <c r="AE2270" s="18"/>
      <c r="AG2270" s="29"/>
    </row>
    <row r="2271" spans="1:33">
      <c r="A2271" s="29"/>
      <c r="B2271" s="29"/>
      <c r="C2271" s="29"/>
      <c r="D2271" s="29"/>
      <c r="E2271" s="30"/>
      <c r="F2271" s="30"/>
      <c r="X2271" s="29"/>
      <c r="Y2271" s="29"/>
      <c r="AA2271" s="18"/>
      <c r="AC2271" s="31"/>
      <c r="AE2271" s="18"/>
      <c r="AG2271" s="29"/>
    </row>
    <row r="2272" spans="1:33">
      <c r="A2272" s="29"/>
      <c r="B2272" s="29"/>
      <c r="C2272" s="29"/>
      <c r="D2272" s="29"/>
      <c r="E2272" s="30"/>
      <c r="F2272" s="30"/>
      <c r="X2272" s="29"/>
      <c r="Y2272" s="29"/>
      <c r="AA2272" s="18"/>
      <c r="AC2272" s="31"/>
      <c r="AE2272" s="18"/>
      <c r="AG2272" s="29"/>
    </row>
    <row r="2273" spans="1:33">
      <c r="A2273" s="29"/>
      <c r="B2273" s="29"/>
      <c r="C2273" s="29"/>
      <c r="D2273" s="29"/>
      <c r="E2273" s="30"/>
      <c r="F2273" s="30"/>
      <c r="X2273" s="29"/>
      <c r="Y2273" s="29"/>
      <c r="AA2273" s="18"/>
      <c r="AC2273" s="31"/>
      <c r="AE2273" s="18"/>
      <c r="AG2273" s="29"/>
    </row>
    <row r="2274" spans="1:33">
      <c r="A2274" s="29"/>
      <c r="B2274" s="29"/>
      <c r="C2274" s="29"/>
      <c r="D2274" s="29"/>
      <c r="E2274" s="30"/>
      <c r="F2274" s="30"/>
      <c r="X2274" s="29"/>
      <c r="Y2274" s="29"/>
      <c r="AA2274" s="18"/>
      <c r="AC2274" s="31"/>
      <c r="AE2274" s="18"/>
      <c r="AG2274" s="29"/>
    </row>
    <row r="2275" spans="1:33">
      <c r="A2275" s="29"/>
      <c r="B2275" s="29"/>
      <c r="C2275" s="29"/>
      <c r="D2275" s="29"/>
      <c r="E2275" s="30"/>
      <c r="F2275" s="30"/>
      <c r="X2275" s="29"/>
      <c r="Y2275" s="29"/>
      <c r="AA2275" s="18"/>
      <c r="AC2275" s="31"/>
      <c r="AE2275" s="18"/>
      <c r="AG2275" s="29"/>
    </row>
    <row r="2276" spans="1:33">
      <c r="A2276" s="29"/>
      <c r="B2276" s="29"/>
      <c r="C2276" s="29"/>
      <c r="D2276" s="29"/>
      <c r="E2276" s="30"/>
      <c r="F2276" s="30"/>
      <c r="X2276" s="29"/>
      <c r="Y2276" s="29"/>
      <c r="AA2276" s="18"/>
      <c r="AC2276" s="31"/>
      <c r="AE2276" s="18"/>
      <c r="AG2276" s="29"/>
    </row>
    <row r="2277" spans="1:33">
      <c r="A2277" s="29"/>
      <c r="B2277" s="29"/>
      <c r="C2277" s="29"/>
      <c r="D2277" s="29"/>
      <c r="E2277" s="30"/>
      <c r="F2277" s="30"/>
      <c r="X2277" s="29"/>
      <c r="Y2277" s="29"/>
      <c r="AA2277" s="18"/>
      <c r="AC2277" s="31"/>
      <c r="AE2277" s="18"/>
      <c r="AG2277" s="29"/>
    </row>
    <row r="2278" spans="1:33">
      <c r="A2278" s="29"/>
      <c r="B2278" s="29"/>
      <c r="C2278" s="29"/>
      <c r="D2278" s="29"/>
      <c r="E2278" s="30"/>
      <c r="F2278" s="30"/>
      <c r="X2278" s="29"/>
      <c r="Y2278" s="29"/>
      <c r="AA2278" s="18"/>
      <c r="AC2278" s="31"/>
      <c r="AE2278" s="18"/>
      <c r="AG2278" s="29"/>
    </row>
    <row r="2279" spans="1:33">
      <c r="A2279" s="29"/>
      <c r="B2279" s="29"/>
      <c r="C2279" s="29"/>
      <c r="D2279" s="29"/>
      <c r="E2279" s="30"/>
      <c r="F2279" s="30"/>
      <c r="X2279" s="29"/>
      <c r="Y2279" s="29"/>
      <c r="AA2279" s="18"/>
      <c r="AC2279" s="31"/>
      <c r="AE2279" s="18"/>
      <c r="AG2279" s="29"/>
    </row>
    <row r="2280" spans="1:33">
      <c r="A2280" s="29"/>
      <c r="B2280" s="29"/>
      <c r="C2280" s="29"/>
      <c r="D2280" s="29"/>
      <c r="E2280" s="30"/>
      <c r="F2280" s="30"/>
      <c r="X2280" s="29"/>
      <c r="Y2280" s="29"/>
      <c r="AA2280" s="18"/>
      <c r="AC2280" s="31"/>
      <c r="AE2280" s="18"/>
      <c r="AG2280" s="29"/>
    </row>
    <row r="2281" spans="1:33">
      <c r="A2281" s="29"/>
      <c r="B2281" s="29"/>
      <c r="C2281" s="29"/>
      <c r="D2281" s="29"/>
      <c r="E2281" s="30"/>
      <c r="F2281" s="30"/>
      <c r="X2281" s="29"/>
      <c r="Y2281" s="29"/>
      <c r="AA2281" s="18"/>
      <c r="AC2281" s="31"/>
      <c r="AE2281" s="18"/>
      <c r="AG2281" s="29"/>
    </row>
    <row r="2282" spans="1:33">
      <c r="A2282" s="29"/>
      <c r="B2282" s="29"/>
      <c r="C2282" s="29"/>
      <c r="D2282" s="29"/>
      <c r="E2282" s="30"/>
      <c r="F2282" s="30"/>
      <c r="X2282" s="29"/>
      <c r="Y2282" s="29"/>
      <c r="AA2282" s="18"/>
      <c r="AC2282" s="31"/>
      <c r="AE2282" s="18"/>
      <c r="AG2282" s="29"/>
    </row>
    <row r="2283" spans="1:33">
      <c r="A2283" s="29"/>
      <c r="B2283" s="29"/>
      <c r="C2283" s="29"/>
      <c r="D2283" s="29"/>
      <c r="E2283" s="30"/>
      <c r="F2283" s="30"/>
      <c r="X2283" s="29"/>
      <c r="Y2283" s="29"/>
      <c r="AA2283" s="18"/>
      <c r="AC2283" s="31"/>
      <c r="AE2283" s="18"/>
      <c r="AG2283" s="29"/>
    </row>
    <row r="2284" spans="1:33">
      <c r="A2284" s="29"/>
      <c r="B2284" s="29"/>
      <c r="C2284" s="29"/>
      <c r="D2284" s="29"/>
      <c r="E2284" s="30"/>
      <c r="F2284" s="30"/>
      <c r="X2284" s="29"/>
      <c r="Y2284" s="29"/>
      <c r="AA2284" s="18"/>
      <c r="AC2284" s="31"/>
      <c r="AE2284" s="18"/>
      <c r="AG2284" s="29"/>
    </row>
    <row r="2285" spans="1:33">
      <c r="A2285" s="29"/>
      <c r="B2285" s="29"/>
      <c r="C2285" s="29"/>
      <c r="D2285" s="29"/>
      <c r="E2285" s="30"/>
      <c r="F2285" s="30"/>
      <c r="X2285" s="29"/>
      <c r="Y2285" s="29"/>
      <c r="AA2285" s="18"/>
      <c r="AC2285" s="31"/>
      <c r="AE2285" s="18"/>
      <c r="AG2285" s="29"/>
    </row>
    <row r="2286" spans="1:33">
      <c r="A2286" s="29"/>
      <c r="B2286" s="29"/>
      <c r="C2286" s="29"/>
      <c r="D2286" s="29"/>
      <c r="E2286" s="30"/>
      <c r="F2286" s="30"/>
      <c r="X2286" s="29"/>
      <c r="Y2286" s="29"/>
      <c r="AA2286" s="18"/>
      <c r="AC2286" s="31"/>
      <c r="AE2286" s="18"/>
      <c r="AG2286" s="29"/>
    </row>
    <row r="2287" spans="1:33">
      <c r="A2287" s="29"/>
      <c r="B2287" s="29"/>
      <c r="C2287" s="29"/>
      <c r="D2287" s="29"/>
      <c r="E2287" s="30"/>
      <c r="F2287" s="30"/>
      <c r="X2287" s="29"/>
      <c r="Y2287" s="29"/>
      <c r="AA2287" s="18"/>
      <c r="AC2287" s="31"/>
      <c r="AE2287" s="18"/>
      <c r="AG2287" s="29"/>
    </row>
    <row r="2288" spans="1:33">
      <c r="A2288" s="29"/>
      <c r="B2288" s="29"/>
      <c r="C2288" s="29"/>
      <c r="D2288" s="29"/>
      <c r="E2288" s="30"/>
      <c r="F2288" s="30"/>
      <c r="X2288" s="29"/>
      <c r="Y2288" s="29"/>
      <c r="AA2288" s="18"/>
      <c r="AC2288" s="31"/>
      <c r="AE2288" s="18"/>
      <c r="AG2288" s="29"/>
    </row>
    <row r="2289" spans="2:33">
      <c r="B2289" s="29"/>
      <c r="D2289" s="29"/>
      <c r="E2289" s="20"/>
      <c r="F2289" s="20"/>
      <c r="AC2289" s="20"/>
      <c r="AG2289" s="29"/>
    </row>
    <row r="2290" spans="2:33">
      <c r="B2290" s="29"/>
      <c r="D2290" s="29"/>
      <c r="E2290" s="20"/>
      <c r="F2290" s="20"/>
      <c r="AC2290" s="20"/>
      <c r="AG2290" s="29"/>
    </row>
    <row r="2291" spans="2:33">
      <c r="B2291" s="29"/>
      <c r="D2291" s="29"/>
      <c r="E2291" s="20"/>
      <c r="F2291" s="20"/>
      <c r="AC2291" s="20"/>
      <c r="AG2291" s="29"/>
    </row>
    <row r="2292" spans="2:33">
      <c r="B2292" s="29"/>
      <c r="D2292" s="29"/>
      <c r="E2292" s="20"/>
      <c r="F2292" s="20"/>
      <c r="AC2292" s="20"/>
      <c r="AG2292" s="29"/>
    </row>
    <row r="2293" spans="2:33">
      <c r="B2293" s="29"/>
      <c r="D2293" s="29"/>
      <c r="E2293" s="20"/>
      <c r="F2293" s="20"/>
      <c r="AC2293" s="20"/>
      <c r="AG2293" s="29"/>
    </row>
    <row r="2294" spans="2:33">
      <c r="B2294" s="29"/>
      <c r="D2294" s="29"/>
      <c r="E2294" s="20"/>
      <c r="F2294" s="20"/>
      <c r="AC2294" s="20"/>
      <c r="AG2294" s="29"/>
    </row>
    <row r="2295" spans="2:33">
      <c r="B2295" s="29"/>
      <c r="D2295" s="29"/>
      <c r="E2295" s="20"/>
      <c r="F2295" s="20"/>
      <c r="AC2295" s="20"/>
      <c r="AG2295" s="29"/>
    </row>
    <row r="2296" spans="2:33">
      <c r="B2296" s="29"/>
      <c r="D2296" s="29"/>
      <c r="E2296" s="20"/>
      <c r="F2296" s="20"/>
      <c r="AC2296" s="20"/>
      <c r="AG2296" s="29"/>
    </row>
    <row r="2297" spans="2:33">
      <c r="B2297" s="29"/>
      <c r="D2297" s="29"/>
      <c r="E2297" s="20"/>
      <c r="F2297" s="20"/>
      <c r="AC2297" s="20"/>
      <c r="AG2297" s="29"/>
    </row>
    <row r="2298" spans="2:33">
      <c r="B2298" s="29"/>
      <c r="D2298" s="29"/>
      <c r="E2298" s="20"/>
      <c r="F2298" s="20"/>
      <c r="AC2298" s="20"/>
      <c r="AG2298" s="29"/>
    </row>
    <row r="2299" spans="2:33">
      <c r="B2299" s="29"/>
      <c r="D2299" s="29"/>
      <c r="E2299" s="20"/>
      <c r="F2299" s="20"/>
      <c r="AC2299" s="20"/>
      <c r="AG2299" s="29"/>
    </row>
    <row r="2300" spans="2:33">
      <c r="B2300" s="29"/>
      <c r="D2300" s="29"/>
      <c r="E2300" s="20"/>
      <c r="F2300" s="20"/>
      <c r="AC2300" s="20"/>
      <c r="AG2300" s="29"/>
    </row>
    <row r="2301" spans="2:33">
      <c r="B2301" s="29"/>
      <c r="D2301" s="29"/>
      <c r="E2301" s="20"/>
      <c r="F2301" s="20"/>
      <c r="AC2301" s="20"/>
      <c r="AG2301" s="29"/>
    </row>
    <row r="2302" spans="2:33">
      <c r="B2302" s="29"/>
      <c r="D2302" s="29"/>
      <c r="E2302" s="20"/>
      <c r="F2302" s="20"/>
      <c r="AC2302" s="20"/>
      <c r="AG2302" s="29"/>
    </row>
    <row r="2303" spans="2:33">
      <c r="B2303" s="29"/>
      <c r="D2303" s="29"/>
      <c r="E2303" s="20"/>
      <c r="F2303" s="20"/>
      <c r="AC2303" s="20"/>
      <c r="AG2303" s="29"/>
    </row>
    <row r="2304" spans="2:33">
      <c r="B2304" s="29"/>
      <c r="D2304" s="29"/>
      <c r="E2304" s="20"/>
      <c r="F2304" s="20"/>
      <c r="AC2304" s="20"/>
      <c r="AG2304" s="29"/>
    </row>
    <row r="2305" spans="2:33">
      <c r="B2305" s="29"/>
      <c r="D2305" s="29"/>
      <c r="E2305" s="20"/>
      <c r="F2305" s="20"/>
      <c r="AC2305" s="20"/>
      <c r="AG2305" s="29"/>
    </row>
    <row r="2306" spans="2:33">
      <c r="B2306" s="29"/>
      <c r="D2306" s="29"/>
      <c r="E2306" s="20"/>
      <c r="F2306" s="20"/>
      <c r="AC2306" s="20"/>
      <c r="AG2306" s="29"/>
    </row>
    <row r="2307" spans="2:33">
      <c r="B2307" s="29"/>
      <c r="D2307" s="29"/>
      <c r="E2307" s="20"/>
      <c r="F2307" s="20"/>
      <c r="AC2307" s="20"/>
      <c r="AG2307" s="29"/>
    </row>
    <row r="2308" spans="2:33">
      <c r="B2308" s="29"/>
      <c r="D2308" s="29"/>
      <c r="E2308" s="20"/>
      <c r="F2308" s="20"/>
      <c r="AC2308" s="20"/>
      <c r="AG2308" s="29"/>
    </row>
    <row r="2309" spans="2:33">
      <c r="B2309" s="29"/>
      <c r="D2309" s="29"/>
      <c r="E2309" s="20"/>
      <c r="F2309" s="20"/>
      <c r="AC2309" s="20"/>
      <c r="AG2309" s="29"/>
    </row>
    <row r="2310" spans="2:33">
      <c r="B2310" s="29"/>
      <c r="D2310" s="29"/>
      <c r="E2310" s="20"/>
      <c r="F2310" s="20"/>
      <c r="AC2310" s="20"/>
      <c r="AG2310" s="29"/>
    </row>
    <row r="2311" spans="2:33">
      <c r="B2311" s="29"/>
      <c r="D2311" s="29"/>
      <c r="E2311" s="20"/>
      <c r="F2311" s="20"/>
      <c r="AC2311" s="20"/>
      <c r="AG2311" s="29"/>
    </row>
    <row r="2312" spans="2:33">
      <c r="B2312" s="29"/>
      <c r="D2312" s="29"/>
      <c r="E2312" s="20"/>
      <c r="F2312" s="20"/>
      <c r="AC2312" s="20"/>
      <c r="AG2312" s="29"/>
    </row>
    <row r="2313" spans="2:33">
      <c r="B2313" s="29"/>
      <c r="D2313" s="29"/>
      <c r="E2313" s="20"/>
      <c r="F2313" s="20"/>
      <c r="AC2313" s="20"/>
      <c r="AG2313" s="29"/>
    </row>
    <row r="2314" spans="2:33">
      <c r="B2314" s="29"/>
      <c r="D2314" s="29"/>
      <c r="E2314" s="20"/>
      <c r="F2314" s="20"/>
      <c r="AC2314" s="20"/>
      <c r="AG2314" s="29"/>
    </row>
    <row r="2315" spans="2:33">
      <c r="B2315" s="29"/>
      <c r="D2315" s="29"/>
      <c r="E2315" s="20"/>
      <c r="F2315" s="20"/>
      <c r="AC2315" s="20"/>
      <c r="AG2315" s="29"/>
    </row>
    <row r="2316" spans="2:33">
      <c r="B2316" s="29"/>
      <c r="D2316" s="29"/>
      <c r="E2316" s="20"/>
      <c r="F2316" s="20"/>
      <c r="AC2316" s="20"/>
      <c r="AG2316" s="29"/>
    </row>
    <row r="2317" spans="2:33">
      <c r="B2317" s="29"/>
      <c r="D2317" s="29"/>
      <c r="E2317" s="20"/>
      <c r="F2317" s="20"/>
      <c r="AC2317" s="20"/>
      <c r="AG2317" s="29"/>
    </row>
    <row r="2318" spans="2:33">
      <c r="B2318" s="29"/>
      <c r="D2318" s="29"/>
      <c r="E2318" s="20"/>
      <c r="F2318" s="20"/>
      <c r="AC2318" s="20"/>
      <c r="AG2318" s="29"/>
    </row>
    <row r="2319" spans="2:33">
      <c r="B2319" s="29"/>
      <c r="D2319" s="29"/>
      <c r="E2319" s="20"/>
      <c r="F2319" s="20"/>
      <c r="AC2319" s="20"/>
      <c r="AG2319" s="29"/>
    </row>
    <row r="2320" spans="2:33">
      <c r="B2320" s="29"/>
      <c r="D2320" s="29"/>
      <c r="E2320" s="20"/>
      <c r="F2320" s="20"/>
      <c r="AC2320" s="20"/>
      <c r="AG2320" s="29"/>
    </row>
    <row r="2321" spans="2:33">
      <c r="B2321" s="29"/>
      <c r="D2321" s="29"/>
      <c r="E2321" s="20"/>
      <c r="F2321" s="20"/>
      <c r="AC2321" s="20"/>
      <c r="AG2321" s="29"/>
    </row>
    <row r="2322" spans="2:33">
      <c r="B2322" s="29"/>
      <c r="D2322" s="29"/>
      <c r="E2322" s="20"/>
      <c r="F2322" s="20"/>
      <c r="AC2322" s="20"/>
      <c r="AG2322" s="29"/>
    </row>
    <row r="2323" spans="2:33">
      <c r="B2323" s="29"/>
      <c r="D2323" s="29"/>
      <c r="E2323" s="20"/>
      <c r="F2323" s="20"/>
      <c r="AC2323" s="20"/>
      <c r="AG2323" s="29"/>
    </row>
    <row r="2324" spans="2:33">
      <c r="B2324" s="29"/>
      <c r="D2324" s="29"/>
      <c r="E2324" s="20"/>
      <c r="F2324" s="20"/>
      <c r="AC2324" s="20"/>
      <c r="AG2324" s="29"/>
    </row>
    <row r="2325" spans="2:33">
      <c r="B2325" s="29"/>
      <c r="D2325" s="29"/>
      <c r="E2325" s="20"/>
      <c r="F2325" s="20"/>
      <c r="AC2325" s="20"/>
      <c r="AG2325" s="29"/>
    </row>
    <row r="2326" spans="2:33">
      <c r="B2326" s="29"/>
      <c r="D2326" s="29"/>
      <c r="E2326" s="20"/>
      <c r="F2326" s="20"/>
      <c r="AC2326" s="20"/>
      <c r="AG2326" s="29"/>
    </row>
    <row r="2327" spans="2:33">
      <c r="B2327" s="29"/>
      <c r="D2327" s="29"/>
      <c r="E2327" s="20"/>
      <c r="F2327" s="20"/>
      <c r="AC2327" s="20"/>
      <c r="AG2327" s="29"/>
    </row>
    <row r="2328" spans="2:33">
      <c r="B2328" s="29"/>
      <c r="D2328" s="29"/>
      <c r="E2328" s="20"/>
      <c r="F2328" s="20"/>
      <c r="AC2328" s="20"/>
      <c r="AG2328" s="29"/>
    </row>
    <row r="2329" spans="2:33">
      <c r="B2329" s="29"/>
      <c r="D2329" s="29"/>
      <c r="E2329" s="20"/>
      <c r="F2329" s="20"/>
      <c r="AC2329" s="20"/>
      <c r="AG2329" s="29"/>
    </row>
    <row r="2330" spans="2:33">
      <c r="B2330" s="29"/>
      <c r="D2330" s="29"/>
      <c r="E2330" s="20"/>
      <c r="F2330" s="20"/>
      <c r="AC2330" s="20"/>
      <c r="AG2330" s="29"/>
    </row>
    <row r="2331" spans="2:33">
      <c r="B2331" s="29"/>
      <c r="D2331" s="29"/>
      <c r="E2331" s="20"/>
      <c r="F2331" s="20"/>
      <c r="AC2331" s="20"/>
      <c r="AG2331" s="29"/>
    </row>
    <row r="2332" spans="2:33">
      <c r="B2332" s="29"/>
      <c r="D2332" s="29"/>
      <c r="E2332" s="20"/>
      <c r="F2332" s="20"/>
      <c r="AC2332" s="20"/>
      <c r="AG2332" s="29"/>
    </row>
    <row r="2333" spans="2:33">
      <c r="B2333" s="29"/>
      <c r="D2333" s="29"/>
      <c r="E2333" s="20"/>
      <c r="F2333" s="20"/>
      <c r="AC2333" s="20"/>
      <c r="AG2333" s="29"/>
    </row>
    <row r="2334" spans="2:33">
      <c r="B2334" s="29"/>
      <c r="D2334" s="29"/>
      <c r="E2334" s="20"/>
      <c r="F2334" s="20"/>
      <c r="AC2334" s="20"/>
      <c r="AG2334" s="29"/>
    </row>
    <row r="2335" spans="2:33">
      <c r="B2335" s="29"/>
      <c r="D2335" s="29"/>
      <c r="E2335" s="20"/>
      <c r="F2335" s="20"/>
      <c r="AC2335" s="20"/>
      <c r="AG2335" s="29"/>
    </row>
    <row r="2336" spans="2:33">
      <c r="B2336" s="29"/>
      <c r="D2336" s="29"/>
      <c r="E2336" s="20"/>
      <c r="F2336" s="20"/>
      <c r="AC2336" s="20"/>
      <c r="AG2336" s="29"/>
    </row>
    <row r="2337" spans="2:33">
      <c r="B2337" s="29"/>
      <c r="D2337" s="29"/>
      <c r="E2337" s="20"/>
      <c r="F2337" s="20"/>
      <c r="AC2337" s="20"/>
      <c r="AG2337" s="29"/>
    </row>
    <row r="2338" spans="2:33">
      <c r="B2338" s="29"/>
      <c r="D2338" s="29"/>
      <c r="E2338" s="20"/>
      <c r="F2338" s="20"/>
      <c r="AC2338" s="20"/>
      <c r="AG2338" s="29"/>
    </row>
    <row r="2339" spans="2:33">
      <c r="B2339" s="29"/>
      <c r="D2339" s="29"/>
      <c r="E2339" s="20"/>
      <c r="F2339" s="20"/>
      <c r="AC2339" s="20"/>
      <c r="AG2339" s="29"/>
    </row>
    <row r="2340" spans="2:33">
      <c r="B2340" s="29"/>
      <c r="D2340" s="29"/>
      <c r="E2340" s="20"/>
      <c r="F2340" s="20"/>
      <c r="AC2340" s="20"/>
      <c r="AG2340" s="29"/>
    </row>
    <row r="2341" spans="2:33">
      <c r="B2341" s="29"/>
      <c r="D2341" s="29"/>
      <c r="E2341" s="20"/>
      <c r="F2341" s="20"/>
      <c r="AC2341" s="20"/>
      <c r="AG2341" s="29"/>
    </row>
    <row r="2342" spans="2:33">
      <c r="B2342" s="29"/>
      <c r="D2342" s="29"/>
      <c r="E2342" s="20"/>
      <c r="F2342" s="20"/>
      <c r="AC2342" s="20"/>
      <c r="AG2342" s="29"/>
    </row>
    <row r="2343" spans="2:33">
      <c r="B2343" s="29"/>
      <c r="D2343" s="29"/>
      <c r="E2343" s="20"/>
      <c r="F2343" s="20"/>
      <c r="AC2343" s="20"/>
      <c r="AG2343" s="29"/>
    </row>
    <row r="2344" spans="2:33">
      <c r="B2344" s="29"/>
      <c r="D2344" s="29"/>
      <c r="E2344" s="20"/>
      <c r="F2344" s="20"/>
      <c r="AC2344" s="20"/>
      <c r="AG2344" s="29"/>
    </row>
    <row r="2345" spans="2:33">
      <c r="B2345" s="29"/>
      <c r="D2345" s="29"/>
      <c r="E2345" s="20"/>
      <c r="F2345" s="20"/>
      <c r="AC2345" s="20"/>
      <c r="AG2345" s="29"/>
    </row>
    <row r="2346" spans="2:33">
      <c r="B2346" s="29"/>
      <c r="D2346" s="29"/>
      <c r="E2346" s="20"/>
      <c r="F2346" s="20"/>
      <c r="AC2346" s="20"/>
      <c r="AG2346" s="29"/>
    </row>
    <row r="2347" spans="2:33">
      <c r="B2347" s="29"/>
      <c r="D2347" s="29"/>
      <c r="E2347" s="20"/>
      <c r="F2347" s="20"/>
      <c r="AC2347" s="20"/>
      <c r="AG2347" s="29"/>
    </row>
    <row r="2348" spans="2:33">
      <c r="B2348" s="29"/>
      <c r="D2348" s="29"/>
      <c r="E2348" s="20"/>
      <c r="F2348" s="20"/>
      <c r="AC2348" s="20"/>
      <c r="AG2348" s="29"/>
    </row>
    <row r="2349" spans="2:33">
      <c r="B2349" s="29"/>
      <c r="D2349" s="29"/>
      <c r="E2349" s="20"/>
      <c r="F2349" s="20"/>
      <c r="AC2349" s="20"/>
      <c r="AG2349" s="29"/>
    </row>
    <row r="2350" spans="2:33">
      <c r="B2350" s="29"/>
      <c r="D2350" s="29"/>
      <c r="E2350" s="20"/>
      <c r="F2350" s="20"/>
      <c r="AC2350" s="20"/>
      <c r="AG2350" s="29"/>
    </row>
    <row r="2351" spans="2:33">
      <c r="B2351" s="29"/>
      <c r="D2351" s="29"/>
      <c r="E2351" s="20"/>
      <c r="F2351" s="20"/>
      <c r="AC2351" s="20"/>
      <c r="AG2351" s="29"/>
    </row>
    <row r="2352" spans="2:33">
      <c r="B2352" s="29"/>
      <c r="D2352" s="29"/>
      <c r="E2352" s="20"/>
      <c r="F2352" s="20"/>
      <c r="AC2352" s="20"/>
      <c r="AG2352" s="29"/>
    </row>
    <row r="2353" spans="2:33">
      <c r="B2353" s="29"/>
      <c r="D2353" s="29"/>
      <c r="E2353" s="20"/>
      <c r="F2353" s="20"/>
      <c r="AC2353" s="20"/>
      <c r="AG2353" s="29"/>
    </row>
    <row r="2354" spans="2:33">
      <c r="B2354" s="29"/>
      <c r="D2354" s="29"/>
      <c r="E2354" s="20"/>
      <c r="F2354" s="20"/>
      <c r="AC2354" s="20"/>
      <c r="AG2354" s="29"/>
    </row>
    <row r="2355" spans="2:33">
      <c r="B2355" s="29"/>
      <c r="D2355" s="29"/>
      <c r="E2355" s="20"/>
      <c r="F2355" s="20"/>
      <c r="AC2355" s="20"/>
      <c r="AG2355" s="29"/>
    </row>
    <row r="2356" spans="2:33">
      <c r="B2356" s="29"/>
      <c r="D2356" s="29"/>
      <c r="E2356" s="20"/>
      <c r="F2356" s="20"/>
      <c r="AC2356" s="20"/>
      <c r="AG2356" s="29"/>
    </row>
    <row r="2357" spans="2:33">
      <c r="B2357" s="29"/>
      <c r="D2357" s="29"/>
      <c r="E2357" s="20"/>
      <c r="F2357" s="20"/>
      <c r="AC2357" s="20"/>
      <c r="AG2357" s="29"/>
    </row>
    <row r="2358" spans="2:33">
      <c r="B2358" s="29"/>
      <c r="D2358" s="29"/>
      <c r="E2358" s="20"/>
      <c r="F2358" s="20"/>
      <c r="AC2358" s="20"/>
      <c r="AG2358" s="29"/>
    </row>
    <row r="2359" spans="2:33">
      <c r="B2359" s="29"/>
      <c r="D2359" s="29"/>
      <c r="E2359" s="20"/>
      <c r="F2359" s="20"/>
      <c r="AC2359" s="20"/>
      <c r="AG2359" s="29"/>
    </row>
    <row r="2360" spans="2:33">
      <c r="B2360" s="29"/>
      <c r="D2360" s="29"/>
      <c r="E2360" s="20"/>
      <c r="F2360" s="20"/>
      <c r="AC2360" s="20"/>
      <c r="AG2360" s="29"/>
    </row>
    <row r="2361" spans="2:33">
      <c r="B2361" s="29"/>
      <c r="D2361" s="29"/>
      <c r="E2361" s="20"/>
      <c r="F2361" s="20"/>
      <c r="AC2361" s="20"/>
      <c r="AG2361" s="29"/>
    </row>
    <row r="2362" spans="2:33">
      <c r="B2362" s="29"/>
      <c r="D2362" s="29"/>
      <c r="E2362" s="20"/>
      <c r="F2362" s="20"/>
      <c r="AC2362" s="20"/>
      <c r="AG2362" s="29"/>
    </row>
    <row r="2363" spans="2:33">
      <c r="B2363" s="29"/>
      <c r="D2363" s="29"/>
      <c r="E2363" s="20"/>
      <c r="F2363" s="20"/>
      <c r="AC2363" s="20"/>
      <c r="AG2363" s="29"/>
    </row>
    <row r="2364" spans="2:33">
      <c r="B2364" s="29"/>
      <c r="D2364" s="29"/>
      <c r="E2364" s="20"/>
      <c r="F2364" s="20"/>
      <c r="AC2364" s="20"/>
      <c r="AG2364" s="29"/>
    </row>
    <row r="2365" spans="2:33">
      <c r="B2365" s="29"/>
      <c r="D2365" s="29"/>
      <c r="E2365" s="20"/>
      <c r="F2365" s="20"/>
      <c r="AC2365" s="20"/>
      <c r="AG2365" s="29"/>
    </row>
    <row r="2366" spans="2:33">
      <c r="B2366" s="29"/>
      <c r="D2366" s="29"/>
      <c r="E2366" s="20"/>
      <c r="F2366" s="20"/>
      <c r="AC2366" s="20"/>
      <c r="AG2366" s="29"/>
    </row>
    <row r="2367" spans="2:33">
      <c r="B2367" s="29"/>
      <c r="D2367" s="29"/>
      <c r="E2367" s="20"/>
      <c r="F2367" s="20"/>
      <c r="AC2367" s="20"/>
      <c r="AG2367" s="29"/>
    </row>
    <row r="2368" spans="2:33">
      <c r="B2368" s="29"/>
      <c r="D2368" s="29"/>
      <c r="E2368" s="20"/>
      <c r="F2368" s="20"/>
      <c r="AC2368" s="20"/>
      <c r="AG2368" s="29"/>
    </row>
    <row r="2369" spans="2:33">
      <c r="B2369" s="29"/>
      <c r="D2369" s="29"/>
      <c r="E2369" s="20"/>
      <c r="F2369" s="20"/>
      <c r="AC2369" s="20"/>
      <c r="AG2369" s="29"/>
    </row>
    <row r="2370" spans="2:33">
      <c r="B2370" s="29"/>
      <c r="D2370" s="29"/>
      <c r="E2370" s="20"/>
      <c r="F2370" s="20"/>
      <c r="AC2370" s="20"/>
      <c r="AG2370" s="29"/>
    </row>
    <row r="2371" spans="2:33">
      <c r="B2371" s="29"/>
      <c r="D2371" s="29"/>
      <c r="E2371" s="20"/>
      <c r="F2371" s="20"/>
      <c r="AC2371" s="20"/>
      <c r="AG2371" s="29"/>
    </row>
    <row r="2372" spans="2:33">
      <c r="B2372" s="29"/>
      <c r="D2372" s="29"/>
      <c r="E2372" s="20"/>
      <c r="F2372" s="20"/>
      <c r="AC2372" s="20"/>
      <c r="AG2372" s="29"/>
    </row>
    <row r="2373" spans="2:33">
      <c r="B2373" s="29"/>
      <c r="D2373" s="29"/>
      <c r="E2373" s="20"/>
      <c r="F2373" s="20"/>
      <c r="AC2373" s="20"/>
      <c r="AG2373" s="29"/>
    </row>
    <row r="2374" spans="2:33">
      <c r="B2374" s="29"/>
      <c r="D2374" s="29"/>
      <c r="E2374" s="20"/>
      <c r="F2374" s="20"/>
      <c r="AC2374" s="20"/>
      <c r="AG2374" s="29"/>
    </row>
    <row r="2375" spans="2:33">
      <c r="B2375" s="29"/>
      <c r="D2375" s="29"/>
      <c r="E2375" s="20"/>
      <c r="F2375" s="20"/>
      <c r="AC2375" s="20"/>
      <c r="AG2375" s="29"/>
    </row>
    <row r="2376" spans="2:33">
      <c r="B2376" s="29"/>
      <c r="D2376" s="29"/>
      <c r="E2376" s="20"/>
      <c r="F2376" s="20"/>
      <c r="AC2376" s="20"/>
      <c r="AG2376" s="29"/>
    </row>
    <row r="2377" spans="2:33">
      <c r="B2377" s="29"/>
      <c r="D2377" s="29"/>
      <c r="E2377" s="20"/>
      <c r="F2377" s="20"/>
      <c r="AC2377" s="20"/>
      <c r="AG2377" s="29"/>
    </row>
    <row r="2378" spans="2:33">
      <c r="B2378" s="29"/>
      <c r="D2378" s="29"/>
      <c r="E2378" s="20"/>
      <c r="F2378" s="20"/>
      <c r="AC2378" s="20"/>
      <c r="AG2378" s="29"/>
    </row>
    <row r="2379" spans="2:33">
      <c r="B2379" s="29"/>
      <c r="D2379" s="29"/>
      <c r="E2379" s="20"/>
      <c r="F2379" s="20"/>
      <c r="AC2379" s="20"/>
      <c r="AG2379" s="29"/>
    </row>
    <row r="2380" spans="2:33">
      <c r="B2380" s="29"/>
      <c r="D2380" s="29"/>
      <c r="E2380" s="20"/>
      <c r="F2380" s="20"/>
      <c r="AC2380" s="20"/>
      <c r="AG2380" s="29"/>
    </row>
    <row r="2381" spans="2:33">
      <c r="B2381" s="29"/>
      <c r="D2381" s="29"/>
      <c r="E2381" s="20"/>
      <c r="F2381" s="20"/>
      <c r="AC2381" s="20"/>
      <c r="AG2381" s="29"/>
    </row>
    <row r="2382" spans="2:33">
      <c r="B2382" s="29"/>
      <c r="D2382" s="29"/>
      <c r="E2382" s="20"/>
      <c r="F2382" s="20"/>
      <c r="AC2382" s="20"/>
      <c r="AG2382" s="29"/>
    </row>
    <row r="2383" spans="2:33">
      <c r="B2383" s="29"/>
      <c r="D2383" s="29"/>
      <c r="E2383" s="20"/>
      <c r="F2383" s="20"/>
      <c r="AC2383" s="20"/>
      <c r="AG2383" s="29"/>
    </row>
    <row r="2384" spans="2:33">
      <c r="B2384" s="29"/>
      <c r="D2384" s="29"/>
      <c r="E2384" s="20"/>
      <c r="F2384" s="20"/>
      <c r="AC2384" s="20"/>
      <c r="AG2384" s="29"/>
    </row>
    <row r="2385" spans="2:33">
      <c r="B2385" s="29"/>
      <c r="D2385" s="29"/>
      <c r="E2385" s="20"/>
      <c r="F2385" s="20"/>
      <c r="AC2385" s="20"/>
      <c r="AG2385" s="29"/>
    </row>
    <row r="2386" spans="2:33">
      <c r="B2386" s="29"/>
      <c r="D2386" s="29"/>
      <c r="E2386" s="20"/>
      <c r="F2386" s="20"/>
      <c r="AC2386" s="20"/>
      <c r="AG2386" s="29"/>
    </row>
    <row r="2387" spans="2:33">
      <c r="B2387" s="29"/>
      <c r="D2387" s="29"/>
      <c r="E2387" s="20"/>
      <c r="F2387" s="20"/>
      <c r="AC2387" s="20"/>
      <c r="AG2387" s="29"/>
    </row>
    <row r="2388" spans="2:33">
      <c r="B2388" s="29"/>
      <c r="D2388" s="29"/>
      <c r="E2388" s="20"/>
      <c r="F2388" s="20"/>
      <c r="AC2388" s="20"/>
      <c r="AG2388" s="29"/>
    </row>
    <row r="2389" spans="2:33">
      <c r="B2389" s="29"/>
      <c r="D2389" s="29"/>
      <c r="E2389" s="20"/>
      <c r="F2389" s="20"/>
      <c r="AC2389" s="20"/>
      <c r="AG2389" s="29"/>
    </row>
    <row r="2390" spans="2:33">
      <c r="B2390" s="29"/>
      <c r="D2390" s="29"/>
      <c r="E2390" s="20"/>
      <c r="F2390" s="20"/>
      <c r="AC2390" s="20"/>
      <c r="AG2390" s="29"/>
    </row>
    <row r="2391" spans="2:33">
      <c r="B2391" s="29"/>
      <c r="D2391" s="29"/>
      <c r="E2391" s="20"/>
      <c r="F2391" s="20"/>
      <c r="AC2391" s="20"/>
      <c r="AG2391" s="29"/>
    </row>
    <row r="2392" spans="2:33">
      <c r="B2392" s="29"/>
      <c r="D2392" s="29"/>
      <c r="E2392" s="20"/>
      <c r="F2392" s="20"/>
      <c r="AC2392" s="20"/>
      <c r="AG2392" s="29"/>
    </row>
    <row r="2393" spans="2:33">
      <c r="B2393" s="29"/>
      <c r="D2393" s="29"/>
      <c r="E2393" s="20"/>
      <c r="F2393" s="20"/>
      <c r="AC2393" s="20"/>
      <c r="AG2393" s="29"/>
    </row>
    <row r="2394" spans="2:33">
      <c r="B2394" s="29"/>
      <c r="D2394" s="29"/>
      <c r="E2394" s="20"/>
      <c r="F2394" s="20"/>
      <c r="AC2394" s="20"/>
      <c r="AG2394" s="29"/>
    </row>
    <row r="2395" spans="2:33">
      <c r="B2395" s="29"/>
      <c r="D2395" s="29"/>
      <c r="E2395" s="20"/>
      <c r="F2395" s="20"/>
      <c r="AC2395" s="20"/>
      <c r="AG2395" s="29"/>
    </row>
    <row r="2396" spans="2:33">
      <c r="B2396" s="29"/>
      <c r="D2396" s="29"/>
      <c r="E2396" s="20"/>
      <c r="F2396" s="20"/>
      <c r="AC2396" s="20"/>
      <c r="AG2396" s="29"/>
    </row>
    <row r="2397" spans="2:33">
      <c r="B2397" s="29"/>
      <c r="D2397" s="29"/>
      <c r="E2397" s="20"/>
      <c r="F2397" s="20"/>
      <c r="AC2397" s="20"/>
      <c r="AG2397" s="29"/>
    </row>
    <row r="2398" spans="2:33">
      <c r="B2398" s="29"/>
      <c r="D2398" s="29"/>
      <c r="E2398" s="20"/>
      <c r="F2398" s="20"/>
      <c r="AC2398" s="20"/>
      <c r="AG2398" s="29"/>
    </row>
    <row r="2399" spans="2:33">
      <c r="B2399" s="29"/>
      <c r="D2399" s="29"/>
      <c r="E2399" s="20"/>
      <c r="F2399" s="20"/>
      <c r="AC2399" s="20"/>
      <c r="AG2399" s="29"/>
    </row>
    <row r="2400" spans="2:33">
      <c r="B2400" s="29"/>
      <c r="D2400" s="29"/>
      <c r="E2400" s="20"/>
      <c r="F2400" s="20"/>
      <c r="AC2400" s="20"/>
      <c r="AG2400" s="29"/>
    </row>
    <row r="2401" spans="2:33">
      <c r="B2401" s="29"/>
      <c r="D2401" s="29"/>
      <c r="E2401" s="20"/>
      <c r="F2401" s="20"/>
      <c r="AC2401" s="20"/>
      <c r="AG2401" s="29"/>
    </row>
    <row r="2402" spans="2:33">
      <c r="B2402" s="29"/>
      <c r="D2402" s="29"/>
      <c r="E2402" s="20"/>
      <c r="F2402" s="20"/>
      <c r="AC2402" s="20"/>
      <c r="AG2402" s="29"/>
    </row>
    <row r="2403" spans="2:33">
      <c r="B2403" s="29"/>
      <c r="D2403" s="29"/>
      <c r="E2403" s="20"/>
      <c r="F2403" s="20"/>
      <c r="AC2403" s="20"/>
      <c r="AG2403" s="29"/>
    </row>
    <row r="2404" spans="2:33">
      <c r="B2404" s="29"/>
      <c r="D2404" s="29"/>
      <c r="E2404" s="20"/>
      <c r="F2404" s="20"/>
      <c r="AC2404" s="20"/>
      <c r="AG2404" s="29"/>
    </row>
    <row r="2405" spans="2:33">
      <c r="B2405" s="29"/>
      <c r="D2405" s="29"/>
      <c r="E2405" s="20"/>
      <c r="F2405" s="20"/>
      <c r="AC2405" s="20"/>
      <c r="AG2405" s="29"/>
    </row>
    <row r="2406" spans="2:33">
      <c r="B2406" s="29"/>
      <c r="D2406" s="29"/>
      <c r="E2406" s="20"/>
      <c r="F2406" s="20"/>
      <c r="AC2406" s="20"/>
      <c r="AG2406" s="29"/>
    </row>
    <row r="2407" spans="2:33">
      <c r="B2407" s="29"/>
      <c r="D2407" s="29"/>
      <c r="E2407" s="20"/>
      <c r="F2407" s="20"/>
      <c r="AC2407" s="20"/>
      <c r="AG2407" s="29"/>
    </row>
    <row r="2408" spans="2:33">
      <c r="B2408" s="29"/>
      <c r="D2408" s="29"/>
      <c r="E2408" s="20"/>
      <c r="F2408" s="20"/>
      <c r="AC2408" s="20"/>
      <c r="AG2408" s="29"/>
    </row>
    <row r="2409" spans="2:33">
      <c r="B2409" s="29"/>
      <c r="D2409" s="29"/>
      <c r="E2409" s="20"/>
      <c r="F2409" s="20"/>
      <c r="AC2409" s="20"/>
      <c r="AG2409" s="29"/>
    </row>
    <row r="2410" spans="2:33">
      <c r="B2410" s="29"/>
      <c r="D2410" s="29"/>
      <c r="E2410" s="20"/>
      <c r="F2410" s="20"/>
      <c r="AC2410" s="20"/>
      <c r="AG2410" s="29"/>
    </row>
    <row r="2411" spans="2:33">
      <c r="B2411" s="29"/>
      <c r="D2411" s="29"/>
      <c r="E2411" s="20"/>
      <c r="F2411" s="20"/>
      <c r="AC2411" s="20"/>
      <c r="AG2411" s="29"/>
    </row>
    <row r="2412" spans="2:33">
      <c r="B2412" s="29"/>
      <c r="D2412" s="29"/>
      <c r="E2412" s="20"/>
      <c r="F2412" s="20"/>
      <c r="AC2412" s="20"/>
      <c r="AG2412" s="29"/>
    </row>
    <row r="2413" spans="2:33">
      <c r="B2413" s="29"/>
      <c r="D2413" s="29"/>
      <c r="E2413" s="20"/>
      <c r="F2413" s="20"/>
      <c r="AC2413" s="20"/>
      <c r="AG2413" s="29"/>
    </row>
    <row r="2414" spans="2:33">
      <c r="B2414" s="29"/>
      <c r="D2414" s="29"/>
      <c r="E2414" s="20"/>
      <c r="F2414" s="20"/>
      <c r="AC2414" s="20"/>
      <c r="AG2414" s="29"/>
    </row>
    <row r="2415" spans="2:33">
      <c r="B2415" s="29"/>
      <c r="D2415" s="29"/>
      <c r="E2415" s="20"/>
      <c r="F2415" s="20"/>
      <c r="AC2415" s="20"/>
      <c r="AG2415" s="29"/>
    </row>
    <row r="2416" spans="2:33">
      <c r="B2416" s="29"/>
      <c r="D2416" s="29"/>
      <c r="E2416" s="20"/>
      <c r="F2416" s="20"/>
      <c r="AC2416" s="20"/>
      <c r="AG2416" s="29"/>
    </row>
    <row r="2417" spans="2:33">
      <c r="B2417" s="29"/>
      <c r="D2417" s="29"/>
      <c r="E2417" s="20"/>
      <c r="F2417" s="20"/>
      <c r="AC2417" s="20"/>
      <c r="AG2417" s="29"/>
    </row>
    <row r="2418" spans="2:33">
      <c r="B2418" s="29"/>
      <c r="D2418" s="29"/>
      <c r="E2418" s="20"/>
      <c r="F2418" s="20"/>
      <c r="AC2418" s="20"/>
      <c r="AG2418" s="29"/>
    </row>
    <row r="2419" spans="2:33">
      <c r="B2419" s="29"/>
      <c r="D2419" s="29"/>
      <c r="E2419" s="20"/>
      <c r="F2419" s="20"/>
      <c r="AC2419" s="20"/>
      <c r="AG2419" s="29"/>
    </row>
    <row r="2420" spans="2:33">
      <c r="B2420" s="29"/>
      <c r="D2420" s="29"/>
      <c r="E2420" s="20"/>
      <c r="F2420" s="20"/>
      <c r="AC2420" s="20"/>
      <c r="AG2420" s="29"/>
    </row>
    <row r="2421" spans="2:33">
      <c r="B2421" s="29"/>
      <c r="D2421" s="29"/>
      <c r="E2421" s="20"/>
      <c r="F2421" s="20"/>
      <c r="AC2421" s="20"/>
      <c r="AG2421" s="29"/>
    </row>
    <row r="2422" spans="2:33">
      <c r="B2422" s="29"/>
      <c r="D2422" s="29"/>
      <c r="E2422" s="20"/>
      <c r="F2422" s="20"/>
      <c r="AC2422" s="20"/>
      <c r="AG2422" s="29"/>
    </row>
    <row r="2423" spans="2:33">
      <c r="B2423" s="29"/>
      <c r="D2423" s="29"/>
      <c r="E2423" s="20"/>
      <c r="F2423" s="20"/>
      <c r="AC2423" s="20"/>
      <c r="AG2423" s="29"/>
    </row>
    <row r="2424" spans="2:33">
      <c r="B2424" s="29"/>
      <c r="D2424" s="29"/>
      <c r="E2424" s="20"/>
      <c r="F2424" s="20"/>
      <c r="AC2424" s="20"/>
      <c r="AG2424" s="29"/>
    </row>
    <row r="2425" spans="2:33">
      <c r="B2425" s="29"/>
      <c r="D2425" s="29"/>
      <c r="E2425" s="20"/>
      <c r="F2425" s="20"/>
      <c r="AC2425" s="20"/>
      <c r="AG2425" s="29"/>
    </row>
    <row r="2426" spans="2:33">
      <c r="B2426" s="29"/>
      <c r="D2426" s="29"/>
      <c r="E2426" s="20"/>
      <c r="F2426" s="20"/>
      <c r="AC2426" s="20"/>
      <c r="AG2426" s="29"/>
    </row>
    <row r="2427" spans="2:33">
      <c r="B2427" s="29"/>
      <c r="D2427" s="29"/>
      <c r="E2427" s="20"/>
      <c r="F2427" s="20"/>
      <c r="AC2427" s="20"/>
      <c r="AG2427" s="29"/>
    </row>
    <row r="2428" spans="2:33">
      <c r="B2428" s="29"/>
      <c r="D2428" s="29"/>
      <c r="E2428" s="20"/>
      <c r="F2428" s="20"/>
      <c r="AC2428" s="20"/>
      <c r="AG2428" s="29"/>
    </row>
    <row r="2429" spans="2:33">
      <c r="B2429" s="29"/>
      <c r="D2429" s="29"/>
      <c r="E2429" s="20"/>
      <c r="F2429" s="20"/>
      <c r="AC2429" s="20"/>
      <c r="AG2429" s="29"/>
    </row>
    <row r="2430" spans="2:33">
      <c r="B2430" s="29"/>
      <c r="D2430" s="29"/>
      <c r="E2430" s="20"/>
      <c r="F2430" s="20"/>
      <c r="AC2430" s="20"/>
      <c r="AG2430" s="29"/>
    </row>
    <row r="2431" spans="2:33">
      <c r="B2431" s="29"/>
      <c r="D2431" s="29"/>
      <c r="E2431" s="20"/>
      <c r="F2431" s="20"/>
      <c r="AC2431" s="20"/>
      <c r="AG2431" s="29"/>
    </row>
    <row r="2432" spans="2:33">
      <c r="B2432" s="29"/>
      <c r="D2432" s="29"/>
      <c r="E2432" s="20"/>
      <c r="F2432" s="20"/>
      <c r="AC2432" s="20"/>
      <c r="AG2432" s="29"/>
    </row>
    <row r="2433" spans="2:33">
      <c r="B2433" s="29"/>
      <c r="D2433" s="29"/>
      <c r="E2433" s="20"/>
      <c r="F2433" s="20"/>
      <c r="AC2433" s="20"/>
      <c r="AG2433" s="29"/>
    </row>
    <row r="2434" spans="2:33">
      <c r="B2434" s="29"/>
      <c r="D2434" s="29"/>
      <c r="E2434" s="20"/>
      <c r="F2434" s="20"/>
      <c r="AC2434" s="20"/>
      <c r="AG2434" s="29"/>
    </row>
    <row r="2435" spans="2:33">
      <c r="B2435" s="29"/>
      <c r="D2435" s="29"/>
      <c r="E2435" s="20"/>
      <c r="F2435" s="20"/>
      <c r="AC2435" s="20"/>
      <c r="AG2435" s="29"/>
    </row>
    <row r="2436" spans="2:33">
      <c r="B2436" s="29"/>
      <c r="D2436" s="29"/>
      <c r="E2436" s="20"/>
      <c r="F2436" s="20"/>
      <c r="AC2436" s="20"/>
      <c r="AG2436" s="29"/>
    </row>
    <row r="2437" spans="2:33">
      <c r="B2437" s="29"/>
      <c r="D2437" s="29"/>
      <c r="E2437" s="20"/>
      <c r="F2437" s="20"/>
      <c r="AC2437" s="20"/>
      <c r="AG2437" s="29"/>
    </row>
    <row r="2438" spans="2:33">
      <c r="B2438" s="29"/>
      <c r="D2438" s="29"/>
      <c r="E2438" s="20"/>
      <c r="F2438" s="20"/>
      <c r="AC2438" s="20"/>
      <c r="AG2438" s="29"/>
    </row>
    <row r="2439" spans="2:33">
      <c r="B2439" s="29"/>
      <c r="D2439" s="29"/>
      <c r="E2439" s="20"/>
      <c r="F2439" s="20"/>
      <c r="AC2439" s="20"/>
      <c r="AG2439" s="29"/>
    </row>
    <row r="2440" spans="2:33">
      <c r="B2440" s="29"/>
      <c r="D2440" s="29"/>
      <c r="E2440" s="20"/>
      <c r="F2440" s="20"/>
      <c r="AC2440" s="20"/>
      <c r="AG2440" s="29"/>
    </row>
    <row r="2441" spans="2:33">
      <c r="B2441" s="29"/>
      <c r="D2441" s="29"/>
      <c r="E2441" s="20"/>
      <c r="F2441" s="20"/>
      <c r="AC2441" s="20"/>
      <c r="AG2441" s="29"/>
    </row>
    <row r="2442" spans="2:33">
      <c r="B2442" s="29"/>
      <c r="D2442" s="29"/>
      <c r="E2442" s="20"/>
      <c r="F2442" s="20"/>
      <c r="AC2442" s="20"/>
      <c r="AG2442" s="29"/>
    </row>
    <row r="2443" spans="2:33">
      <c r="B2443" s="29"/>
      <c r="D2443" s="29"/>
      <c r="E2443" s="20"/>
      <c r="F2443" s="20"/>
      <c r="AC2443" s="20"/>
      <c r="AG2443" s="29"/>
    </row>
    <row r="2444" spans="2:33">
      <c r="B2444" s="29"/>
      <c r="D2444" s="29"/>
      <c r="E2444" s="20"/>
      <c r="F2444" s="20"/>
      <c r="AC2444" s="20"/>
      <c r="AG2444" s="29"/>
    </row>
    <row r="2445" spans="2:33">
      <c r="B2445" s="29"/>
      <c r="D2445" s="29"/>
      <c r="E2445" s="20"/>
      <c r="F2445" s="20"/>
      <c r="AC2445" s="20"/>
      <c r="AG2445" s="29"/>
    </row>
    <row r="2446" spans="2:33">
      <c r="B2446" s="29"/>
      <c r="D2446" s="29"/>
      <c r="E2446" s="20"/>
      <c r="F2446" s="20"/>
      <c r="AC2446" s="20"/>
      <c r="AG2446" s="29"/>
    </row>
    <row r="2447" spans="2:33">
      <c r="B2447" s="29"/>
      <c r="D2447" s="29"/>
      <c r="E2447" s="20"/>
      <c r="F2447" s="20"/>
      <c r="AC2447" s="20"/>
      <c r="AG2447" s="29"/>
    </row>
    <row r="2448" spans="2:33">
      <c r="B2448" s="29"/>
      <c r="D2448" s="29"/>
      <c r="E2448" s="20"/>
      <c r="F2448" s="20"/>
      <c r="AC2448" s="20"/>
      <c r="AG2448" s="29"/>
    </row>
    <row r="2449" spans="2:33">
      <c r="B2449" s="29"/>
      <c r="D2449" s="29"/>
      <c r="E2449" s="20"/>
      <c r="F2449" s="20"/>
      <c r="AC2449" s="20"/>
      <c r="AG2449" s="29"/>
    </row>
    <row r="2450" spans="2:33">
      <c r="B2450" s="29"/>
      <c r="D2450" s="29"/>
      <c r="E2450" s="20"/>
      <c r="F2450" s="20"/>
      <c r="AC2450" s="20"/>
      <c r="AG2450" s="29"/>
    </row>
    <row r="2451" spans="2:33">
      <c r="B2451" s="29"/>
      <c r="D2451" s="29"/>
      <c r="E2451" s="20"/>
      <c r="F2451" s="20"/>
      <c r="AC2451" s="20"/>
      <c r="AG2451" s="29"/>
    </row>
    <row r="2452" spans="2:33">
      <c r="B2452" s="29"/>
      <c r="D2452" s="29"/>
      <c r="E2452" s="20"/>
      <c r="F2452" s="20"/>
      <c r="AC2452" s="20"/>
      <c r="AG2452" s="29"/>
    </row>
    <row r="2453" spans="2:33">
      <c r="B2453" s="29"/>
      <c r="D2453" s="29"/>
      <c r="E2453" s="20"/>
      <c r="F2453" s="20"/>
      <c r="AC2453" s="20"/>
      <c r="AG2453" s="29"/>
    </row>
    <row r="2454" spans="2:33">
      <c r="B2454" s="29"/>
      <c r="D2454" s="29"/>
      <c r="E2454" s="20"/>
      <c r="F2454" s="20"/>
      <c r="AC2454" s="20"/>
      <c r="AG2454" s="29"/>
    </row>
    <row r="2455" spans="2:33">
      <c r="B2455" s="29"/>
      <c r="D2455" s="29"/>
      <c r="E2455" s="20"/>
      <c r="F2455" s="20"/>
      <c r="AC2455" s="20"/>
      <c r="AG2455" s="29"/>
    </row>
    <row r="2456" spans="2:33">
      <c r="B2456" s="29"/>
      <c r="D2456" s="29"/>
      <c r="E2456" s="20"/>
      <c r="F2456" s="20"/>
      <c r="AC2456" s="20"/>
      <c r="AG2456" s="29"/>
    </row>
    <row r="2457" spans="2:33">
      <c r="B2457" s="29"/>
      <c r="D2457" s="29"/>
      <c r="E2457" s="20"/>
      <c r="F2457" s="20"/>
      <c r="AC2457" s="20"/>
      <c r="AG2457" s="29"/>
    </row>
    <row r="2458" spans="2:33">
      <c r="B2458" s="29"/>
      <c r="D2458" s="29"/>
      <c r="E2458" s="20"/>
      <c r="F2458" s="20"/>
      <c r="AC2458" s="20"/>
      <c r="AG2458" s="29"/>
    </row>
    <row r="2459" spans="2:33">
      <c r="B2459" s="29"/>
      <c r="D2459" s="29"/>
      <c r="E2459" s="20"/>
      <c r="F2459" s="20"/>
      <c r="AC2459" s="20"/>
      <c r="AG2459" s="29"/>
    </row>
    <row r="2460" spans="2:33">
      <c r="B2460" s="29"/>
      <c r="D2460" s="29"/>
      <c r="E2460" s="20"/>
      <c r="F2460" s="20"/>
      <c r="AC2460" s="20"/>
      <c r="AG2460" s="29"/>
    </row>
    <row r="2461" spans="2:33">
      <c r="B2461" s="29"/>
      <c r="D2461" s="29"/>
      <c r="E2461" s="20"/>
      <c r="F2461" s="20"/>
      <c r="AC2461" s="20"/>
      <c r="AG2461" s="29"/>
    </row>
    <row r="2462" spans="2:33">
      <c r="B2462" s="29"/>
      <c r="D2462" s="29"/>
      <c r="E2462" s="20"/>
      <c r="F2462" s="20"/>
      <c r="AC2462" s="20"/>
      <c r="AG2462" s="29"/>
    </row>
    <row r="2463" spans="2:33">
      <c r="B2463" s="29"/>
      <c r="D2463" s="29"/>
      <c r="E2463" s="20"/>
      <c r="F2463" s="20"/>
      <c r="AC2463" s="20"/>
      <c r="AG2463" s="29"/>
    </row>
    <row r="2464" spans="2:33">
      <c r="B2464" s="29"/>
      <c r="D2464" s="29"/>
      <c r="E2464" s="20"/>
      <c r="F2464" s="20"/>
      <c r="AC2464" s="20"/>
      <c r="AG2464" s="29"/>
    </row>
    <row r="2465" spans="2:33">
      <c r="B2465" s="29"/>
      <c r="D2465" s="29"/>
      <c r="E2465" s="20"/>
      <c r="F2465" s="20"/>
      <c r="AC2465" s="20"/>
      <c r="AG2465" s="29"/>
    </row>
    <row r="2466" spans="2:33">
      <c r="B2466" s="29"/>
      <c r="D2466" s="29"/>
      <c r="E2466" s="20"/>
      <c r="F2466" s="20"/>
      <c r="AC2466" s="20"/>
      <c r="AG2466" s="29"/>
    </row>
    <row r="2467" spans="2:33">
      <c r="B2467" s="29"/>
      <c r="D2467" s="29"/>
      <c r="E2467" s="20"/>
      <c r="F2467" s="20"/>
      <c r="AC2467" s="20"/>
      <c r="AG2467" s="29"/>
    </row>
    <row r="2468" spans="2:33">
      <c r="B2468" s="29"/>
      <c r="D2468" s="29"/>
      <c r="E2468" s="20"/>
      <c r="F2468" s="20"/>
      <c r="AC2468" s="20"/>
      <c r="AG2468" s="29"/>
    </row>
    <row r="2469" spans="2:33">
      <c r="B2469" s="29"/>
      <c r="D2469" s="29"/>
      <c r="E2469" s="20"/>
      <c r="F2469" s="20"/>
      <c r="AC2469" s="20"/>
      <c r="AG2469" s="29"/>
    </row>
    <row r="2470" spans="2:33">
      <c r="B2470" s="29"/>
      <c r="D2470" s="29"/>
      <c r="E2470" s="20"/>
      <c r="F2470" s="20"/>
      <c r="AC2470" s="20"/>
      <c r="AG2470" s="29"/>
    </row>
    <row r="2471" spans="2:33">
      <c r="B2471" s="29"/>
      <c r="D2471" s="29"/>
      <c r="E2471" s="20"/>
      <c r="F2471" s="20"/>
      <c r="AC2471" s="20"/>
      <c r="AG2471" s="29"/>
    </row>
    <row r="2472" spans="2:33">
      <c r="B2472" s="29"/>
      <c r="D2472" s="29"/>
      <c r="E2472" s="20"/>
      <c r="F2472" s="20"/>
      <c r="AC2472" s="20"/>
      <c r="AG2472" s="29"/>
    </row>
    <row r="2473" spans="2:33">
      <c r="B2473" s="29"/>
      <c r="D2473" s="29"/>
      <c r="E2473" s="20"/>
      <c r="F2473" s="20"/>
      <c r="AC2473" s="20"/>
      <c r="AG2473" s="29"/>
    </row>
    <row r="2474" spans="2:33">
      <c r="B2474" s="29"/>
      <c r="D2474" s="29"/>
      <c r="E2474" s="20"/>
      <c r="F2474" s="20"/>
      <c r="AC2474" s="20"/>
      <c r="AG2474" s="29"/>
    </row>
    <row r="2475" spans="2:33">
      <c r="B2475" s="29"/>
      <c r="D2475" s="29"/>
      <c r="E2475" s="20"/>
      <c r="F2475" s="20"/>
      <c r="AC2475" s="20"/>
      <c r="AG2475" s="29"/>
    </row>
    <row r="2476" spans="2:33">
      <c r="B2476" s="29"/>
      <c r="D2476" s="29"/>
      <c r="E2476" s="20"/>
      <c r="F2476" s="20"/>
      <c r="AC2476" s="20"/>
      <c r="AG2476" s="29"/>
    </row>
    <row r="2477" spans="2:33">
      <c r="B2477" s="29"/>
      <c r="D2477" s="29"/>
      <c r="E2477" s="20"/>
      <c r="F2477" s="20"/>
      <c r="AC2477" s="20"/>
      <c r="AG2477" s="29"/>
    </row>
    <row r="2478" spans="2:33">
      <c r="B2478" s="29"/>
      <c r="D2478" s="29"/>
      <c r="E2478" s="20"/>
      <c r="F2478" s="20"/>
      <c r="AC2478" s="20"/>
      <c r="AG2478" s="29"/>
    </row>
    <row r="2479" spans="2:33">
      <c r="B2479" s="29"/>
      <c r="D2479" s="29"/>
      <c r="E2479" s="20"/>
      <c r="F2479" s="20"/>
      <c r="AC2479" s="20"/>
      <c r="AG2479" s="29"/>
    </row>
    <row r="2480" spans="2:33">
      <c r="B2480" s="29"/>
      <c r="D2480" s="29"/>
      <c r="E2480" s="20"/>
      <c r="F2480" s="20"/>
      <c r="AC2480" s="20"/>
      <c r="AG2480" s="29"/>
    </row>
    <row r="2481" spans="2:33">
      <c r="B2481" s="29"/>
      <c r="D2481" s="29"/>
      <c r="E2481" s="20"/>
      <c r="F2481" s="20"/>
      <c r="AC2481" s="20"/>
      <c r="AG2481" s="29"/>
    </row>
    <row r="2482" spans="2:33">
      <c r="B2482" s="29"/>
      <c r="D2482" s="29"/>
      <c r="E2482" s="20"/>
      <c r="F2482" s="20"/>
      <c r="AC2482" s="20"/>
      <c r="AG2482" s="29"/>
    </row>
    <row r="2483" spans="2:33">
      <c r="B2483" s="29"/>
      <c r="D2483" s="29"/>
      <c r="E2483" s="20"/>
      <c r="F2483" s="20"/>
      <c r="AC2483" s="20"/>
      <c r="AG2483" s="29"/>
    </row>
    <row r="2484" spans="2:33">
      <c r="B2484" s="29"/>
      <c r="D2484" s="29"/>
      <c r="E2484" s="20"/>
      <c r="F2484" s="20"/>
      <c r="AC2484" s="20"/>
      <c r="AG2484" s="29"/>
    </row>
    <row r="2485" spans="2:33">
      <c r="B2485" s="29"/>
      <c r="D2485" s="29"/>
      <c r="E2485" s="20"/>
      <c r="F2485" s="20"/>
      <c r="AC2485" s="20"/>
      <c r="AG2485" s="29"/>
    </row>
    <row r="2486" spans="2:33">
      <c r="B2486" s="29"/>
      <c r="D2486" s="29"/>
      <c r="E2486" s="20"/>
      <c r="F2486" s="20"/>
      <c r="AC2486" s="20"/>
      <c r="AG2486" s="29"/>
    </row>
    <row r="2487" spans="2:33">
      <c r="B2487" s="29"/>
      <c r="D2487" s="29"/>
      <c r="E2487" s="20"/>
      <c r="F2487" s="20"/>
      <c r="AC2487" s="20"/>
      <c r="AG2487" s="29"/>
    </row>
    <row r="2488" spans="2:33">
      <c r="B2488" s="29"/>
      <c r="D2488" s="29"/>
      <c r="E2488" s="20"/>
      <c r="F2488" s="20"/>
      <c r="AC2488" s="20"/>
      <c r="AG2488" s="29"/>
    </row>
    <row r="2489" spans="2:33">
      <c r="B2489" s="29"/>
      <c r="D2489" s="29"/>
      <c r="E2489" s="20"/>
      <c r="F2489" s="20"/>
      <c r="AC2489" s="20"/>
      <c r="AG2489" s="29"/>
    </row>
    <row r="2490" spans="2:33">
      <c r="B2490" s="29"/>
      <c r="D2490" s="29"/>
      <c r="E2490" s="20"/>
      <c r="F2490" s="20"/>
      <c r="AC2490" s="20"/>
      <c r="AG2490" s="29"/>
    </row>
    <row r="2491" spans="2:33">
      <c r="B2491" s="29"/>
      <c r="D2491" s="29"/>
      <c r="E2491" s="20"/>
      <c r="F2491" s="20"/>
      <c r="AC2491" s="20"/>
      <c r="AG2491" s="29"/>
    </row>
    <row r="2492" spans="2:33">
      <c r="B2492" s="29"/>
      <c r="D2492" s="29"/>
      <c r="E2492" s="20"/>
      <c r="F2492" s="20"/>
      <c r="AC2492" s="20"/>
      <c r="AG2492" s="29"/>
    </row>
    <row r="2493" spans="2:33">
      <c r="B2493" s="29"/>
      <c r="D2493" s="29"/>
      <c r="E2493" s="20"/>
      <c r="F2493" s="20"/>
      <c r="AC2493" s="20"/>
      <c r="AG2493" s="29"/>
    </row>
    <row r="2494" spans="2:33">
      <c r="B2494" s="29"/>
      <c r="D2494" s="29"/>
      <c r="E2494" s="20"/>
      <c r="F2494" s="20"/>
      <c r="AC2494" s="20"/>
      <c r="AG2494" s="29"/>
    </row>
    <row r="2495" spans="2:33">
      <c r="B2495" s="29"/>
      <c r="D2495" s="29"/>
      <c r="E2495" s="20"/>
      <c r="F2495" s="20"/>
      <c r="AC2495" s="20"/>
      <c r="AG2495" s="29"/>
    </row>
    <row r="2496" spans="2:33">
      <c r="B2496" s="29"/>
      <c r="D2496" s="29"/>
      <c r="E2496" s="20"/>
      <c r="F2496" s="20"/>
      <c r="AC2496" s="20"/>
      <c r="AG2496" s="29"/>
    </row>
    <row r="2497" spans="2:33">
      <c r="B2497" s="29"/>
      <c r="D2497" s="29"/>
      <c r="E2497" s="20"/>
      <c r="F2497" s="20"/>
      <c r="AC2497" s="20"/>
      <c r="AG2497" s="29"/>
    </row>
    <row r="2498" spans="2:33">
      <c r="B2498" s="29"/>
      <c r="D2498" s="29"/>
      <c r="E2498" s="20"/>
      <c r="F2498" s="20"/>
      <c r="AC2498" s="20"/>
      <c r="AG2498" s="29"/>
    </row>
    <row r="2499" spans="2:33">
      <c r="B2499" s="29"/>
      <c r="D2499" s="29"/>
      <c r="E2499" s="20"/>
      <c r="F2499" s="20"/>
      <c r="AC2499" s="20"/>
      <c r="AG2499" s="29"/>
    </row>
    <row r="2500" spans="2:33">
      <c r="B2500" s="29"/>
      <c r="D2500" s="29"/>
      <c r="E2500" s="20"/>
      <c r="F2500" s="20"/>
      <c r="AC2500" s="20"/>
      <c r="AG2500" s="29"/>
    </row>
    <row r="2501" spans="2:33">
      <c r="B2501" s="29"/>
      <c r="D2501" s="29"/>
      <c r="E2501" s="20"/>
      <c r="F2501" s="20"/>
      <c r="AC2501" s="20"/>
      <c r="AG2501" s="29"/>
    </row>
    <row r="2502" spans="2:33">
      <c r="B2502" s="29"/>
      <c r="D2502" s="29"/>
      <c r="E2502" s="20"/>
      <c r="F2502" s="20"/>
      <c r="AC2502" s="20"/>
      <c r="AG2502" s="29"/>
    </row>
    <row r="2503" spans="2:33">
      <c r="B2503" s="29"/>
      <c r="D2503" s="29"/>
      <c r="E2503" s="20"/>
      <c r="F2503" s="20"/>
      <c r="AC2503" s="20"/>
      <c r="AG2503" s="29"/>
    </row>
    <row r="2504" spans="2:33">
      <c r="B2504" s="29"/>
      <c r="D2504" s="29"/>
      <c r="E2504" s="20"/>
      <c r="F2504" s="20"/>
      <c r="AC2504" s="20"/>
      <c r="AG2504" s="29"/>
    </row>
    <row r="2505" spans="2:33">
      <c r="B2505" s="29"/>
      <c r="D2505" s="29"/>
      <c r="E2505" s="20"/>
      <c r="F2505" s="20"/>
      <c r="AC2505" s="20"/>
      <c r="AG2505" s="29"/>
    </row>
    <row r="2506" spans="2:33">
      <c r="B2506" s="29"/>
      <c r="D2506" s="29"/>
      <c r="E2506" s="20"/>
      <c r="F2506" s="20"/>
      <c r="AC2506" s="20"/>
      <c r="AG2506" s="29"/>
    </row>
    <row r="2507" spans="2:33">
      <c r="B2507" s="29"/>
      <c r="D2507" s="29"/>
      <c r="E2507" s="20"/>
      <c r="F2507" s="20"/>
      <c r="AC2507" s="20"/>
      <c r="AG2507" s="29"/>
    </row>
    <row r="2508" spans="2:33">
      <c r="B2508" s="29"/>
      <c r="D2508" s="29"/>
      <c r="E2508" s="20"/>
      <c r="F2508" s="20"/>
      <c r="AC2508" s="20"/>
      <c r="AG2508" s="29"/>
    </row>
    <row r="2509" spans="2:33">
      <c r="B2509" s="29"/>
      <c r="D2509" s="29"/>
      <c r="E2509" s="20"/>
      <c r="F2509" s="20"/>
      <c r="AC2509" s="20"/>
      <c r="AG2509" s="29"/>
    </row>
    <row r="2510" spans="2:33">
      <c r="B2510" s="29"/>
      <c r="D2510" s="29"/>
      <c r="E2510" s="20"/>
      <c r="F2510" s="20"/>
      <c r="AC2510" s="20"/>
      <c r="AG2510" s="29"/>
    </row>
    <row r="2511" spans="2:33">
      <c r="B2511" s="29"/>
      <c r="D2511" s="29"/>
      <c r="E2511" s="20"/>
      <c r="F2511" s="20"/>
      <c r="AC2511" s="20"/>
      <c r="AG2511" s="29"/>
    </row>
    <row r="2512" spans="2:33">
      <c r="B2512" s="29"/>
      <c r="D2512" s="29"/>
      <c r="E2512" s="20"/>
      <c r="F2512" s="20"/>
      <c r="AC2512" s="20"/>
      <c r="AG2512" s="29"/>
    </row>
    <row r="2513" spans="2:33">
      <c r="B2513" s="29"/>
      <c r="D2513" s="29"/>
      <c r="E2513" s="20"/>
      <c r="F2513" s="20"/>
      <c r="AC2513" s="20"/>
      <c r="AG2513" s="29"/>
    </row>
    <row r="2514" spans="2:33">
      <c r="B2514" s="29"/>
      <c r="D2514" s="29"/>
      <c r="E2514" s="20"/>
      <c r="F2514" s="20"/>
      <c r="AC2514" s="20"/>
      <c r="AG2514" s="29"/>
    </row>
    <row r="2515" spans="2:33">
      <c r="B2515" s="29"/>
      <c r="D2515" s="29"/>
      <c r="E2515" s="20"/>
      <c r="F2515" s="20"/>
      <c r="AC2515" s="20"/>
      <c r="AG2515" s="29"/>
    </row>
    <row r="2516" spans="2:33">
      <c r="B2516" s="29"/>
      <c r="D2516" s="29"/>
      <c r="E2516" s="20"/>
      <c r="F2516" s="20"/>
      <c r="AC2516" s="20"/>
      <c r="AG2516" s="29"/>
    </row>
    <row r="2517" spans="2:33">
      <c r="B2517" s="29"/>
      <c r="D2517" s="29"/>
      <c r="E2517" s="20"/>
      <c r="F2517" s="20"/>
      <c r="AC2517" s="20"/>
      <c r="AG2517" s="29"/>
    </row>
    <row r="2518" spans="2:33">
      <c r="B2518" s="29"/>
      <c r="D2518" s="29"/>
      <c r="E2518" s="20"/>
      <c r="F2518" s="20"/>
      <c r="AC2518" s="20"/>
      <c r="AG2518" s="29"/>
    </row>
    <row r="2519" spans="2:33">
      <c r="B2519" s="29"/>
      <c r="D2519" s="29"/>
      <c r="E2519" s="20"/>
      <c r="F2519" s="20"/>
      <c r="AC2519" s="20"/>
      <c r="AG2519" s="29"/>
    </row>
    <row r="2520" spans="2:33">
      <c r="B2520" s="29"/>
      <c r="D2520" s="29"/>
      <c r="E2520" s="20"/>
      <c r="F2520" s="20"/>
      <c r="AC2520" s="20"/>
      <c r="AG2520" s="29"/>
    </row>
    <row r="2521" spans="2:33">
      <c r="B2521" s="29"/>
      <c r="D2521" s="29"/>
      <c r="E2521" s="20"/>
      <c r="F2521" s="20"/>
      <c r="AC2521" s="20"/>
      <c r="AG2521" s="29"/>
    </row>
    <row r="2522" spans="2:33">
      <c r="B2522" s="29"/>
      <c r="D2522" s="29"/>
      <c r="E2522" s="20"/>
      <c r="F2522" s="20"/>
      <c r="AC2522" s="20"/>
      <c r="AG2522" s="29"/>
    </row>
    <row r="2523" spans="2:33">
      <c r="B2523" s="29"/>
      <c r="D2523" s="29"/>
      <c r="E2523" s="20"/>
      <c r="F2523" s="20"/>
      <c r="AC2523" s="20"/>
      <c r="AG2523" s="29"/>
    </row>
    <row r="2524" spans="2:33">
      <c r="B2524" s="29"/>
      <c r="D2524" s="29"/>
      <c r="E2524" s="20"/>
      <c r="F2524" s="20"/>
      <c r="AC2524" s="20"/>
      <c r="AG2524" s="29"/>
    </row>
    <row r="2525" spans="2:33">
      <c r="B2525" s="29"/>
      <c r="D2525" s="29"/>
      <c r="E2525" s="20"/>
      <c r="F2525" s="20"/>
      <c r="AC2525" s="20"/>
      <c r="AG2525" s="29"/>
    </row>
    <row r="2526" spans="2:33">
      <c r="B2526" s="29"/>
      <c r="D2526" s="29"/>
      <c r="E2526" s="20"/>
      <c r="F2526" s="20"/>
      <c r="AC2526" s="20"/>
      <c r="AG2526" s="29"/>
    </row>
    <row r="2527" spans="2:33">
      <c r="B2527" s="29"/>
      <c r="D2527" s="29"/>
      <c r="E2527" s="20"/>
      <c r="F2527" s="20"/>
      <c r="AC2527" s="20"/>
      <c r="AG2527" s="29"/>
    </row>
    <row r="2528" spans="2:33">
      <c r="B2528" s="29"/>
      <c r="D2528" s="29"/>
      <c r="E2528" s="20"/>
      <c r="F2528" s="20"/>
      <c r="AC2528" s="20"/>
      <c r="AG2528" s="29"/>
    </row>
    <row r="2529" spans="2:33">
      <c r="B2529" s="29"/>
      <c r="D2529" s="29"/>
      <c r="E2529" s="20"/>
      <c r="F2529" s="20"/>
      <c r="AC2529" s="20"/>
      <c r="AG2529" s="29"/>
    </row>
    <row r="2530" spans="2:33">
      <c r="B2530" s="29"/>
      <c r="D2530" s="29"/>
      <c r="E2530" s="20"/>
      <c r="F2530" s="20"/>
      <c r="AC2530" s="20"/>
      <c r="AG2530" s="29"/>
    </row>
    <row r="2531" spans="2:33">
      <c r="B2531" s="29"/>
      <c r="D2531" s="29"/>
      <c r="E2531" s="20"/>
      <c r="F2531" s="20"/>
      <c r="AC2531" s="20"/>
      <c r="AG2531" s="29"/>
    </row>
    <row r="2532" spans="2:33">
      <c r="B2532" s="29"/>
      <c r="D2532" s="29"/>
      <c r="E2532" s="20"/>
      <c r="F2532" s="20"/>
      <c r="AC2532" s="20"/>
      <c r="AG2532" s="29"/>
    </row>
    <row r="2533" spans="2:33">
      <c r="B2533" s="29"/>
      <c r="D2533" s="29"/>
      <c r="E2533" s="20"/>
      <c r="F2533" s="20"/>
      <c r="AC2533" s="20"/>
      <c r="AG2533" s="29"/>
    </row>
    <row r="2534" spans="2:33">
      <c r="B2534" s="29"/>
      <c r="D2534" s="29"/>
      <c r="E2534" s="20"/>
      <c r="F2534" s="20"/>
      <c r="AC2534" s="20"/>
      <c r="AG2534" s="29"/>
    </row>
    <row r="2535" spans="2:33">
      <c r="B2535" s="29"/>
      <c r="D2535" s="29"/>
      <c r="E2535" s="20"/>
      <c r="F2535" s="20"/>
      <c r="AC2535" s="20"/>
      <c r="AG2535" s="29"/>
    </row>
    <row r="2536" spans="2:33">
      <c r="B2536" s="29"/>
      <c r="D2536" s="29"/>
      <c r="E2536" s="20"/>
      <c r="F2536" s="20"/>
      <c r="AC2536" s="20"/>
      <c r="AG2536" s="29"/>
    </row>
    <row r="2537" spans="2:33">
      <c r="B2537" s="29"/>
      <c r="D2537" s="29"/>
      <c r="E2537" s="20"/>
      <c r="F2537" s="20"/>
      <c r="AC2537" s="20"/>
      <c r="AG2537" s="29"/>
    </row>
    <row r="2538" spans="2:33">
      <c r="B2538" s="29"/>
      <c r="D2538" s="29"/>
      <c r="E2538" s="20"/>
      <c r="F2538" s="20"/>
      <c r="AC2538" s="20"/>
      <c r="AG2538" s="29"/>
    </row>
    <row r="2539" spans="2:33">
      <c r="B2539" s="29"/>
      <c r="D2539" s="29"/>
      <c r="E2539" s="20"/>
      <c r="F2539" s="20"/>
      <c r="AC2539" s="20"/>
      <c r="AG2539" s="29"/>
    </row>
    <row r="2540" spans="2:33">
      <c r="B2540" s="29"/>
      <c r="D2540" s="29"/>
      <c r="E2540" s="20"/>
      <c r="F2540" s="20"/>
      <c r="AC2540" s="20"/>
      <c r="AG2540" s="29"/>
    </row>
    <row r="2541" spans="2:33">
      <c r="B2541" s="29"/>
      <c r="D2541" s="29"/>
      <c r="E2541" s="20"/>
      <c r="F2541" s="20"/>
      <c r="AC2541" s="20"/>
      <c r="AG2541" s="29"/>
    </row>
    <row r="2542" spans="2:33">
      <c r="B2542" s="29"/>
      <c r="D2542" s="29"/>
      <c r="E2542" s="20"/>
      <c r="F2542" s="20"/>
      <c r="AC2542" s="20"/>
      <c r="AG2542" s="29"/>
    </row>
    <row r="2543" spans="2:33">
      <c r="B2543" s="29"/>
      <c r="D2543" s="29"/>
      <c r="E2543" s="20"/>
      <c r="F2543" s="20"/>
      <c r="AC2543" s="20"/>
      <c r="AG2543" s="29"/>
    </row>
    <row r="2544" spans="2:33">
      <c r="B2544" s="29"/>
      <c r="D2544" s="29"/>
      <c r="E2544" s="20"/>
      <c r="F2544" s="20"/>
      <c r="AC2544" s="20"/>
      <c r="AG2544" s="29"/>
    </row>
    <row r="2545" spans="2:33">
      <c r="B2545" s="29"/>
      <c r="D2545" s="29"/>
      <c r="E2545" s="20"/>
      <c r="F2545" s="20"/>
      <c r="AC2545" s="20"/>
      <c r="AG2545" s="29"/>
    </row>
    <row r="2546" spans="2:33">
      <c r="B2546" s="29"/>
      <c r="D2546" s="29"/>
      <c r="E2546" s="20"/>
      <c r="F2546" s="20"/>
      <c r="AC2546" s="20"/>
      <c r="AG2546" s="29"/>
    </row>
    <row r="2547" spans="2:33">
      <c r="B2547" s="29"/>
      <c r="D2547" s="29"/>
      <c r="E2547" s="20"/>
      <c r="F2547" s="20"/>
      <c r="AC2547" s="20"/>
      <c r="AG2547" s="29"/>
    </row>
    <row r="2548" spans="2:33">
      <c r="B2548" s="29"/>
      <c r="D2548" s="29"/>
      <c r="E2548" s="20"/>
      <c r="F2548" s="20"/>
      <c r="AC2548" s="20"/>
      <c r="AG2548" s="29"/>
    </row>
    <row r="2549" spans="2:33">
      <c r="B2549" s="29"/>
      <c r="D2549" s="29"/>
      <c r="E2549" s="20"/>
      <c r="F2549" s="20"/>
      <c r="AC2549" s="20"/>
      <c r="AG2549" s="29"/>
    </row>
    <row r="2550" spans="2:33">
      <c r="B2550" s="29"/>
      <c r="D2550" s="29"/>
      <c r="E2550" s="20"/>
      <c r="F2550" s="20"/>
      <c r="AC2550" s="20"/>
      <c r="AG2550" s="29"/>
    </row>
    <row r="2551" spans="2:33">
      <c r="B2551" s="29"/>
      <c r="D2551" s="29"/>
      <c r="E2551" s="20"/>
      <c r="F2551" s="20"/>
      <c r="AC2551" s="20"/>
      <c r="AG2551" s="29"/>
    </row>
    <row r="2552" spans="2:33">
      <c r="B2552" s="29"/>
      <c r="D2552" s="29"/>
      <c r="E2552" s="20"/>
      <c r="F2552" s="20"/>
      <c r="AC2552" s="20"/>
      <c r="AG2552" s="29"/>
    </row>
    <row r="2553" spans="2:33">
      <c r="B2553" s="29"/>
      <c r="D2553" s="29"/>
      <c r="E2553" s="20"/>
      <c r="F2553" s="20"/>
      <c r="AC2553" s="20"/>
      <c r="AG2553" s="29"/>
    </row>
    <row r="2554" spans="2:33">
      <c r="B2554" s="29"/>
      <c r="D2554" s="29"/>
      <c r="E2554" s="20"/>
      <c r="F2554" s="20"/>
      <c r="AC2554" s="20"/>
      <c r="AG2554" s="29"/>
    </row>
    <row r="2555" spans="2:33">
      <c r="B2555" s="29"/>
      <c r="D2555" s="29"/>
      <c r="E2555" s="20"/>
      <c r="F2555" s="20"/>
      <c r="AC2555" s="20"/>
      <c r="AG2555" s="29"/>
    </row>
    <row r="2556" spans="2:33">
      <c r="B2556" s="29"/>
      <c r="D2556" s="29"/>
      <c r="E2556" s="20"/>
      <c r="F2556" s="20"/>
      <c r="AC2556" s="20"/>
      <c r="AG2556" s="29"/>
    </row>
    <row r="2557" spans="2:33">
      <c r="B2557" s="29"/>
      <c r="D2557" s="29"/>
      <c r="E2557" s="20"/>
      <c r="F2557" s="20"/>
      <c r="AC2557" s="20"/>
      <c r="AG2557" s="29"/>
    </row>
    <row r="2558" spans="2:33">
      <c r="B2558" s="29"/>
      <c r="D2558" s="29"/>
      <c r="E2558" s="20"/>
      <c r="F2558" s="20"/>
      <c r="AC2558" s="20"/>
      <c r="AG2558" s="29"/>
    </row>
    <row r="2559" spans="2:33">
      <c r="B2559" s="29"/>
      <c r="D2559" s="29"/>
      <c r="E2559" s="20"/>
      <c r="F2559" s="20"/>
      <c r="AC2559" s="20"/>
      <c r="AG2559" s="29"/>
    </row>
    <row r="2560" spans="2:33">
      <c r="B2560" s="29"/>
      <c r="D2560" s="29"/>
      <c r="E2560" s="20"/>
      <c r="F2560" s="20"/>
      <c r="AC2560" s="20"/>
      <c r="AG2560" s="29"/>
    </row>
    <row r="2561" spans="2:33">
      <c r="B2561" s="29"/>
      <c r="D2561" s="29"/>
      <c r="E2561" s="20"/>
      <c r="F2561" s="20"/>
      <c r="AC2561" s="20"/>
      <c r="AG2561" s="29"/>
    </row>
    <row r="2562" spans="2:33">
      <c r="B2562" s="29"/>
      <c r="D2562" s="29"/>
      <c r="E2562" s="20"/>
      <c r="F2562" s="20"/>
      <c r="AC2562" s="20"/>
      <c r="AG2562" s="29"/>
    </row>
    <row r="2563" spans="2:33">
      <c r="B2563" s="29"/>
      <c r="D2563" s="29"/>
      <c r="E2563" s="20"/>
      <c r="F2563" s="20"/>
      <c r="AC2563" s="20"/>
      <c r="AG2563" s="29"/>
    </row>
    <row r="2564" spans="2:33">
      <c r="B2564" s="29"/>
      <c r="D2564" s="29"/>
      <c r="E2564" s="20"/>
      <c r="F2564" s="20"/>
      <c r="AC2564" s="20"/>
      <c r="AG2564" s="29"/>
    </row>
    <row r="2565" spans="2:33">
      <c r="B2565" s="29"/>
      <c r="D2565" s="29"/>
      <c r="E2565" s="20"/>
      <c r="F2565" s="20"/>
      <c r="AC2565" s="20"/>
      <c r="AG2565" s="29"/>
    </row>
    <row r="2566" spans="2:33">
      <c r="B2566" s="29"/>
      <c r="D2566" s="29"/>
      <c r="E2566" s="20"/>
      <c r="F2566" s="20"/>
      <c r="AC2566" s="20"/>
      <c r="AG2566" s="29"/>
    </row>
    <row r="2567" spans="2:33">
      <c r="B2567" s="29"/>
      <c r="D2567" s="29"/>
      <c r="E2567" s="20"/>
      <c r="F2567" s="20"/>
      <c r="AC2567" s="20"/>
      <c r="AG2567" s="29"/>
    </row>
    <row r="2568" spans="2:33">
      <c r="B2568" s="29"/>
      <c r="D2568" s="29"/>
      <c r="E2568" s="20"/>
      <c r="F2568" s="20"/>
      <c r="AC2568" s="20"/>
      <c r="AG2568" s="29"/>
    </row>
    <row r="2569" spans="2:33">
      <c r="B2569" s="29"/>
      <c r="D2569" s="29"/>
      <c r="E2569" s="20"/>
      <c r="F2569" s="20"/>
      <c r="AC2569" s="20"/>
      <c r="AG2569" s="29"/>
    </row>
    <row r="2570" spans="2:33">
      <c r="B2570" s="29"/>
      <c r="D2570" s="29"/>
      <c r="E2570" s="20"/>
      <c r="F2570" s="20"/>
      <c r="AC2570" s="20"/>
      <c r="AG2570" s="29"/>
    </row>
    <row r="2571" spans="2:33">
      <c r="B2571" s="29"/>
      <c r="D2571" s="29"/>
      <c r="E2571" s="20"/>
      <c r="F2571" s="20"/>
      <c r="AC2571" s="20"/>
      <c r="AG2571" s="29"/>
    </row>
    <row r="2572" spans="2:33">
      <c r="B2572" s="29"/>
      <c r="D2572" s="29"/>
      <c r="E2572" s="20"/>
      <c r="F2572" s="20"/>
      <c r="AC2572" s="20"/>
      <c r="AG2572" s="29"/>
    </row>
    <row r="2573" spans="2:33">
      <c r="B2573" s="29"/>
      <c r="D2573" s="29"/>
      <c r="E2573" s="20"/>
      <c r="F2573" s="20"/>
      <c r="AC2573" s="20"/>
      <c r="AG2573" s="29"/>
    </row>
    <row r="2574" spans="2:33">
      <c r="B2574" s="29"/>
      <c r="D2574" s="29"/>
      <c r="E2574" s="20"/>
      <c r="F2574" s="20"/>
      <c r="AC2574" s="20"/>
      <c r="AG2574" s="29"/>
    </row>
    <row r="2575" spans="2:33">
      <c r="B2575" s="29"/>
      <c r="D2575" s="29"/>
      <c r="E2575" s="20"/>
      <c r="F2575" s="20"/>
      <c r="AC2575" s="20"/>
      <c r="AG2575" s="29"/>
    </row>
    <row r="2576" spans="2:33">
      <c r="B2576" s="29"/>
      <c r="D2576" s="29"/>
      <c r="E2576" s="20"/>
      <c r="F2576" s="20"/>
      <c r="AC2576" s="20"/>
      <c r="AG2576" s="29"/>
    </row>
    <row r="2577" spans="2:33">
      <c r="B2577" s="29"/>
      <c r="D2577" s="29"/>
      <c r="E2577" s="20"/>
      <c r="F2577" s="20"/>
      <c r="AC2577" s="20"/>
      <c r="AG2577" s="29"/>
    </row>
    <row r="2578" spans="2:33">
      <c r="B2578" s="29"/>
      <c r="D2578" s="29"/>
      <c r="E2578" s="20"/>
      <c r="F2578" s="20"/>
      <c r="AC2578" s="20"/>
      <c r="AG2578" s="29"/>
    </row>
    <row r="2579" spans="2:33">
      <c r="B2579" s="29"/>
      <c r="D2579" s="29"/>
      <c r="E2579" s="20"/>
      <c r="F2579" s="20"/>
      <c r="AC2579" s="20"/>
      <c r="AG2579" s="29"/>
    </row>
    <row r="2580" spans="2:33">
      <c r="B2580" s="29"/>
      <c r="D2580" s="29"/>
      <c r="E2580" s="20"/>
      <c r="F2580" s="20"/>
      <c r="AC2580" s="20"/>
      <c r="AG2580" s="29"/>
    </row>
    <row r="2581" spans="2:33">
      <c r="B2581" s="29"/>
      <c r="D2581" s="29"/>
      <c r="E2581" s="20"/>
      <c r="F2581" s="20"/>
      <c r="AC2581" s="20"/>
      <c r="AG2581" s="29"/>
    </row>
    <row r="2582" spans="2:33">
      <c r="B2582" s="29"/>
      <c r="D2582" s="29"/>
      <c r="E2582" s="20"/>
      <c r="F2582" s="20"/>
      <c r="AC2582" s="20"/>
      <c r="AG2582" s="29"/>
    </row>
    <row r="2583" spans="2:33">
      <c r="B2583" s="29"/>
      <c r="D2583" s="29"/>
      <c r="E2583" s="20"/>
      <c r="F2583" s="20"/>
      <c r="AC2583" s="20"/>
      <c r="AG2583" s="29"/>
    </row>
    <row r="2584" spans="2:33">
      <c r="B2584" s="29"/>
      <c r="D2584" s="29"/>
      <c r="E2584" s="20"/>
      <c r="F2584" s="20"/>
      <c r="AC2584" s="20"/>
      <c r="AG2584" s="29"/>
    </row>
    <row r="2585" spans="2:33">
      <c r="B2585" s="29"/>
      <c r="D2585" s="29"/>
      <c r="E2585" s="20"/>
      <c r="F2585" s="20"/>
      <c r="AC2585" s="20"/>
      <c r="AG2585" s="29"/>
    </row>
    <row r="2586" spans="2:33">
      <c r="B2586" s="29"/>
      <c r="D2586" s="29"/>
      <c r="E2586" s="20"/>
      <c r="F2586" s="20"/>
      <c r="AC2586" s="20"/>
      <c r="AG2586" s="29"/>
    </row>
    <row r="2587" spans="2:33">
      <c r="B2587" s="29"/>
      <c r="D2587" s="29"/>
      <c r="E2587" s="20"/>
      <c r="F2587" s="20"/>
      <c r="AC2587" s="20"/>
      <c r="AG2587" s="29"/>
    </row>
    <row r="2588" spans="2:33">
      <c r="B2588" s="29"/>
      <c r="D2588" s="29"/>
      <c r="E2588" s="20"/>
      <c r="F2588" s="20"/>
      <c r="AC2588" s="20"/>
      <c r="AG2588" s="29"/>
    </row>
    <row r="2589" spans="2:33">
      <c r="B2589" s="29"/>
      <c r="D2589" s="29"/>
      <c r="E2589" s="20"/>
      <c r="F2589" s="20"/>
      <c r="AC2589" s="20"/>
      <c r="AG2589" s="29"/>
    </row>
    <row r="2590" spans="2:33">
      <c r="B2590" s="29"/>
      <c r="D2590" s="29"/>
      <c r="E2590" s="20"/>
      <c r="F2590" s="20"/>
      <c r="AC2590" s="20"/>
      <c r="AG2590" s="29"/>
    </row>
    <row r="2591" spans="2:33">
      <c r="B2591" s="29"/>
      <c r="D2591" s="29"/>
      <c r="E2591" s="20"/>
      <c r="F2591" s="20"/>
      <c r="AC2591" s="20"/>
      <c r="AG2591" s="29"/>
    </row>
    <row r="2592" spans="2:33">
      <c r="B2592" s="29"/>
      <c r="D2592" s="29"/>
      <c r="E2592" s="20"/>
      <c r="F2592" s="20"/>
      <c r="AC2592" s="20"/>
      <c r="AG2592" s="29"/>
    </row>
    <row r="2593" spans="2:33">
      <c r="B2593" s="29"/>
      <c r="D2593" s="29"/>
      <c r="E2593" s="20"/>
      <c r="F2593" s="20"/>
      <c r="AC2593" s="20"/>
      <c r="AG2593" s="29"/>
    </row>
    <row r="2594" spans="2:33">
      <c r="B2594" s="29"/>
      <c r="D2594" s="29"/>
      <c r="E2594" s="20"/>
      <c r="F2594" s="20"/>
      <c r="AC2594" s="20"/>
      <c r="AG2594" s="29"/>
    </row>
    <row r="2595" spans="2:33">
      <c r="B2595" s="29"/>
      <c r="D2595" s="29"/>
      <c r="E2595" s="20"/>
      <c r="F2595" s="20"/>
      <c r="AC2595" s="20"/>
      <c r="AG2595" s="29"/>
    </row>
    <row r="2596" spans="2:33">
      <c r="B2596" s="29"/>
      <c r="D2596" s="29"/>
      <c r="E2596" s="20"/>
      <c r="F2596" s="20"/>
      <c r="AC2596" s="20"/>
      <c r="AG2596" s="29"/>
    </row>
    <row r="2597" spans="2:33">
      <c r="B2597" s="29"/>
      <c r="D2597" s="29"/>
      <c r="E2597" s="20"/>
      <c r="F2597" s="20"/>
      <c r="AC2597" s="20"/>
      <c r="AG2597" s="29"/>
    </row>
    <row r="2598" spans="2:33">
      <c r="B2598" s="29"/>
      <c r="D2598" s="29"/>
      <c r="E2598" s="20"/>
      <c r="F2598" s="20"/>
      <c r="AC2598" s="20"/>
      <c r="AG2598" s="29"/>
    </row>
    <row r="2599" spans="2:33">
      <c r="B2599" s="29"/>
      <c r="D2599" s="29"/>
      <c r="E2599" s="20"/>
      <c r="F2599" s="20"/>
      <c r="AC2599" s="20"/>
      <c r="AG2599" s="29"/>
    </row>
    <row r="2600" spans="2:33">
      <c r="B2600" s="29"/>
      <c r="D2600" s="29"/>
      <c r="E2600" s="20"/>
      <c r="F2600" s="20"/>
      <c r="AC2600" s="20"/>
      <c r="AG2600" s="29"/>
    </row>
    <row r="2601" spans="2:33">
      <c r="B2601" s="29"/>
      <c r="D2601" s="29"/>
      <c r="E2601" s="20"/>
      <c r="F2601" s="20"/>
      <c r="AC2601" s="20"/>
      <c r="AG2601" s="29"/>
    </row>
    <row r="2602" spans="2:33">
      <c r="B2602" s="29"/>
      <c r="D2602" s="29"/>
      <c r="E2602" s="20"/>
      <c r="F2602" s="20"/>
      <c r="AC2602" s="20"/>
      <c r="AG2602" s="29"/>
    </row>
    <row r="2603" spans="2:33">
      <c r="B2603" s="29"/>
      <c r="D2603" s="29"/>
      <c r="E2603" s="20"/>
      <c r="F2603" s="20"/>
      <c r="AC2603" s="20"/>
      <c r="AG2603" s="29"/>
    </row>
    <row r="2604" spans="2:33">
      <c r="B2604" s="29"/>
      <c r="D2604" s="29"/>
      <c r="E2604" s="20"/>
      <c r="F2604" s="20"/>
      <c r="AC2604" s="20"/>
      <c r="AG2604" s="29"/>
    </row>
    <row r="2605" spans="2:33">
      <c r="B2605" s="29"/>
      <c r="D2605" s="29"/>
      <c r="E2605" s="20"/>
      <c r="F2605" s="20"/>
      <c r="AC2605" s="20"/>
      <c r="AG2605" s="29"/>
    </row>
    <row r="2606" spans="2:33">
      <c r="B2606" s="29"/>
      <c r="D2606" s="29"/>
      <c r="E2606" s="20"/>
      <c r="F2606" s="20"/>
      <c r="AC2606" s="20"/>
      <c r="AG2606" s="29"/>
    </row>
    <row r="2607" spans="2:33">
      <c r="B2607" s="29"/>
      <c r="D2607" s="29"/>
      <c r="E2607" s="20"/>
      <c r="F2607" s="20"/>
      <c r="AC2607" s="20"/>
      <c r="AG2607" s="29"/>
    </row>
    <row r="2608" spans="2:33">
      <c r="B2608" s="29"/>
      <c r="D2608" s="29"/>
      <c r="E2608" s="20"/>
      <c r="F2608" s="20"/>
      <c r="AC2608" s="20"/>
      <c r="AG2608" s="29"/>
    </row>
    <row r="2609" spans="2:33">
      <c r="B2609" s="29"/>
      <c r="D2609" s="29"/>
      <c r="E2609" s="20"/>
      <c r="F2609" s="20"/>
      <c r="AC2609" s="20"/>
      <c r="AG2609" s="29"/>
    </row>
    <row r="2610" spans="2:33">
      <c r="B2610" s="29"/>
      <c r="D2610" s="29"/>
      <c r="E2610" s="20"/>
      <c r="F2610" s="20"/>
      <c r="AC2610" s="20"/>
      <c r="AG2610" s="29"/>
    </row>
    <row r="2611" spans="2:33">
      <c r="B2611" s="29"/>
      <c r="D2611" s="29"/>
      <c r="E2611" s="20"/>
      <c r="F2611" s="20"/>
      <c r="AC2611" s="20"/>
      <c r="AG2611" s="29"/>
    </row>
    <row r="2612" spans="2:33">
      <c r="B2612" s="29"/>
      <c r="D2612" s="29"/>
      <c r="E2612" s="20"/>
      <c r="F2612" s="20"/>
      <c r="AC2612" s="20"/>
      <c r="AG2612" s="29"/>
    </row>
    <row r="2613" spans="2:33">
      <c r="B2613" s="29"/>
      <c r="D2613" s="29"/>
      <c r="E2613" s="20"/>
      <c r="F2613" s="20"/>
      <c r="AC2613" s="20"/>
      <c r="AG2613" s="29"/>
    </row>
    <row r="2614" spans="2:33">
      <c r="B2614" s="29"/>
      <c r="D2614" s="29"/>
      <c r="E2614" s="20"/>
      <c r="F2614" s="20"/>
      <c r="AC2614" s="20"/>
      <c r="AG2614" s="29"/>
    </row>
    <row r="2615" spans="2:33">
      <c r="B2615" s="29"/>
      <c r="D2615" s="29"/>
      <c r="E2615" s="20"/>
      <c r="F2615" s="20"/>
      <c r="AC2615" s="20"/>
      <c r="AG2615" s="29"/>
    </row>
    <row r="2616" spans="2:33">
      <c r="B2616" s="29"/>
      <c r="D2616" s="29"/>
      <c r="E2616" s="20"/>
      <c r="F2616" s="20"/>
      <c r="AC2616" s="20"/>
      <c r="AG2616" s="29"/>
    </row>
    <row r="2617" spans="2:33">
      <c r="B2617" s="29"/>
      <c r="D2617" s="29"/>
      <c r="E2617" s="20"/>
      <c r="F2617" s="20"/>
      <c r="AC2617" s="20"/>
      <c r="AG2617" s="29"/>
    </row>
    <row r="2618" spans="2:33">
      <c r="B2618" s="29"/>
      <c r="D2618" s="29"/>
      <c r="E2618" s="20"/>
      <c r="F2618" s="20"/>
      <c r="AC2618" s="20"/>
      <c r="AG2618" s="29"/>
    </row>
    <row r="2619" spans="2:33">
      <c r="B2619" s="29"/>
      <c r="D2619" s="29"/>
      <c r="E2619" s="20"/>
      <c r="F2619" s="20"/>
      <c r="AC2619" s="20"/>
      <c r="AG2619" s="29"/>
    </row>
    <row r="2620" spans="2:33">
      <c r="B2620" s="29"/>
      <c r="D2620" s="29"/>
      <c r="E2620" s="20"/>
      <c r="F2620" s="20"/>
      <c r="AC2620" s="20"/>
      <c r="AG2620" s="29"/>
    </row>
    <row r="2621" spans="2:33">
      <c r="B2621" s="29"/>
      <c r="D2621" s="29"/>
      <c r="E2621" s="20"/>
      <c r="F2621" s="20"/>
      <c r="AC2621" s="20"/>
      <c r="AG2621" s="29"/>
    </row>
    <row r="2622" spans="2:33">
      <c r="B2622" s="29"/>
      <c r="D2622" s="29"/>
      <c r="E2622" s="20"/>
      <c r="F2622" s="20"/>
      <c r="AC2622" s="20"/>
      <c r="AG2622" s="29"/>
    </row>
    <row r="2623" spans="2:33">
      <c r="B2623" s="29"/>
      <c r="D2623" s="29"/>
      <c r="E2623" s="20"/>
      <c r="F2623" s="20"/>
      <c r="AC2623" s="20"/>
      <c r="AG2623" s="29"/>
    </row>
    <row r="2624" spans="2:33">
      <c r="B2624" s="29"/>
      <c r="D2624" s="29"/>
      <c r="E2624" s="20"/>
      <c r="F2624" s="20"/>
      <c r="AC2624" s="20"/>
      <c r="AG2624" s="29"/>
    </row>
    <row r="2625" spans="2:33">
      <c r="B2625" s="29"/>
      <c r="D2625" s="29"/>
      <c r="E2625" s="20"/>
      <c r="F2625" s="20"/>
      <c r="AC2625" s="20"/>
      <c r="AG2625" s="29"/>
    </row>
    <row r="2626" spans="2:33">
      <c r="B2626" s="29"/>
      <c r="D2626" s="29"/>
      <c r="E2626" s="20"/>
      <c r="F2626" s="20"/>
      <c r="AC2626" s="20"/>
      <c r="AG2626" s="29"/>
    </row>
    <row r="2627" spans="2:33">
      <c r="B2627" s="29"/>
      <c r="D2627" s="29"/>
      <c r="E2627" s="20"/>
      <c r="F2627" s="20"/>
      <c r="AC2627" s="20"/>
      <c r="AG2627" s="29"/>
    </row>
    <row r="2628" spans="2:33">
      <c r="B2628" s="29"/>
      <c r="D2628" s="29"/>
      <c r="E2628" s="20"/>
      <c r="F2628" s="20"/>
      <c r="AC2628" s="20"/>
      <c r="AG2628" s="29"/>
    </row>
    <row r="2629" spans="2:33">
      <c r="B2629" s="29"/>
      <c r="D2629" s="29"/>
      <c r="E2629" s="20"/>
      <c r="F2629" s="20"/>
      <c r="AC2629" s="20"/>
      <c r="AG2629" s="29"/>
    </row>
    <row r="2630" spans="2:33">
      <c r="B2630" s="29"/>
      <c r="D2630" s="29"/>
      <c r="E2630" s="20"/>
      <c r="F2630" s="20"/>
      <c r="AC2630" s="20"/>
      <c r="AG2630" s="29"/>
    </row>
    <row r="2631" spans="2:33">
      <c r="B2631" s="29"/>
      <c r="D2631" s="29"/>
      <c r="E2631" s="20"/>
      <c r="F2631" s="20"/>
      <c r="AC2631" s="20"/>
      <c r="AG2631" s="29"/>
    </row>
    <row r="2632" spans="2:33">
      <c r="B2632" s="29"/>
      <c r="D2632" s="29"/>
      <c r="E2632" s="20"/>
      <c r="F2632" s="20"/>
      <c r="AC2632" s="20"/>
      <c r="AG2632" s="29"/>
    </row>
    <row r="2633" spans="2:33">
      <c r="B2633" s="29"/>
      <c r="D2633" s="29"/>
      <c r="E2633" s="20"/>
      <c r="F2633" s="20"/>
      <c r="AC2633" s="20"/>
      <c r="AG2633" s="29"/>
    </row>
    <row r="2634" spans="2:33">
      <c r="B2634" s="29"/>
      <c r="D2634" s="29"/>
      <c r="E2634" s="20"/>
      <c r="F2634" s="20"/>
      <c r="AC2634" s="20"/>
      <c r="AG2634" s="29"/>
    </row>
    <row r="2635" spans="2:33">
      <c r="B2635" s="29"/>
      <c r="D2635" s="29"/>
      <c r="E2635" s="20"/>
      <c r="F2635" s="20"/>
      <c r="AC2635" s="20"/>
      <c r="AG2635" s="29"/>
    </row>
    <row r="2636" spans="2:33">
      <c r="B2636" s="29"/>
      <c r="D2636" s="29"/>
      <c r="E2636" s="20"/>
      <c r="F2636" s="20"/>
      <c r="AC2636" s="20"/>
      <c r="AG2636" s="29"/>
    </row>
    <row r="2637" spans="2:33">
      <c r="B2637" s="29"/>
      <c r="D2637" s="29"/>
      <c r="E2637" s="20"/>
      <c r="F2637" s="20"/>
      <c r="AC2637" s="20"/>
      <c r="AG2637" s="29"/>
    </row>
    <row r="2638" spans="2:33">
      <c r="B2638" s="29"/>
      <c r="D2638" s="29"/>
      <c r="E2638" s="20"/>
      <c r="F2638" s="20"/>
      <c r="AC2638" s="20"/>
      <c r="AG2638" s="29"/>
    </row>
    <row r="2639" spans="2:33">
      <c r="B2639" s="29"/>
      <c r="D2639" s="29"/>
      <c r="E2639" s="20"/>
      <c r="F2639" s="20"/>
      <c r="AC2639" s="20"/>
      <c r="AG2639" s="29"/>
    </row>
    <row r="2640" spans="2:33">
      <c r="B2640" s="29"/>
      <c r="D2640" s="29"/>
      <c r="E2640" s="20"/>
      <c r="F2640" s="20"/>
      <c r="AC2640" s="20"/>
      <c r="AG2640" s="29"/>
    </row>
    <row r="2641" spans="2:33">
      <c r="B2641" s="29"/>
      <c r="D2641" s="29"/>
      <c r="E2641" s="20"/>
      <c r="F2641" s="20"/>
      <c r="AC2641" s="20"/>
      <c r="AG2641" s="29"/>
    </row>
    <row r="2642" spans="2:33">
      <c r="B2642" s="29"/>
      <c r="D2642" s="29"/>
      <c r="E2642" s="20"/>
      <c r="F2642" s="20"/>
      <c r="AC2642" s="20"/>
      <c r="AG2642" s="29"/>
    </row>
    <row r="2643" spans="2:33">
      <c r="B2643" s="29"/>
      <c r="D2643" s="29"/>
      <c r="E2643" s="20"/>
      <c r="F2643" s="20"/>
      <c r="AC2643" s="20"/>
      <c r="AG2643" s="29"/>
    </row>
    <row r="2644" spans="2:33">
      <c r="B2644" s="29"/>
      <c r="D2644" s="29"/>
      <c r="E2644" s="20"/>
      <c r="F2644" s="20"/>
      <c r="AC2644" s="20"/>
      <c r="AG2644" s="29"/>
    </row>
    <row r="2645" spans="2:33">
      <c r="B2645" s="29"/>
      <c r="D2645" s="29"/>
      <c r="E2645" s="20"/>
      <c r="F2645" s="20"/>
      <c r="AC2645" s="20"/>
      <c r="AG2645" s="29"/>
    </row>
    <row r="2646" spans="2:33">
      <c r="B2646" s="29"/>
      <c r="D2646" s="29"/>
      <c r="E2646" s="20"/>
      <c r="F2646" s="20"/>
      <c r="AC2646" s="20"/>
      <c r="AG2646" s="29"/>
    </row>
    <row r="2647" spans="2:33">
      <c r="B2647" s="29"/>
      <c r="D2647" s="29"/>
      <c r="E2647" s="20"/>
      <c r="F2647" s="20"/>
      <c r="AC2647" s="20"/>
      <c r="AG2647" s="29"/>
    </row>
    <row r="2648" spans="2:33">
      <c r="B2648" s="29"/>
      <c r="D2648" s="29"/>
      <c r="E2648" s="20"/>
      <c r="F2648" s="20"/>
      <c r="AC2648" s="20"/>
      <c r="AG2648" s="29"/>
    </row>
    <row r="2649" spans="2:33">
      <c r="B2649" s="29"/>
      <c r="D2649" s="29"/>
      <c r="E2649" s="20"/>
      <c r="F2649" s="20"/>
      <c r="AC2649" s="20"/>
      <c r="AG2649" s="29"/>
    </row>
    <row r="2650" spans="2:33">
      <c r="B2650" s="29"/>
      <c r="D2650" s="29"/>
      <c r="E2650" s="20"/>
      <c r="F2650" s="20"/>
      <c r="AC2650" s="20"/>
      <c r="AG2650" s="29"/>
    </row>
    <row r="2651" spans="2:33">
      <c r="B2651" s="29"/>
      <c r="D2651" s="29"/>
      <c r="E2651" s="20"/>
      <c r="F2651" s="20"/>
      <c r="AC2651" s="20"/>
      <c r="AG2651" s="29"/>
    </row>
    <row r="2652" spans="2:33">
      <c r="B2652" s="29"/>
      <c r="D2652" s="29"/>
      <c r="E2652" s="20"/>
      <c r="F2652" s="20"/>
      <c r="AC2652" s="20"/>
      <c r="AG2652" s="29"/>
    </row>
    <row r="2653" spans="2:33">
      <c r="B2653" s="29"/>
      <c r="D2653" s="29"/>
      <c r="E2653" s="20"/>
      <c r="F2653" s="20"/>
      <c r="AC2653" s="20"/>
      <c r="AG2653" s="29"/>
    </row>
    <row r="2654" spans="2:33">
      <c r="B2654" s="29"/>
      <c r="D2654" s="29"/>
      <c r="E2654" s="20"/>
      <c r="F2654" s="20"/>
      <c r="AC2654" s="20"/>
      <c r="AG2654" s="29"/>
    </row>
    <row r="2655" spans="2:33">
      <c r="B2655" s="29"/>
      <c r="D2655" s="29"/>
      <c r="E2655" s="20"/>
      <c r="F2655" s="20"/>
      <c r="AC2655" s="20"/>
      <c r="AG2655" s="29"/>
    </row>
    <row r="2656" spans="2:33">
      <c r="B2656" s="29"/>
      <c r="D2656" s="29"/>
      <c r="E2656" s="20"/>
      <c r="F2656" s="20"/>
      <c r="AC2656" s="20"/>
      <c r="AG2656" s="29"/>
    </row>
    <row r="2657" spans="2:33">
      <c r="B2657" s="29"/>
      <c r="D2657" s="29"/>
      <c r="E2657" s="20"/>
      <c r="F2657" s="20"/>
      <c r="AC2657" s="20"/>
      <c r="AG2657" s="29"/>
    </row>
    <row r="2658" spans="2:33">
      <c r="B2658" s="29"/>
      <c r="D2658" s="29"/>
      <c r="E2658" s="20"/>
      <c r="F2658" s="20"/>
      <c r="AC2658" s="20"/>
      <c r="AG2658" s="29"/>
    </row>
    <row r="2659" spans="2:33">
      <c r="B2659" s="29"/>
      <c r="D2659" s="29"/>
      <c r="E2659" s="20"/>
      <c r="F2659" s="20"/>
      <c r="AC2659" s="20"/>
      <c r="AG2659" s="29"/>
    </row>
    <row r="2660" spans="2:33">
      <c r="B2660" s="29"/>
      <c r="D2660" s="29"/>
      <c r="E2660" s="20"/>
      <c r="F2660" s="20"/>
      <c r="AC2660" s="20"/>
      <c r="AG2660" s="29"/>
    </row>
    <row r="2661" spans="2:33">
      <c r="B2661" s="29"/>
      <c r="D2661" s="29"/>
      <c r="E2661" s="20"/>
      <c r="F2661" s="20"/>
      <c r="AC2661" s="20"/>
      <c r="AG2661" s="29"/>
    </row>
    <row r="2662" spans="2:33">
      <c r="B2662" s="29"/>
      <c r="D2662" s="29"/>
      <c r="E2662" s="20"/>
      <c r="F2662" s="20"/>
      <c r="AC2662" s="20"/>
      <c r="AG2662" s="29"/>
    </row>
    <row r="2663" spans="2:33">
      <c r="B2663" s="29"/>
      <c r="D2663" s="29"/>
      <c r="E2663" s="20"/>
      <c r="F2663" s="20"/>
      <c r="AC2663" s="20"/>
      <c r="AG2663" s="29"/>
    </row>
    <row r="2664" spans="2:33">
      <c r="B2664" s="29"/>
      <c r="D2664" s="29"/>
      <c r="E2664" s="20"/>
      <c r="F2664" s="20"/>
      <c r="AC2664" s="20"/>
      <c r="AG2664" s="29"/>
    </row>
    <row r="2665" spans="2:33">
      <c r="B2665" s="29"/>
      <c r="D2665" s="29"/>
      <c r="E2665" s="20"/>
      <c r="F2665" s="20"/>
      <c r="AC2665" s="20"/>
      <c r="AG2665" s="29"/>
    </row>
    <row r="2666" spans="2:33">
      <c r="B2666" s="29"/>
      <c r="D2666" s="29"/>
      <c r="E2666" s="20"/>
      <c r="F2666" s="20"/>
      <c r="AC2666" s="20"/>
      <c r="AG2666" s="29"/>
    </row>
    <row r="2667" spans="2:33">
      <c r="B2667" s="29"/>
      <c r="D2667" s="29"/>
      <c r="E2667" s="20"/>
      <c r="F2667" s="20"/>
      <c r="AC2667" s="20"/>
      <c r="AG2667" s="29"/>
    </row>
    <row r="2668" spans="2:33">
      <c r="B2668" s="29"/>
      <c r="D2668" s="29"/>
      <c r="E2668" s="20"/>
      <c r="F2668" s="20"/>
      <c r="AC2668" s="20"/>
      <c r="AG2668" s="29"/>
    </row>
    <row r="2669" spans="2:33">
      <c r="B2669" s="29"/>
      <c r="D2669" s="29"/>
      <c r="E2669" s="20"/>
      <c r="F2669" s="20"/>
      <c r="AC2669" s="20"/>
      <c r="AG2669" s="29"/>
    </row>
    <row r="2670" spans="2:33">
      <c r="B2670" s="29"/>
      <c r="D2670" s="29"/>
      <c r="E2670" s="20"/>
      <c r="F2670" s="20"/>
      <c r="AC2670" s="20"/>
      <c r="AG2670" s="29"/>
    </row>
    <row r="2671" spans="2:33">
      <c r="B2671" s="29"/>
      <c r="D2671" s="29"/>
      <c r="E2671" s="20"/>
      <c r="F2671" s="20"/>
      <c r="AC2671" s="20"/>
      <c r="AG2671" s="29"/>
    </row>
    <row r="2672" spans="2:33">
      <c r="B2672" s="29"/>
      <c r="D2672" s="29"/>
      <c r="E2672" s="20"/>
      <c r="F2672" s="20"/>
      <c r="AC2672" s="20"/>
      <c r="AG2672" s="29"/>
    </row>
    <row r="2673" spans="2:33">
      <c r="B2673" s="29"/>
      <c r="D2673" s="29"/>
      <c r="E2673" s="20"/>
      <c r="F2673" s="20"/>
      <c r="AC2673" s="20"/>
      <c r="AG2673" s="29"/>
    </row>
    <row r="2674" spans="2:33">
      <c r="B2674" s="29"/>
      <c r="D2674" s="29"/>
      <c r="E2674" s="20"/>
      <c r="F2674" s="20"/>
      <c r="AC2674" s="20"/>
      <c r="AG2674" s="29"/>
    </row>
    <row r="2675" spans="2:33">
      <c r="B2675" s="29"/>
      <c r="D2675" s="29"/>
      <c r="E2675" s="20"/>
      <c r="F2675" s="20"/>
      <c r="AC2675" s="20"/>
      <c r="AG2675" s="29"/>
    </row>
    <row r="2676" spans="2:33">
      <c r="B2676" s="29"/>
      <c r="D2676" s="29"/>
      <c r="E2676" s="20"/>
      <c r="F2676" s="20"/>
      <c r="AC2676" s="20"/>
      <c r="AG2676" s="29"/>
    </row>
    <row r="2677" spans="2:33">
      <c r="B2677" s="29"/>
      <c r="D2677" s="29"/>
      <c r="E2677" s="20"/>
      <c r="F2677" s="20"/>
      <c r="AC2677" s="20"/>
      <c r="AG2677" s="29"/>
    </row>
    <row r="2678" spans="2:33">
      <c r="B2678" s="29"/>
      <c r="D2678" s="29"/>
      <c r="E2678" s="20"/>
      <c r="F2678" s="20"/>
      <c r="AC2678" s="20"/>
      <c r="AG2678" s="29"/>
    </row>
    <row r="2679" spans="2:33">
      <c r="B2679" s="29"/>
      <c r="D2679" s="29"/>
      <c r="E2679" s="20"/>
      <c r="F2679" s="20"/>
      <c r="AC2679" s="20"/>
      <c r="AG2679" s="29"/>
    </row>
    <row r="2680" spans="2:33">
      <c r="B2680" s="29"/>
      <c r="D2680" s="29"/>
      <c r="E2680" s="20"/>
      <c r="F2680" s="20"/>
      <c r="AC2680" s="20"/>
      <c r="AG2680" s="29"/>
    </row>
    <row r="2681" spans="2:33">
      <c r="B2681" s="29"/>
      <c r="D2681" s="29"/>
      <c r="E2681" s="20"/>
      <c r="F2681" s="20"/>
      <c r="AC2681" s="20"/>
      <c r="AG2681" s="29"/>
    </row>
    <row r="2682" spans="2:33">
      <c r="B2682" s="29"/>
      <c r="D2682" s="29"/>
      <c r="E2682" s="20"/>
      <c r="F2682" s="20"/>
      <c r="AC2682" s="20"/>
      <c r="AG2682" s="29"/>
    </row>
    <row r="2683" spans="2:33">
      <c r="B2683" s="29"/>
      <c r="D2683" s="29"/>
      <c r="E2683" s="20"/>
      <c r="F2683" s="20"/>
      <c r="AC2683" s="20"/>
      <c r="AG2683" s="29"/>
    </row>
    <row r="2684" spans="2:33">
      <c r="B2684" s="29"/>
      <c r="D2684" s="29"/>
      <c r="E2684" s="20"/>
      <c r="F2684" s="20"/>
      <c r="AC2684" s="20"/>
      <c r="AG2684" s="29"/>
    </row>
    <row r="2685" spans="2:33">
      <c r="B2685" s="29"/>
      <c r="D2685" s="29"/>
      <c r="E2685" s="20"/>
      <c r="F2685" s="20"/>
      <c r="AC2685" s="20"/>
      <c r="AG2685" s="29"/>
    </row>
    <row r="2686" spans="2:33">
      <c r="B2686" s="29"/>
      <c r="D2686" s="29"/>
      <c r="E2686" s="20"/>
      <c r="F2686" s="20"/>
      <c r="AC2686" s="20"/>
      <c r="AG2686" s="29"/>
    </row>
    <row r="2687" spans="2:33">
      <c r="B2687" s="29"/>
      <c r="D2687" s="29"/>
      <c r="E2687" s="20"/>
      <c r="F2687" s="20"/>
      <c r="AC2687" s="20"/>
      <c r="AG2687" s="29"/>
    </row>
    <row r="2688" spans="2:33">
      <c r="B2688" s="29"/>
      <c r="D2688" s="29"/>
      <c r="E2688" s="20"/>
      <c r="F2688" s="20"/>
      <c r="AC2688" s="20"/>
      <c r="AG2688" s="29"/>
    </row>
    <row r="2689" spans="2:33">
      <c r="B2689" s="29"/>
      <c r="D2689" s="29"/>
      <c r="E2689" s="20"/>
      <c r="F2689" s="20"/>
      <c r="AC2689" s="20"/>
      <c r="AG2689" s="29"/>
    </row>
    <row r="2690" spans="2:33">
      <c r="B2690" s="29"/>
      <c r="D2690" s="29"/>
      <c r="E2690" s="20"/>
      <c r="F2690" s="20"/>
      <c r="AC2690" s="20"/>
      <c r="AG2690" s="29"/>
    </row>
    <row r="2691" spans="2:33">
      <c r="B2691" s="29"/>
      <c r="D2691" s="29"/>
      <c r="E2691" s="20"/>
      <c r="F2691" s="20"/>
      <c r="AC2691" s="20"/>
      <c r="AG2691" s="29"/>
    </row>
    <row r="2692" spans="2:33">
      <c r="B2692" s="29"/>
      <c r="D2692" s="29"/>
      <c r="E2692" s="20"/>
      <c r="F2692" s="20"/>
      <c r="AC2692" s="20"/>
      <c r="AG2692" s="29"/>
    </row>
    <row r="2693" spans="2:33">
      <c r="B2693" s="29"/>
      <c r="D2693" s="29"/>
      <c r="E2693" s="20"/>
      <c r="F2693" s="20"/>
      <c r="AC2693" s="20"/>
      <c r="AG2693" s="29"/>
    </row>
    <row r="2694" spans="2:33">
      <c r="B2694" s="29"/>
      <c r="D2694" s="29"/>
      <c r="E2694" s="20"/>
      <c r="F2694" s="20"/>
      <c r="AC2694" s="20"/>
      <c r="AG2694" s="29"/>
    </row>
    <row r="2695" spans="2:33">
      <c r="B2695" s="29"/>
      <c r="D2695" s="29"/>
      <c r="E2695" s="20"/>
      <c r="F2695" s="20"/>
      <c r="AC2695" s="20"/>
      <c r="AG2695" s="29"/>
    </row>
    <row r="2696" spans="2:33">
      <c r="B2696" s="29"/>
      <c r="D2696" s="29"/>
      <c r="E2696" s="20"/>
      <c r="F2696" s="20"/>
      <c r="AC2696" s="20"/>
      <c r="AG2696" s="29"/>
    </row>
    <row r="2697" spans="2:33">
      <c r="B2697" s="29"/>
      <c r="D2697" s="29"/>
      <c r="E2697" s="20"/>
      <c r="F2697" s="20"/>
      <c r="AC2697" s="20"/>
      <c r="AG2697" s="29"/>
    </row>
    <row r="2698" spans="2:33">
      <c r="B2698" s="29"/>
      <c r="D2698" s="29"/>
      <c r="E2698" s="20"/>
      <c r="F2698" s="20"/>
      <c r="AC2698" s="20"/>
      <c r="AG2698" s="29"/>
    </row>
    <row r="2699" spans="2:33">
      <c r="B2699" s="29"/>
      <c r="D2699" s="29"/>
      <c r="E2699" s="20"/>
      <c r="F2699" s="20"/>
      <c r="AC2699" s="20"/>
      <c r="AG2699" s="29"/>
    </row>
    <row r="2700" spans="2:33">
      <c r="B2700" s="29"/>
      <c r="D2700" s="29"/>
      <c r="E2700" s="20"/>
      <c r="F2700" s="20"/>
      <c r="AC2700" s="20"/>
      <c r="AG2700" s="29"/>
    </row>
    <row r="2701" spans="2:33">
      <c r="B2701" s="29"/>
      <c r="D2701" s="29"/>
      <c r="E2701" s="20"/>
      <c r="F2701" s="20"/>
      <c r="AC2701" s="20"/>
      <c r="AG2701" s="29"/>
    </row>
    <row r="2702" spans="2:33">
      <c r="B2702" s="29"/>
      <c r="D2702" s="29"/>
      <c r="E2702" s="20"/>
      <c r="F2702" s="20"/>
      <c r="AC2702" s="20"/>
      <c r="AG2702" s="29"/>
    </row>
    <row r="2703" spans="2:33">
      <c r="B2703" s="29"/>
      <c r="D2703" s="29"/>
      <c r="E2703" s="20"/>
      <c r="F2703" s="20"/>
      <c r="AC2703" s="20"/>
      <c r="AG2703" s="29"/>
    </row>
    <row r="2704" spans="2:33">
      <c r="B2704" s="29"/>
      <c r="D2704" s="29"/>
      <c r="E2704" s="20"/>
      <c r="F2704" s="20"/>
      <c r="AC2704" s="20"/>
      <c r="AG2704" s="29"/>
    </row>
    <row r="2705" spans="2:33">
      <c r="B2705" s="29"/>
      <c r="D2705" s="29"/>
      <c r="E2705" s="20"/>
      <c r="F2705" s="20"/>
      <c r="AC2705" s="20"/>
      <c r="AG2705" s="29"/>
    </row>
    <row r="2706" spans="2:33">
      <c r="B2706" s="29"/>
      <c r="D2706" s="29"/>
      <c r="E2706" s="20"/>
      <c r="F2706" s="20"/>
      <c r="AC2706" s="20"/>
      <c r="AG2706" s="29"/>
    </row>
    <row r="2707" spans="2:33">
      <c r="B2707" s="29"/>
      <c r="D2707" s="29"/>
      <c r="E2707" s="20"/>
      <c r="F2707" s="20"/>
      <c r="AC2707" s="20"/>
      <c r="AG2707" s="29"/>
    </row>
    <row r="2708" spans="2:33">
      <c r="B2708" s="29"/>
      <c r="D2708" s="29"/>
      <c r="E2708" s="20"/>
      <c r="F2708" s="20"/>
      <c r="AC2708" s="20"/>
      <c r="AG2708" s="29"/>
    </row>
    <row r="2709" spans="2:33">
      <c r="B2709" s="29"/>
      <c r="D2709" s="29"/>
      <c r="E2709" s="20"/>
      <c r="F2709" s="20"/>
      <c r="AC2709" s="20"/>
      <c r="AG2709" s="29"/>
    </row>
    <row r="2710" spans="2:33">
      <c r="B2710" s="29"/>
      <c r="D2710" s="29"/>
      <c r="E2710" s="20"/>
      <c r="F2710" s="20"/>
      <c r="AC2710" s="20"/>
      <c r="AG2710" s="29"/>
    </row>
    <row r="2711" spans="2:33">
      <c r="B2711" s="29"/>
      <c r="D2711" s="29"/>
      <c r="E2711" s="20"/>
      <c r="F2711" s="20"/>
      <c r="AC2711" s="20"/>
      <c r="AG2711" s="29"/>
    </row>
    <row r="2712" spans="2:33">
      <c r="B2712" s="29"/>
      <c r="D2712" s="29"/>
      <c r="E2712" s="20"/>
      <c r="F2712" s="20"/>
      <c r="AC2712" s="20"/>
      <c r="AG2712" s="29"/>
    </row>
    <row r="2713" spans="2:33">
      <c r="B2713" s="29"/>
      <c r="D2713" s="29"/>
      <c r="E2713" s="20"/>
      <c r="F2713" s="20"/>
      <c r="AC2713" s="20"/>
      <c r="AG2713" s="29"/>
    </row>
    <row r="2714" spans="2:33">
      <c r="B2714" s="29"/>
      <c r="D2714" s="29"/>
      <c r="E2714" s="20"/>
      <c r="F2714" s="20"/>
      <c r="AC2714" s="20"/>
      <c r="AG2714" s="29"/>
    </row>
    <row r="2715" spans="2:33">
      <c r="B2715" s="29"/>
      <c r="D2715" s="29"/>
      <c r="E2715" s="20"/>
      <c r="F2715" s="20"/>
      <c r="AC2715" s="20"/>
      <c r="AG2715" s="29"/>
    </row>
    <row r="2716" spans="2:33">
      <c r="B2716" s="29"/>
      <c r="D2716" s="29"/>
      <c r="E2716" s="20"/>
      <c r="F2716" s="20"/>
      <c r="AC2716" s="20"/>
      <c r="AG2716" s="29"/>
    </row>
    <row r="2717" spans="2:33">
      <c r="B2717" s="29"/>
      <c r="D2717" s="29"/>
      <c r="E2717" s="20"/>
      <c r="F2717" s="20"/>
      <c r="AC2717" s="20"/>
      <c r="AG2717" s="29"/>
    </row>
    <row r="2718" spans="2:33">
      <c r="B2718" s="29"/>
      <c r="D2718" s="29"/>
      <c r="E2718" s="20"/>
      <c r="F2718" s="20"/>
      <c r="AC2718" s="20"/>
      <c r="AG2718" s="29"/>
    </row>
    <row r="2719" spans="2:33">
      <c r="B2719" s="29"/>
      <c r="D2719" s="29"/>
      <c r="E2719" s="20"/>
      <c r="F2719" s="20"/>
      <c r="AC2719" s="20"/>
      <c r="AG2719" s="29"/>
    </row>
    <row r="2720" spans="2:33">
      <c r="B2720" s="29"/>
      <c r="D2720" s="29"/>
      <c r="E2720" s="20"/>
      <c r="F2720" s="20"/>
      <c r="AC2720" s="20"/>
      <c r="AG2720" s="29"/>
    </row>
    <row r="2721" spans="2:33">
      <c r="B2721" s="29"/>
      <c r="D2721" s="29"/>
      <c r="E2721" s="20"/>
      <c r="F2721" s="20"/>
      <c r="AC2721" s="20"/>
      <c r="AG2721" s="29"/>
    </row>
    <row r="2722" spans="2:33">
      <c r="B2722" s="29"/>
      <c r="D2722" s="29"/>
      <c r="E2722" s="20"/>
      <c r="F2722" s="20"/>
      <c r="AC2722" s="20"/>
      <c r="AG2722" s="29"/>
    </row>
    <row r="2723" spans="2:33">
      <c r="B2723" s="29"/>
      <c r="D2723" s="29"/>
      <c r="E2723" s="20"/>
      <c r="F2723" s="20"/>
      <c r="AC2723" s="20"/>
      <c r="AG2723" s="29"/>
    </row>
    <row r="2724" spans="2:33">
      <c r="B2724" s="29"/>
      <c r="D2724" s="29"/>
      <c r="E2724" s="20"/>
      <c r="F2724" s="20"/>
      <c r="AC2724" s="20"/>
      <c r="AG2724" s="29"/>
    </row>
    <row r="2725" spans="2:33">
      <c r="B2725" s="29"/>
      <c r="D2725" s="29"/>
      <c r="E2725" s="20"/>
      <c r="F2725" s="20"/>
      <c r="AC2725" s="20"/>
      <c r="AG2725" s="29"/>
    </row>
    <row r="2726" spans="2:33">
      <c r="B2726" s="29"/>
      <c r="D2726" s="29"/>
      <c r="E2726" s="20"/>
      <c r="F2726" s="20"/>
      <c r="AC2726" s="20"/>
      <c r="AG2726" s="29"/>
    </row>
    <row r="2727" spans="2:33">
      <c r="B2727" s="29"/>
      <c r="D2727" s="29"/>
      <c r="E2727" s="20"/>
      <c r="F2727" s="20"/>
      <c r="AC2727" s="20"/>
      <c r="AG2727" s="29"/>
    </row>
    <row r="2728" spans="2:33">
      <c r="B2728" s="29"/>
      <c r="D2728" s="29"/>
      <c r="E2728" s="20"/>
      <c r="F2728" s="20"/>
      <c r="AC2728" s="20"/>
      <c r="AG2728" s="29"/>
    </row>
    <row r="2729" spans="2:33">
      <c r="B2729" s="29"/>
      <c r="D2729" s="29"/>
      <c r="E2729" s="20"/>
      <c r="F2729" s="20"/>
      <c r="AC2729" s="20"/>
      <c r="AG2729" s="29"/>
    </row>
    <row r="2730" spans="2:33">
      <c r="B2730" s="29"/>
      <c r="D2730" s="29"/>
      <c r="E2730" s="20"/>
      <c r="F2730" s="20"/>
      <c r="AC2730" s="20"/>
      <c r="AG2730" s="29"/>
    </row>
    <row r="2731" spans="2:33">
      <c r="B2731" s="29"/>
      <c r="D2731" s="29"/>
      <c r="E2731" s="20"/>
      <c r="F2731" s="20"/>
      <c r="AC2731" s="20"/>
      <c r="AG2731" s="29"/>
    </row>
    <row r="2732" spans="2:33">
      <c r="B2732" s="29"/>
      <c r="D2732" s="29"/>
      <c r="E2732" s="20"/>
      <c r="F2732" s="20"/>
      <c r="AC2732" s="20"/>
      <c r="AG2732" s="29"/>
    </row>
    <row r="2733" spans="2:33">
      <c r="B2733" s="29"/>
      <c r="D2733" s="29"/>
      <c r="E2733" s="20"/>
      <c r="F2733" s="20"/>
      <c r="AC2733" s="20"/>
      <c r="AG2733" s="29"/>
    </row>
    <row r="2734" spans="2:33">
      <c r="B2734" s="29"/>
      <c r="D2734" s="29"/>
      <c r="E2734" s="20"/>
      <c r="F2734" s="20"/>
      <c r="AC2734" s="20"/>
      <c r="AG2734" s="29"/>
    </row>
    <row r="2735" spans="2:33">
      <c r="B2735" s="29"/>
      <c r="D2735" s="29"/>
      <c r="E2735" s="20"/>
      <c r="F2735" s="20"/>
      <c r="AC2735" s="20"/>
      <c r="AG2735" s="29"/>
    </row>
    <row r="2736" spans="2:33">
      <c r="B2736" s="29"/>
      <c r="D2736" s="29"/>
      <c r="E2736" s="20"/>
      <c r="F2736" s="20"/>
      <c r="AC2736" s="20"/>
      <c r="AG2736" s="29"/>
    </row>
    <row r="2737" spans="2:33">
      <c r="B2737" s="29"/>
      <c r="D2737" s="29"/>
      <c r="E2737" s="20"/>
      <c r="F2737" s="20"/>
      <c r="AC2737" s="20"/>
      <c r="AG2737" s="29"/>
    </row>
    <row r="2738" spans="2:33">
      <c r="B2738" s="29"/>
      <c r="D2738" s="29"/>
      <c r="E2738" s="20"/>
      <c r="F2738" s="20"/>
      <c r="AC2738" s="20"/>
      <c r="AG2738" s="29"/>
    </row>
    <row r="2739" spans="2:33">
      <c r="B2739" s="29"/>
      <c r="D2739" s="29"/>
      <c r="E2739" s="20"/>
      <c r="F2739" s="20"/>
      <c r="AC2739" s="20"/>
      <c r="AG2739" s="29"/>
    </row>
    <row r="2740" spans="2:33">
      <c r="B2740" s="29"/>
      <c r="D2740" s="29"/>
      <c r="E2740" s="20"/>
      <c r="F2740" s="20"/>
      <c r="AC2740" s="20"/>
      <c r="AG2740" s="29"/>
    </row>
    <row r="2741" spans="2:33">
      <c r="B2741" s="29"/>
      <c r="D2741" s="29"/>
      <c r="E2741" s="20"/>
      <c r="F2741" s="20"/>
      <c r="AC2741" s="20"/>
      <c r="AG2741" s="29"/>
    </row>
    <row r="2742" spans="2:33">
      <c r="B2742" s="29"/>
      <c r="D2742" s="29"/>
      <c r="E2742" s="20"/>
      <c r="F2742" s="20"/>
      <c r="AC2742" s="20"/>
      <c r="AG2742" s="29"/>
    </row>
    <row r="2743" spans="2:33">
      <c r="B2743" s="29"/>
      <c r="D2743" s="29"/>
      <c r="E2743" s="20"/>
      <c r="F2743" s="20"/>
      <c r="AC2743" s="20"/>
      <c r="AG2743" s="29"/>
    </row>
    <row r="2744" spans="2:33">
      <c r="B2744" s="29"/>
      <c r="D2744" s="29"/>
      <c r="E2744" s="20"/>
      <c r="F2744" s="20"/>
      <c r="AC2744" s="20"/>
      <c r="AG2744" s="29"/>
    </row>
    <row r="2745" spans="2:33">
      <c r="B2745" s="29"/>
      <c r="D2745" s="29"/>
      <c r="E2745" s="20"/>
      <c r="F2745" s="20"/>
      <c r="AC2745" s="20"/>
      <c r="AG2745" s="29"/>
    </row>
    <row r="2746" spans="2:33">
      <c r="B2746" s="29"/>
      <c r="D2746" s="29"/>
      <c r="E2746" s="20"/>
      <c r="F2746" s="20"/>
      <c r="AC2746" s="20"/>
      <c r="AG2746" s="29"/>
    </row>
    <row r="2747" spans="2:33">
      <c r="B2747" s="29"/>
      <c r="D2747" s="29"/>
      <c r="E2747" s="20"/>
      <c r="F2747" s="20"/>
      <c r="AC2747" s="20"/>
      <c r="AG2747" s="29"/>
    </row>
    <row r="2748" spans="2:33">
      <c r="B2748" s="29"/>
      <c r="D2748" s="29"/>
      <c r="E2748" s="20"/>
      <c r="F2748" s="20"/>
      <c r="AC2748" s="20"/>
      <c r="AG2748" s="29"/>
    </row>
    <row r="2749" spans="2:33">
      <c r="B2749" s="29"/>
      <c r="D2749" s="29"/>
      <c r="E2749" s="20"/>
      <c r="F2749" s="20"/>
      <c r="AC2749" s="20"/>
      <c r="AG2749" s="29"/>
    </row>
    <row r="2750" spans="2:33">
      <c r="B2750" s="29"/>
      <c r="D2750" s="29"/>
      <c r="E2750" s="20"/>
      <c r="F2750" s="20"/>
      <c r="AC2750" s="20"/>
      <c r="AG2750" s="29"/>
    </row>
    <row r="2751" spans="2:33">
      <c r="B2751" s="29"/>
      <c r="D2751" s="29"/>
      <c r="E2751" s="20"/>
      <c r="F2751" s="20"/>
      <c r="AC2751" s="20"/>
      <c r="AG2751" s="29"/>
    </row>
    <row r="2752" spans="2:33">
      <c r="B2752" s="29"/>
      <c r="D2752" s="29"/>
      <c r="E2752" s="20"/>
      <c r="F2752" s="20"/>
      <c r="AC2752" s="20"/>
      <c r="AG2752" s="29"/>
    </row>
    <row r="2753" spans="2:33">
      <c r="B2753" s="29"/>
      <c r="D2753" s="29"/>
      <c r="E2753" s="20"/>
      <c r="F2753" s="20"/>
      <c r="AC2753" s="20"/>
      <c r="AG2753" s="29"/>
    </row>
    <row r="2754" spans="2:33">
      <c r="B2754" s="29"/>
      <c r="D2754" s="29"/>
      <c r="E2754" s="20"/>
      <c r="F2754" s="20"/>
      <c r="AC2754" s="20"/>
      <c r="AG2754" s="29"/>
    </row>
    <row r="2755" spans="2:33">
      <c r="B2755" s="29"/>
      <c r="D2755" s="29"/>
      <c r="E2755" s="20"/>
      <c r="F2755" s="20"/>
      <c r="AC2755" s="20"/>
      <c r="AG2755" s="29"/>
    </row>
    <row r="2756" spans="2:33">
      <c r="B2756" s="29"/>
      <c r="D2756" s="29"/>
      <c r="E2756" s="20"/>
      <c r="F2756" s="20"/>
      <c r="AC2756" s="20"/>
      <c r="AG2756" s="29"/>
    </row>
    <row r="2757" spans="2:33">
      <c r="B2757" s="29"/>
      <c r="D2757" s="29"/>
      <c r="E2757" s="20"/>
      <c r="F2757" s="20"/>
      <c r="AC2757" s="20"/>
      <c r="AG2757" s="29"/>
    </row>
    <row r="2758" spans="2:33">
      <c r="B2758" s="29"/>
      <c r="D2758" s="29"/>
      <c r="E2758" s="20"/>
      <c r="F2758" s="20"/>
      <c r="AC2758" s="20"/>
      <c r="AG2758" s="29"/>
    </row>
    <row r="2759" spans="2:33">
      <c r="B2759" s="29"/>
      <c r="D2759" s="29"/>
      <c r="E2759" s="20"/>
      <c r="F2759" s="20"/>
      <c r="AC2759" s="20"/>
      <c r="AG2759" s="29"/>
    </row>
    <row r="2760" spans="2:33">
      <c r="B2760" s="29"/>
      <c r="D2760" s="29"/>
      <c r="E2760" s="20"/>
      <c r="F2760" s="20"/>
      <c r="AC2760" s="20"/>
      <c r="AG2760" s="29"/>
    </row>
    <row r="2761" spans="2:33">
      <c r="B2761" s="29"/>
      <c r="D2761" s="29"/>
      <c r="E2761" s="20"/>
      <c r="F2761" s="20"/>
      <c r="AC2761" s="20"/>
      <c r="AG2761" s="29"/>
    </row>
    <row r="2762" spans="2:33">
      <c r="B2762" s="29"/>
      <c r="D2762" s="29"/>
      <c r="E2762" s="20"/>
      <c r="F2762" s="20"/>
      <c r="AC2762" s="20"/>
      <c r="AG2762" s="29"/>
    </row>
    <row r="2763" spans="2:33">
      <c r="B2763" s="29"/>
      <c r="D2763" s="29"/>
      <c r="E2763" s="20"/>
      <c r="F2763" s="20"/>
      <c r="AC2763" s="20"/>
      <c r="AG2763" s="29"/>
    </row>
    <row r="2764" spans="2:33">
      <c r="B2764" s="29"/>
      <c r="D2764" s="29"/>
      <c r="E2764" s="20"/>
      <c r="F2764" s="20"/>
      <c r="AC2764" s="20"/>
      <c r="AG2764" s="29"/>
    </row>
    <row r="2765" spans="2:33">
      <c r="B2765" s="29"/>
      <c r="D2765" s="29"/>
      <c r="E2765" s="20"/>
      <c r="F2765" s="20"/>
      <c r="AC2765" s="20"/>
      <c r="AG2765" s="29"/>
    </row>
    <row r="2766" spans="2:33">
      <c r="B2766" s="29"/>
      <c r="D2766" s="29"/>
      <c r="E2766" s="20"/>
      <c r="F2766" s="20"/>
      <c r="AC2766" s="20"/>
      <c r="AG2766" s="29"/>
    </row>
    <row r="2767" spans="2:33">
      <c r="B2767" s="29"/>
      <c r="D2767" s="29"/>
      <c r="E2767" s="20"/>
      <c r="F2767" s="20"/>
      <c r="AC2767" s="20"/>
      <c r="AG2767" s="29"/>
    </row>
    <row r="2768" spans="2:33">
      <c r="B2768" s="29"/>
      <c r="D2768" s="29"/>
      <c r="E2768" s="20"/>
      <c r="F2768" s="20"/>
      <c r="AC2768" s="20"/>
      <c r="AG2768" s="29"/>
    </row>
    <row r="2769" spans="2:33">
      <c r="B2769" s="29"/>
      <c r="D2769" s="29"/>
      <c r="E2769" s="20"/>
      <c r="F2769" s="20"/>
      <c r="AC2769" s="20"/>
      <c r="AG2769" s="29"/>
    </row>
    <row r="2770" spans="2:33">
      <c r="B2770" s="29"/>
      <c r="D2770" s="29"/>
      <c r="E2770" s="20"/>
      <c r="F2770" s="20"/>
      <c r="AC2770" s="20"/>
      <c r="AG2770" s="29"/>
    </row>
    <row r="2771" spans="2:33">
      <c r="B2771" s="29"/>
      <c r="D2771" s="29"/>
      <c r="E2771" s="20"/>
      <c r="F2771" s="20"/>
      <c r="AC2771" s="20"/>
      <c r="AG2771" s="29"/>
    </row>
    <row r="2772" spans="2:33">
      <c r="B2772" s="29"/>
      <c r="D2772" s="29"/>
      <c r="E2772" s="20"/>
      <c r="F2772" s="20"/>
      <c r="AC2772" s="20"/>
      <c r="AG2772" s="29"/>
    </row>
    <row r="2773" spans="2:33">
      <c r="B2773" s="29"/>
      <c r="D2773" s="29"/>
      <c r="E2773" s="20"/>
      <c r="F2773" s="20"/>
      <c r="AC2773" s="20"/>
      <c r="AG2773" s="29"/>
    </row>
    <row r="2774" spans="2:33">
      <c r="B2774" s="29"/>
      <c r="D2774" s="29"/>
      <c r="E2774" s="20"/>
      <c r="F2774" s="20"/>
      <c r="AC2774" s="20"/>
      <c r="AG2774" s="29"/>
    </row>
    <row r="2775" spans="2:33">
      <c r="B2775" s="29"/>
      <c r="D2775" s="29"/>
      <c r="E2775" s="20"/>
      <c r="F2775" s="20"/>
      <c r="AC2775" s="20"/>
      <c r="AG2775" s="29"/>
    </row>
    <row r="2776" spans="2:33">
      <c r="B2776" s="29"/>
      <c r="D2776" s="29"/>
      <c r="E2776" s="20"/>
      <c r="F2776" s="20"/>
      <c r="AC2776" s="20"/>
      <c r="AG2776" s="29"/>
    </row>
    <row r="2777" spans="2:33">
      <c r="B2777" s="29"/>
      <c r="D2777" s="29"/>
      <c r="E2777" s="20"/>
      <c r="F2777" s="20"/>
      <c r="AC2777" s="20"/>
      <c r="AG2777" s="29"/>
    </row>
    <row r="2778" spans="2:33">
      <c r="B2778" s="29"/>
      <c r="D2778" s="29"/>
      <c r="E2778" s="20"/>
      <c r="F2778" s="20"/>
      <c r="AC2778" s="20"/>
      <c r="AG2778" s="29"/>
    </row>
    <row r="2779" spans="2:33">
      <c r="B2779" s="29"/>
      <c r="D2779" s="29"/>
      <c r="E2779" s="20"/>
      <c r="F2779" s="20"/>
      <c r="AC2779" s="20"/>
      <c r="AG2779" s="29"/>
    </row>
    <row r="2780" spans="2:33">
      <c r="B2780" s="29"/>
      <c r="D2780" s="29"/>
      <c r="E2780" s="20"/>
      <c r="F2780" s="20"/>
      <c r="AC2780" s="20"/>
      <c r="AG2780" s="29"/>
    </row>
    <row r="2781" spans="2:33">
      <c r="B2781" s="29"/>
      <c r="D2781" s="29"/>
      <c r="E2781" s="20"/>
      <c r="F2781" s="20"/>
      <c r="AC2781" s="20"/>
      <c r="AG2781" s="29"/>
    </row>
    <row r="2782" spans="2:33">
      <c r="B2782" s="29"/>
      <c r="D2782" s="29"/>
      <c r="E2782" s="20"/>
      <c r="F2782" s="20"/>
      <c r="AC2782" s="20"/>
      <c r="AG2782" s="29"/>
    </row>
    <row r="2783" spans="2:33">
      <c r="B2783" s="29"/>
      <c r="D2783" s="29"/>
      <c r="E2783" s="20"/>
      <c r="F2783" s="20"/>
      <c r="AC2783" s="20"/>
      <c r="AG2783" s="29"/>
    </row>
    <row r="2784" spans="2:33">
      <c r="B2784" s="29"/>
      <c r="D2784" s="29"/>
      <c r="E2784" s="20"/>
      <c r="F2784" s="20"/>
      <c r="AC2784" s="20"/>
      <c r="AG2784" s="29"/>
    </row>
    <row r="2785" spans="2:33">
      <c r="B2785" s="29"/>
      <c r="D2785" s="29"/>
      <c r="E2785" s="20"/>
      <c r="F2785" s="20"/>
      <c r="AC2785" s="20"/>
      <c r="AG2785" s="29"/>
    </row>
    <row r="2786" spans="2:33">
      <c r="B2786" s="29"/>
      <c r="D2786" s="29"/>
      <c r="E2786" s="20"/>
      <c r="F2786" s="20"/>
      <c r="AC2786" s="20"/>
      <c r="AG2786" s="29"/>
    </row>
    <row r="2787" spans="2:33">
      <c r="B2787" s="29"/>
      <c r="D2787" s="29"/>
      <c r="E2787" s="20"/>
      <c r="F2787" s="20"/>
      <c r="AC2787" s="20"/>
      <c r="AG2787" s="29"/>
    </row>
    <row r="2788" spans="2:33">
      <c r="B2788" s="29"/>
      <c r="D2788" s="29"/>
      <c r="E2788" s="20"/>
      <c r="F2788" s="20"/>
      <c r="AC2788" s="20"/>
      <c r="AG2788" s="29"/>
    </row>
    <row r="2789" spans="2:33">
      <c r="B2789" s="29"/>
      <c r="D2789" s="29"/>
      <c r="E2789" s="20"/>
      <c r="F2789" s="20"/>
      <c r="AC2789" s="20"/>
      <c r="AG2789" s="29"/>
    </row>
    <row r="2790" spans="2:33">
      <c r="B2790" s="29"/>
      <c r="D2790" s="29"/>
      <c r="E2790" s="20"/>
      <c r="F2790" s="20"/>
      <c r="AC2790" s="20"/>
      <c r="AG2790" s="29"/>
    </row>
    <row r="2791" spans="2:33">
      <c r="B2791" s="29"/>
      <c r="D2791" s="29"/>
      <c r="E2791" s="20"/>
      <c r="F2791" s="20"/>
      <c r="AC2791" s="20"/>
      <c r="AG2791" s="29"/>
    </row>
    <row r="2792" spans="2:33">
      <c r="B2792" s="29"/>
      <c r="D2792" s="29"/>
      <c r="E2792" s="20"/>
      <c r="F2792" s="20"/>
      <c r="AC2792" s="20"/>
      <c r="AG2792" s="29"/>
    </row>
    <row r="2793" spans="2:33">
      <c r="B2793" s="29"/>
      <c r="D2793" s="29"/>
      <c r="E2793" s="20"/>
      <c r="F2793" s="20"/>
      <c r="AC2793" s="20"/>
      <c r="AG2793" s="29"/>
    </row>
    <row r="2794" spans="2:33">
      <c r="B2794" s="29"/>
      <c r="D2794" s="29"/>
      <c r="E2794" s="20"/>
      <c r="F2794" s="20"/>
      <c r="AC2794" s="20"/>
      <c r="AG2794" s="29"/>
    </row>
    <row r="2795" spans="2:33">
      <c r="B2795" s="29"/>
      <c r="D2795" s="29"/>
      <c r="E2795" s="20"/>
      <c r="F2795" s="20"/>
      <c r="AC2795" s="20"/>
      <c r="AG2795" s="29"/>
    </row>
    <row r="2796" spans="2:33">
      <c r="B2796" s="29"/>
      <c r="D2796" s="29"/>
      <c r="E2796" s="20"/>
      <c r="F2796" s="20"/>
      <c r="AC2796" s="20"/>
      <c r="AG2796" s="29"/>
    </row>
    <row r="2797" spans="2:33">
      <c r="B2797" s="29"/>
      <c r="D2797" s="29"/>
      <c r="E2797" s="20"/>
      <c r="F2797" s="20"/>
      <c r="AC2797" s="20"/>
      <c r="AG2797" s="29"/>
    </row>
    <row r="2798" spans="2:33">
      <c r="B2798" s="29"/>
      <c r="D2798" s="29"/>
      <c r="E2798" s="20"/>
      <c r="F2798" s="20"/>
      <c r="AC2798" s="20"/>
      <c r="AG2798" s="29"/>
    </row>
    <row r="2799" spans="2:33">
      <c r="B2799" s="29"/>
      <c r="D2799" s="29"/>
      <c r="E2799" s="20"/>
      <c r="F2799" s="20"/>
      <c r="AC2799" s="20"/>
      <c r="AG2799" s="29"/>
    </row>
    <row r="2800" spans="2:33">
      <c r="B2800" s="29"/>
      <c r="D2800" s="29"/>
      <c r="E2800" s="20"/>
      <c r="F2800" s="20"/>
      <c r="AC2800" s="20"/>
      <c r="AG2800" s="29"/>
    </row>
    <row r="2801" spans="2:33">
      <c r="B2801" s="29"/>
      <c r="D2801" s="29"/>
      <c r="E2801" s="20"/>
      <c r="F2801" s="20"/>
      <c r="AC2801" s="20"/>
      <c r="AG2801" s="29"/>
    </row>
    <row r="2802" spans="2:33">
      <c r="B2802" s="29"/>
      <c r="D2802" s="29"/>
      <c r="E2802" s="20"/>
      <c r="F2802" s="20"/>
      <c r="AC2802" s="20"/>
      <c r="AG2802" s="29"/>
    </row>
    <row r="2803" spans="2:33">
      <c r="B2803" s="29"/>
      <c r="D2803" s="29"/>
      <c r="E2803" s="20"/>
      <c r="F2803" s="20"/>
      <c r="AC2803" s="20"/>
      <c r="AG2803" s="29"/>
    </row>
    <row r="2804" spans="2:33">
      <c r="B2804" s="29"/>
      <c r="D2804" s="29"/>
      <c r="E2804" s="20"/>
      <c r="F2804" s="20"/>
      <c r="AC2804" s="20"/>
      <c r="AG2804" s="29"/>
    </row>
    <row r="2805" spans="2:33">
      <c r="B2805" s="29"/>
      <c r="D2805" s="29"/>
      <c r="E2805" s="20"/>
      <c r="F2805" s="20"/>
      <c r="AC2805" s="20"/>
      <c r="AG2805" s="29"/>
    </row>
    <row r="2806" spans="2:33">
      <c r="B2806" s="29"/>
      <c r="D2806" s="29"/>
      <c r="E2806" s="20"/>
      <c r="F2806" s="20"/>
      <c r="AC2806" s="20"/>
      <c r="AG2806" s="29"/>
    </row>
    <row r="2807" spans="2:33">
      <c r="B2807" s="29"/>
      <c r="D2807" s="29"/>
      <c r="E2807" s="20"/>
      <c r="F2807" s="20"/>
      <c r="AC2807" s="20"/>
      <c r="AG2807" s="29"/>
    </row>
    <row r="2808" spans="2:33">
      <c r="B2808" s="29"/>
      <c r="D2808" s="29"/>
      <c r="E2808" s="20"/>
      <c r="F2808" s="20"/>
      <c r="AC2808" s="20"/>
      <c r="AG2808" s="29"/>
    </row>
    <row r="2809" spans="2:33">
      <c r="B2809" s="29"/>
      <c r="D2809" s="29"/>
      <c r="E2809" s="20"/>
      <c r="F2809" s="20"/>
      <c r="AC2809" s="20"/>
      <c r="AG2809" s="29"/>
    </row>
    <row r="2810" spans="2:33">
      <c r="B2810" s="29"/>
      <c r="D2810" s="29"/>
      <c r="E2810" s="20"/>
      <c r="F2810" s="20"/>
      <c r="AC2810" s="20"/>
      <c r="AG2810" s="29"/>
    </row>
    <row r="2811" spans="2:33">
      <c r="B2811" s="29"/>
      <c r="D2811" s="29"/>
      <c r="E2811" s="20"/>
      <c r="F2811" s="20"/>
      <c r="AC2811" s="20"/>
      <c r="AG2811" s="29"/>
    </row>
    <row r="2812" spans="2:33">
      <c r="B2812" s="29"/>
      <c r="D2812" s="29"/>
      <c r="E2812" s="20"/>
      <c r="F2812" s="20"/>
      <c r="AC2812" s="20"/>
      <c r="AG2812" s="29"/>
    </row>
    <row r="2813" spans="2:33">
      <c r="B2813" s="29"/>
      <c r="D2813" s="29"/>
      <c r="E2813" s="20"/>
      <c r="F2813" s="20"/>
      <c r="AC2813" s="20"/>
      <c r="AG2813" s="29"/>
    </row>
    <row r="2814" spans="2:33">
      <c r="B2814" s="29"/>
      <c r="D2814" s="29"/>
      <c r="E2814" s="20"/>
      <c r="F2814" s="20"/>
      <c r="AC2814" s="20"/>
      <c r="AG2814" s="29"/>
    </row>
    <row r="2815" spans="2:33">
      <c r="B2815" s="29"/>
      <c r="D2815" s="29"/>
      <c r="E2815" s="20"/>
      <c r="F2815" s="20"/>
      <c r="AC2815" s="20"/>
      <c r="AG2815" s="29"/>
    </row>
    <row r="2816" spans="2:33">
      <c r="B2816" s="29"/>
      <c r="D2816" s="29"/>
      <c r="E2816" s="20"/>
      <c r="F2816" s="20"/>
      <c r="AC2816" s="20"/>
      <c r="AG2816" s="29"/>
    </row>
    <row r="2817" spans="2:33">
      <c r="B2817" s="29"/>
      <c r="D2817" s="29"/>
      <c r="E2817" s="20"/>
      <c r="F2817" s="20"/>
      <c r="AC2817" s="20"/>
      <c r="AG2817" s="29"/>
    </row>
    <row r="2818" spans="2:33">
      <c r="B2818" s="29"/>
      <c r="D2818" s="29"/>
      <c r="E2818" s="20"/>
      <c r="F2818" s="20"/>
      <c r="AC2818" s="20"/>
      <c r="AG2818" s="29"/>
    </row>
    <row r="2819" spans="2:33">
      <c r="B2819" s="29"/>
      <c r="D2819" s="29"/>
      <c r="E2819" s="20"/>
      <c r="F2819" s="20"/>
      <c r="AC2819" s="20"/>
      <c r="AG2819" s="29"/>
    </row>
    <row r="2820" spans="2:33">
      <c r="B2820" s="29"/>
      <c r="D2820" s="29"/>
      <c r="E2820" s="20"/>
      <c r="F2820" s="20"/>
      <c r="AC2820" s="20"/>
      <c r="AG2820" s="29"/>
    </row>
    <row r="2821" spans="2:33">
      <c r="B2821" s="29"/>
      <c r="D2821" s="29"/>
      <c r="E2821" s="20"/>
      <c r="F2821" s="20"/>
      <c r="AC2821" s="20"/>
      <c r="AG2821" s="29"/>
    </row>
    <row r="2822" spans="2:33">
      <c r="B2822" s="29"/>
      <c r="D2822" s="29"/>
      <c r="E2822" s="20"/>
      <c r="F2822" s="20"/>
      <c r="AC2822" s="20"/>
      <c r="AG2822" s="29"/>
    </row>
    <row r="2823" spans="2:33">
      <c r="B2823" s="29"/>
      <c r="D2823" s="29"/>
      <c r="E2823" s="20"/>
      <c r="F2823" s="20"/>
      <c r="AC2823" s="20"/>
      <c r="AG2823" s="29"/>
    </row>
    <row r="2824" spans="2:33">
      <c r="B2824" s="29"/>
      <c r="D2824" s="29"/>
      <c r="E2824" s="20"/>
      <c r="F2824" s="20"/>
      <c r="AC2824" s="20"/>
      <c r="AG2824" s="29"/>
    </row>
    <row r="2825" spans="2:33">
      <c r="B2825" s="29"/>
      <c r="D2825" s="29"/>
      <c r="E2825" s="20"/>
      <c r="F2825" s="20"/>
      <c r="AC2825" s="20"/>
      <c r="AG2825" s="29"/>
    </row>
    <row r="2826" spans="2:33">
      <c r="B2826" s="29"/>
      <c r="D2826" s="29"/>
      <c r="E2826" s="20"/>
      <c r="F2826" s="20"/>
      <c r="AC2826" s="20"/>
      <c r="AG2826" s="29"/>
    </row>
    <row r="2827" spans="2:33">
      <c r="B2827" s="29"/>
      <c r="D2827" s="29"/>
      <c r="E2827" s="20"/>
      <c r="F2827" s="20"/>
      <c r="AC2827" s="20"/>
      <c r="AG2827" s="29"/>
    </row>
    <row r="2828" spans="2:33">
      <c r="B2828" s="29"/>
      <c r="D2828" s="29"/>
      <c r="E2828" s="20"/>
      <c r="F2828" s="20"/>
      <c r="AC2828" s="20"/>
      <c r="AG2828" s="29"/>
    </row>
    <row r="2829" spans="2:33">
      <c r="B2829" s="29"/>
      <c r="D2829" s="29"/>
      <c r="E2829" s="20"/>
      <c r="F2829" s="20"/>
      <c r="AC2829" s="20"/>
      <c r="AG2829" s="29"/>
    </row>
    <row r="2830" spans="2:33">
      <c r="B2830" s="29"/>
      <c r="D2830" s="29"/>
      <c r="E2830" s="20"/>
      <c r="F2830" s="20"/>
      <c r="AC2830" s="20"/>
      <c r="AG2830" s="29"/>
    </row>
    <row r="2831" spans="2:33">
      <c r="B2831" s="29"/>
      <c r="D2831" s="29"/>
      <c r="E2831" s="20"/>
      <c r="F2831" s="20"/>
      <c r="AC2831" s="20"/>
      <c r="AG2831" s="29"/>
    </row>
    <row r="2832" spans="2:33">
      <c r="B2832" s="29"/>
      <c r="D2832" s="29"/>
      <c r="E2832" s="20"/>
      <c r="F2832" s="20"/>
      <c r="AC2832" s="20"/>
      <c r="AG2832" s="29"/>
    </row>
    <row r="2833" spans="2:33">
      <c r="B2833" s="29"/>
      <c r="D2833" s="29"/>
      <c r="E2833" s="20"/>
      <c r="F2833" s="20"/>
      <c r="AC2833" s="20"/>
      <c r="AG2833" s="29"/>
    </row>
    <row r="2834" spans="2:33">
      <c r="B2834" s="29"/>
      <c r="D2834" s="29"/>
      <c r="E2834" s="20"/>
      <c r="F2834" s="20"/>
      <c r="AC2834" s="20"/>
      <c r="AG2834" s="29"/>
    </row>
    <row r="2835" spans="2:33">
      <c r="B2835" s="29"/>
      <c r="D2835" s="29"/>
      <c r="E2835" s="20"/>
      <c r="F2835" s="20"/>
      <c r="AC2835" s="20"/>
      <c r="AG2835" s="29"/>
    </row>
    <row r="2836" spans="2:33">
      <c r="B2836" s="29"/>
      <c r="D2836" s="29"/>
      <c r="E2836" s="20"/>
      <c r="F2836" s="20"/>
      <c r="AC2836" s="20"/>
      <c r="AG2836" s="29"/>
    </row>
    <row r="2837" spans="2:33">
      <c r="B2837" s="29"/>
      <c r="D2837" s="29"/>
      <c r="E2837" s="20"/>
      <c r="F2837" s="20"/>
      <c r="AC2837" s="20"/>
      <c r="AG2837" s="29"/>
    </row>
    <row r="2838" spans="2:33">
      <c r="B2838" s="29"/>
      <c r="D2838" s="29"/>
      <c r="E2838" s="20"/>
      <c r="F2838" s="20"/>
      <c r="AC2838" s="20"/>
      <c r="AG2838" s="29"/>
    </row>
    <row r="2839" spans="2:33">
      <c r="B2839" s="29"/>
      <c r="D2839" s="29"/>
      <c r="E2839" s="20"/>
      <c r="F2839" s="20"/>
      <c r="AC2839" s="20"/>
      <c r="AG2839" s="29"/>
    </row>
    <row r="2840" spans="2:33">
      <c r="B2840" s="29"/>
      <c r="D2840" s="29"/>
      <c r="E2840" s="20"/>
      <c r="F2840" s="20"/>
      <c r="AC2840" s="20"/>
      <c r="AG2840" s="29"/>
    </row>
    <row r="2841" spans="2:33">
      <c r="B2841" s="29"/>
      <c r="D2841" s="29"/>
      <c r="E2841" s="20"/>
      <c r="F2841" s="20"/>
      <c r="AC2841" s="20"/>
      <c r="AG2841" s="29"/>
    </row>
    <row r="2842" spans="2:33">
      <c r="B2842" s="29"/>
      <c r="D2842" s="29"/>
      <c r="E2842" s="20"/>
      <c r="F2842" s="20"/>
      <c r="AC2842" s="20"/>
      <c r="AG2842" s="29"/>
    </row>
    <row r="2843" spans="2:33">
      <c r="B2843" s="29"/>
      <c r="D2843" s="29"/>
      <c r="E2843" s="20"/>
      <c r="F2843" s="20"/>
      <c r="AC2843" s="20"/>
      <c r="AG2843" s="29"/>
    </row>
    <row r="2844" spans="2:33">
      <c r="B2844" s="29"/>
      <c r="D2844" s="29"/>
      <c r="E2844" s="20"/>
      <c r="F2844" s="20"/>
      <c r="AC2844" s="20"/>
      <c r="AG2844" s="29"/>
    </row>
    <row r="2845" spans="2:33">
      <c r="B2845" s="29"/>
      <c r="D2845" s="29"/>
      <c r="E2845" s="20"/>
      <c r="F2845" s="20"/>
      <c r="AC2845" s="20"/>
      <c r="AG2845" s="29"/>
    </row>
    <row r="2846" spans="2:33">
      <c r="B2846" s="29"/>
      <c r="D2846" s="29"/>
      <c r="E2846" s="20"/>
      <c r="F2846" s="20"/>
      <c r="AC2846" s="20"/>
      <c r="AG2846" s="29"/>
    </row>
    <row r="2847" spans="2:33">
      <c r="B2847" s="29"/>
      <c r="D2847" s="29"/>
      <c r="E2847" s="20"/>
      <c r="F2847" s="20"/>
      <c r="AC2847" s="20"/>
      <c r="AG2847" s="29"/>
    </row>
    <row r="2848" spans="2:33">
      <c r="B2848" s="29"/>
      <c r="D2848" s="29"/>
      <c r="E2848" s="20"/>
      <c r="F2848" s="20"/>
      <c r="AC2848" s="20"/>
      <c r="AG2848" s="29"/>
    </row>
    <row r="2849" spans="2:33">
      <c r="B2849" s="29"/>
      <c r="D2849" s="29"/>
      <c r="E2849" s="20"/>
      <c r="F2849" s="20"/>
      <c r="AC2849" s="20"/>
      <c r="AG2849" s="29"/>
    </row>
    <row r="2850" spans="2:33">
      <c r="B2850" s="29"/>
      <c r="D2850" s="29"/>
      <c r="E2850" s="20"/>
      <c r="F2850" s="20"/>
      <c r="AC2850" s="20"/>
      <c r="AG2850" s="29"/>
    </row>
    <row r="2851" spans="2:33">
      <c r="B2851" s="29"/>
      <c r="D2851" s="29"/>
      <c r="E2851" s="20"/>
      <c r="F2851" s="20"/>
      <c r="AC2851" s="20"/>
      <c r="AG2851" s="29"/>
    </row>
    <row r="2852" spans="2:33">
      <c r="B2852" s="29"/>
      <c r="D2852" s="29"/>
      <c r="E2852" s="20"/>
      <c r="F2852" s="20"/>
      <c r="AC2852" s="20"/>
      <c r="AG2852" s="29"/>
    </row>
    <row r="2853" spans="2:33">
      <c r="B2853" s="29"/>
      <c r="D2853" s="29"/>
      <c r="E2853" s="20"/>
      <c r="F2853" s="20"/>
      <c r="AC2853" s="20"/>
      <c r="AG2853" s="29"/>
    </row>
    <row r="2854" spans="2:33">
      <c r="B2854" s="29"/>
      <c r="D2854" s="29"/>
      <c r="E2854" s="20"/>
      <c r="F2854" s="20"/>
      <c r="AC2854" s="20"/>
      <c r="AG2854" s="29"/>
    </row>
    <row r="2855" spans="2:33">
      <c r="B2855" s="29"/>
      <c r="D2855" s="29"/>
      <c r="E2855" s="20"/>
      <c r="F2855" s="20"/>
      <c r="AC2855" s="20"/>
      <c r="AG2855" s="29"/>
    </row>
    <row r="2856" spans="2:33">
      <c r="B2856" s="29"/>
      <c r="D2856" s="29"/>
      <c r="E2856" s="20"/>
      <c r="F2856" s="20"/>
      <c r="AC2856" s="20"/>
      <c r="AG2856" s="29"/>
    </row>
    <row r="2857" spans="2:33">
      <c r="B2857" s="29"/>
      <c r="D2857" s="29"/>
      <c r="E2857" s="20"/>
      <c r="F2857" s="20"/>
      <c r="AC2857" s="20"/>
      <c r="AG2857" s="29"/>
    </row>
    <row r="2858" spans="2:33">
      <c r="B2858" s="29"/>
      <c r="D2858" s="29"/>
      <c r="E2858" s="20"/>
      <c r="F2858" s="20"/>
      <c r="AC2858" s="20"/>
      <c r="AG2858" s="29"/>
    </row>
    <row r="2859" spans="2:33">
      <c r="B2859" s="29"/>
      <c r="D2859" s="29"/>
      <c r="E2859" s="20"/>
      <c r="F2859" s="20"/>
      <c r="AC2859" s="20"/>
      <c r="AG2859" s="29"/>
    </row>
    <row r="2860" spans="2:33">
      <c r="B2860" s="29"/>
      <c r="D2860" s="29"/>
      <c r="E2860" s="20"/>
      <c r="F2860" s="20"/>
      <c r="AC2860" s="20"/>
      <c r="AG2860" s="29"/>
    </row>
    <row r="2861" spans="2:33">
      <c r="B2861" s="29"/>
      <c r="D2861" s="29"/>
      <c r="E2861" s="20"/>
      <c r="F2861" s="20"/>
      <c r="AC2861" s="20"/>
      <c r="AG2861" s="29"/>
    </row>
    <row r="2862" spans="2:33">
      <c r="B2862" s="29"/>
      <c r="D2862" s="29"/>
      <c r="E2862" s="20"/>
      <c r="F2862" s="20"/>
      <c r="AC2862" s="20"/>
      <c r="AG2862" s="29"/>
    </row>
    <row r="2863" spans="2:33">
      <c r="B2863" s="29"/>
      <c r="D2863" s="29"/>
      <c r="E2863" s="20"/>
      <c r="F2863" s="20"/>
      <c r="AC2863" s="20"/>
      <c r="AG2863" s="29"/>
    </row>
    <row r="2864" spans="2:33">
      <c r="B2864" s="29"/>
      <c r="D2864" s="29"/>
      <c r="E2864" s="20"/>
      <c r="F2864" s="20"/>
      <c r="AC2864" s="20"/>
      <c r="AG2864" s="29"/>
    </row>
    <row r="2865" spans="2:33">
      <c r="B2865" s="29"/>
      <c r="D2865" s="29"/>
      <c r="E2865" s="20"/>
      <c r="F2865" s="20"/>
      <c r="AC2865" s="20"/>
      <c r="AG2865" s="29"/>
    </row>
    <row r="2866" spans="2:33">
      <c r="B2866" s="29"/>
      <c r="D2866" s="29"/>
      <c r="E2866" s="20"/>
      <c r="F2866" s="20"/>
      <c r="AC2866" s="20"/>
      <c r="AG2866" s="29"/>
    </row>
    <row r="2867" spans="2:33">
      <c r="B2867" s="29"/>
      <c r="D2867" s="29"/>
      <c r="E2867" s="20"/>
      <c r="F2867" s="20"/>
      <c r="AC2867" s="20"/>
      <c r="AG2867" s="29"/>
    </row>
    <row r="2868" spans="2:33">
      <c r="B2868" s="29"/>
      <c r="D2868" s="29"/>
      <c r="E2868" s="20"/>
      <c r="F2868" s="20"/>
      <c r="AC2868" s="20"/>
      <c r="AG2868" s="29"/>
    </row>
    <row r="2869" spans="2:33">
      <c r="B2869" s="29"/>
      <c r="D2869" s="29"/>
      <c r="E2869" s="20"/>
      <c r="F2869" s="20"/>
      <c r="AC2869" s="20"/>
      <c r="AG2869" s="29"/>
    </row>
    <row r="2870" spans="2:33">
      <c r="B2870" s="29"/>
      <c r="D2870" s="29"/>
      <c r="E2870" s="20"/>
      <c r="F2870" s="20"/>
      <c r="AC2870" s="20"/>
      <c r="AG2870" s="29"/>
    </row>
    <row r="2871" spans="2:33">
      <c r="B2871" s="29"/>
      <c r="D2871" s="29"/>
      <c r="E2871" s="20"/>
      <c r="F2871" s="20"/>
      <c r="AC2871" s="20"/>
      <c r="AG2871" s="29"/>
    </row>
    <row r="2872" spans="2:33">
      <c r="B2872" s="29"/>
      <c r="D2872" s="29"/>
      <c r="E2872" s="20"/>
      <c r="F2872" s="20"/>
      <c r="AC2872" s="20"/>
      <c r="AG2872" s="29"/>
    </row>
    <row r="2873" spans="2:33">
      <c r="B2873" s="29"/>
      <c r="D2873" s="29"/>
      <c r="E2873" s="20"/>
      <c r="F2873" s="20"/>
      <c r="AC2873" s="20"/>
      <c r="AG2873" s="29"/>
    </row>
    <row r="2874" spans="2:33">
      <c r="B2874" s="29"/>
      <c r="D2874" s="29"/>
      <c r="E2874" s="20"/>
      <c r="F2874" s="20"/>
      <c r="AC2874" s="20"/>
      <c r="AG2874" s="29"/>
    </row>
    <row r="2875" spans="2:33">
      <c r="B2875" s="29"/>
      <c r="D2875" s="29"/>
      <c r="E2875" s="20"/>
      <c r="F2875" s="20"/>
      <c r="AC2875" s="20"/>
      <c r="AG2875" s="29"/>
    </row>
    <row r="2876" spans="2:33">
      <c r="B2876" s="29"/>
      <c r="D2876" s="29"/>
      <c r="E2876" s="20"/>
      <c r="F2876" s="20"/>
      <c r="AC2876" s="20"/>
      <c r="AG2876" s="29"/>
    </row>
    <row r="2877" spans="2:33">
      <c r="B2877" s="29"/>
      <c r="D2877" s="29"/>
      <c r="E2877" s="20"/>
      <c r="F2877" s="20"/>
      <c r="AC2877" s="20"/>
      <c r="AG2877" s="29"/>
    </row>
    <row r="2878" spans="2:33">
      <c r="B2878" s="29"/>
      <c r="D2878" s="29"/>
      <c r="E2878" s="20"/>
      <c r="F2878" s="20"/>
      <c r="AC2878" s="20"/>
      <c r="AG2878" s="29"/>
    </row>
    <row r="2879" spans="2:33">
      <c r="B2879" s="29"/>
      <c r="D2879" s="29"/>
      <c r="E2879" s="20"/>
      <c r="F2879" s="20"/>
      <c r="AC2879" s="20"/>
      <c r="AG2879" s="29"/>
    </row>
    <row r="2880" spans="2:33">
      <c r="B2880" s="29"/>
      <c r="D2880" s="29"/>
      <c r="E2880" s="20"/>
      <c r="F2880" s="20"/>
      <c r="AC2880" s="20"/>
      <c r="AG2880" s="29"/>
    </row>
    <row r="2881" spans="2:33">
      <c r="B2881" s="29"/>
      <c r="D2881" s="29"/>
      <c r="E2881" s="20"/>
      <c r="F2881" s="20"/>
      <c r="AC2881" s="20"/>
      <c r="AG2881" s="29"/>
    </row>
    <row r="2882" spans="2:33">
      <c r="B2882" s="29"/>
      <c r="D2882" s="29"/>
      <c r="E2882" s="20"/>
      <c r="F2882" s="20"/>
      <c r="AC2882" s="20"/>
      <c r="AG2882" s="29"/>
    </row>
    <row r="2883" spans="2:33">
      <c r="B2883" s="29"/>
      <c r="D2883" s="29"/>
      <c r="E2883" s="20"/>
      <c r="F2883" s="20"/>
      <c r="AC2883" s="20"/>
      <c r="AG2883" s="29"/>
    </row>
    <row r="2884" spans="2:33">
      <c r="B2884" s="29"/>
      <c r="D2884" s="29"/>
      <c r="E2884" s="20"/>
      <c r="F2884" s="20"/>
      <c r="AC2884" s="20"/>
      <c r="AG2884" s="29"/>
    </row>
    <row r="2885" spans="2:33">
      <c r="B2885" s="29"/>
      <c r="D2885" s="29"/>
      <c r="E2885" s="20"/>
      <c r="F2885" s="20"/>
      <c r="AC2885" s="20"/>
      <c r="AG2885" s="29"/>
    </row>
    <row r="2886" spans="2:33">
      <c r="B2886" s="29"/>
      <c r="D2886" s="29"/>
      <c r="E2886" s="20"/>
      <c r="F2886" s="20"/>
      <c r="AC2886" s="20"/>
      <c r="AG2886" s="29"/>
    </row>
    <row r="2887" spans="2:33">
      <c r="B2887" s="29"/>
      <c r="D2887" s="29"/>
      <c r="E2887" s="20"/>
      <c r="F2887" s="20"/>
      <c r="AC2887" s="20"/>
      <c r="AG2887" s="29"/>
    </row>
    <row r="2888" spans="2:33">
      <c r="B2888" s="29"/>
      <c r="D2888" s="29"/>
      <c r="E2888" s="20"/>
      <c r="F2888" s="20"/>
      <c r="AC2888" s="20"/>
      <c r="AG2888" s="29"/>
    </row>
    <row r="2889" spans="2:33">
      <c r="B2889" s="29"/>
      <c r="D2889" s="29"/>
      <c r="E2889" s="20"/>
      <c r="F2889" s="20"/>
      <c r="AC2889" s="20"/>
      <c r="AG2889" s="29"/>
    </row>
    <row r="2890" spans="2:33">
      <c r="B2890" s="29"/>
      <c r="D2890" s="29"/>
      <c r="E2890" s="20"/>
      <c r="F2890" s="20"/>
      <c r="AC2890" s="20"/>
      <c r="AG2890" s="29"/>
    </row>
    <row r="2891" spans="2:33">
      <c r="B2891" s="29"/>
      <c r="D2891" s="29"/>
      <c r="E2891" s="20"/>
      <c r="F2891" s="20"/>
      <c r="AC2891" s="20"/>
      <c r="AG2891" s="29"/>
    </row>
    <row r="2892" spans="2:33">
      <c r="B2892" s="29"/>
      <c r="D2892" s="29"/>
      <c r="E2892" s="20"/>
      <c r="F2892" s="20"/>
      <c r="AC2892" s="20"/>
      <c r="AG2892" s="29"/>
    </row>
    <row r="2893" spans="2:33">
      <c r="B2893" s="29"/>
      <c r="D2893" s="29"/>
      <c r="E2893" s="20"/>
      <c r="F2893" s="20"/>
      <c r="AC2893" s="20"/>
      <c r="AG2893" s="29"/>
    </row>
    <row r="2894" spans="2:33">
      <c r="B2894" s="29"/>
      <c r="D2894" s="29"/>
      <c r="E2894" s="20"/>
      <c r="F2894" s="20"/>
      <c r="AC2894" s="20"/>
      <c r="AG2894" s="29"/>
    </row>
    <row r="2895" spans="2:33">
      <c r="B2895" s="29"/>
      <c r="D2895" s="29"/>
      <c r="E2895" s="20"/>
      <c r="F2895" s="20"/>
      <c r="AC2895" s="20"/>
      <c r="AG2895" s="29"/>
    </row>
    <row r="2896" spans="2:33">
      <c r="B2896" s="29"/>
      <c r="D2896" s="29"/>
      <c r="E2896" s="20"/>
      <c r="F2896" s="20"/>
      <c r="AC2896" s="20"/>
      <c r="AG2896" s="29"/>
    </row>
    <row r="2897" spans="2:33">
      <c r="B2897" s="29"/>
      <c r="D2897" s="29"/>
      <c r="E2897" s="20"/>
      <c r="F2897" s="20"/>
      <c r="AC2897" s="20"/>
      <c r="AG2897" s="29"/>
    </row>
    <row r="2898" spans="2:33">
      <c r="B2898" s="29"/>
      <c r="D2898" s="29"/>
      <c r="E2898" s="20"/>
      <c r="F2898" s="20"/>
      <c r="AC2898" s="20"/>
      <c r="AG2898" s="29"/>
    </row>
    <row r="2899" spans="2:33">
      <c r="B2899" s="29"/>
      <c r="D2899" s="29"/>
      <c r="E2899" s="20"/>
      <c r="F2899" s="20"/>
      <c r="AC2899" s="20"/>
      <c r="AG2899" s="29"/>
    </row>
    <row r="2900" spans="2:33">
      <c r="B2900" s="29"/>
      <c r="D2900" s="29"/>
      <c r="E2900" s="20"/>
      <c r="F2900" s="20"/>
      <c r="AC2900" s="20"/>
      <c r="AG2900" s="29"/>
    </row>
    <row r="2901" spans="2:33">
      <c r="B2901" s="29"/>
      <c r="D2901" s="29"/>
      <c r="E2901" s="20"/>
      <c r="F2901" s="20"/>
      <c r="AC2901" s="20"/>
      <c r="AG2901" s="29"/>
    </row>
    <row r="2902" spans="2:33">
      <c r="B2902" s="29"/>
      <c r="D2902" s="29"/>
      <c r="E2902" s="20"/>
      <c r="F2902" s="20"/>
      <c r="AC2902" s="20"/>
      <c r="AG2902" s="29"/>
    </row>
    <row r="2903" spans="2:33">
      <c r="B2903" s="29"/>
      <c r="D2903" s="29"/>
      <c r="E2903" s="20"/>
      <c r="F2903" s="20"/>
      <c r="AC2903" s="20"/>
      <c r="AG2903" s="29"/>
    </row>
    <row r="2904" spans="2:33">
      <c r="B2904" s="29"/>
      <c r="D2904" s="29"/>
      <c r="E2904" s="20"/>
      <c r="F2904" s="20"/>
      <c r="AC2904" s="20"/>
      <c r="AG2904" s="29"/>
    </row>
    <row r="2905" spans="2:33">
      <c r="B2905" s="29"/>
      <c r="D2905" s="29"/>
      <c r="E2905" s="20"/>
      <c r="F2905" s="20"/>
      <c r="AC2905" s="20"/>
      <c r="AG2905" s="29"/>
    </row>
    <row r="2906" spans="2:33">
      <c r="B2906" s="29"/>
      <c r="D2906" s="29"/>
      <c r="E2906" s="20"/>
      <c r="F2906" s="20"/>
      <c r="AC2906" s="20"/>
      <c r="AG2906" s="29"/>
    </row>
    <row r="2907" spans="2:33">
      <c r="B2907" s="29"/>
      <c r="D2907" s="29"/>
      <c r="E2907" s="20"/>
      <c r="F2907" s="20"/>
      <c r="AC2907" s="20"/>
      <c r="AG2907" s="29"/>
    </row>
    <row r="2908" spans="2:33">
      <c r="B2908" s="29"/>
      <c r="D2908" s="29"/>
      <c r="E2908" s="20"/>
      <c r="F2908" s="20"/>
      <c r="AC2908" s="20"/>
      <c r="AG2908" s="29"/>
    </row>
    <row r="2909" spans="2:33">
      <c r="B2909" s="29"/>
      <c r="D2909" s="29"/>
      <c r="E2909" s="20"/>
      <c r="F2909" s="20"/>
      <c r="AC2909" s="20"/>
      <c r="AG2909" s="29"/>
    </row>
    <row r="2910" spans="2:33">
      <c r="B2910" s="29"/>
      <c r="D2910" s="29"/>
      <c r="E2910" s="20"/>
      <c r="F2910" s="20"/>
      <c r="AC2910" s="20"/>
      <c r="AG2910" s="29"/>
    </row>
    <row r="2911" spans="2:33">
      <c r="B2911" s="29"/>
      <c r="D2911" s="29"/>
      <c r="E2911" s="20"/>
      <c r="F2911" s="20"/>
      <c r="AC2911" s="20"/>
      <c r="AG2911" s="29"/>
    </row>
    <row r="2912" spans="2:33">
      <c r="B2912" s="29"/>
      <c r="D2912" s="29"/>
      <c r="E2912" s="20"/>
      <c r="F2912" s="20"/>
      <c r="AC2912" s="20"/>
      <c r="AG2912" s="29"/>
    </row>
    <row r="2913" spans="2:33">
      <c r="B2913" s="29"/>
      <c r="D2913" s="29"/>
      <c r="E2913" s="20"/>
      <c r="F2913" s="20"/>
      <c r="AC2913" s="20"/>
      <c r="AG2913" s="29"/>
    </row>
    <row r="2914" spans="2:33">
      <c r="B2914" s="29"/>
      <c r="D2914" s="29"/>
      <c r="E2914" s="20"/>
      <c r="F2914" s="20"/>
      <c r="AC2914" s="20"/>
      <c r="AG2914" s="29"/>
    </row>
    <row r="2915" spans="2:33">
      <c r="B2915" s="29"/>
      <c r="D2915" s="29"/>
      <c r="E2915" s="20"/>
      <c r="F2915" s="20"/>
      <c r="AC2915" s="20"/>
      <c r="AG2915" s="29"/>
    </row>
    <row r="2916" spans="2:33">
      <c r="B2916" s="29"/>
      <c r="D2916" s="29"/>
      <c r="E2916" s="20"/>
      <c r="F2916" s="20"/>
      <c r="AC2916" s="20"/>
      <c r="AG2916" s="29"/>
    </row>
    <row r="2917" spans="2:33">
      <c r="B2917" s="29"/>
      <c r="D2917" s="29"/>
      <c r="E2917" s="20"/>
      <c r="F2917" s="20"/>
      <c r="AC2917" s="20"/>
      <c r="AG2917" s="29"/>
    </row>
    <row r="2918" spans="2:33">
      <c r="B2918" s="29"/>
      <c r="D2918" s="29"/>
      <c r="E2918" s="20"/>
      <c r="F2918" s="20"/>
      <c r="AC2918" s="20"/>
      <c r="AG2918" s="29"/>
    </row>
    <row r="2919" spans="2:33">
      <c r="B2919" s="29"/>
      <c r="D2919" s="29"/>
      <c r="E2919" s="20"/>
      <c r="F2919" s="20"/>
      <c r="AC2919" s="20"/>
      <c r="AG2919" s="29"/>
    </row>
    <row r="2920" spans="2:33">
      <c r="B2920" s="29"/>
      <c r="D2920" s="29"/>
      <c r="E2920" s="20"/>
      <c r="F2920" s="20"/>
      <c r="AC2920" s="20"/>
      <c r="AG2920" s="29"/>
    </row>
    <row r="2921" spans="2:33">
      <c r="B2921" s="29"/>
      <c r="D2921" s="29"/>
      <c r="E2921" s="20"/>
      <c r="F2921" s="20"/>
      <c r="AC2921" s="20"/>
      <c r="AG2921" s="29"/>
    </row>
    <row r="2922" spans="2:33">
      <c r="B2922" s="29"/>
      <c r="D2922" s="29"/>
      <c r="E2922" s="20"/>
      <c r="F2922" s="20"/>
      <c r="AC2922" s="20"/>
      <c r="AG2922" s="29"/>
    </row>
    <row r="2923" spans="2:33">
      <c r="B2923" s="29"/>
      <c r="D2923" s="29"/>
      <c r="E2923" s="20"/>
      <c r="F2923" s="20"/>
      <c r="AC2923" s="20"/>
      <c r="AG2923" s="29"/>
    </row>
    <row r="2924" spans="2:33">
      <c r="B2924" s="29"/>
      <c r="D2924" s="29"/>
      <c r="E2924" s="20"/>
      <c r="F2924" s="20"/>
      <c r="AC2924" s="20"/>
      <c r="AG2924" s="29"/>
    </row>
    <row r="2925" spans="2:33">
      <c r="B2925" s="29"/>
      <c r="D2925" s="29"/>
      <c r="E2925" s="20"/>
      <c r="F2925" s="20"/>
      <c r="AC2925" s="20"/>
      <c r="AG2925" s="29"/>
    </row>
    <row r="2926" spans="2:33">
      <c r="B2926" s="29"/>
      <c r="D2926" s="29"/>
      <c r="E2926" s="20"/>
      <c r="F2926" s="20"/>
      <c r="AC2926" s="20"/>
      <c r="AG2926" s="29"/>
    </row>
    <row r="2927" spans="2:33">
      <c r="B2927" s="29"/>
      <c r="D2927" s="29"/>
      <c r="E2927" s="20"/>
      <c r="F2927" s="20"/>
      <c r="AC2927" s="20"/>
      <c r="AG2927" s="29"/>
    </row>
    <row r="2928" spans="2:33">
      <c r="B2928" s="29"/>
      <c r="D2928" s="29"/>
      <c r="E2928" s="20"/>
      <c r="F2928" s="20"/>
      <c r="AC2928" s="20"/>
      <c r="AG2928" s="29"/>
    </row>
    <row r="2929" spans="2:33">
      <c r="B2929" s="29"/>
      <c r="D2929" s="29"/>
      <c r="E2929" s="20"/>
      <c r="F2929" s="20"/>
      <c r="AC2929" s="20"/>
      <c r="AG2929" s="29"/>
    </row>
    <row r="2930" spans="2:33">
      <c r="B2930" s="29"/>
      <c r="D2930" s="29"/>
      <c r="E2930" s="20"/>
      <c r="F2930" s="20"/>
      <c r="AC2930" s="20"/>
      <c r="AG2930" s="29"/>
    </row>
    <row r="2931" spans="2:33">
      <c r="B2931" s="29"/>
      <c r="D2931" s="29"/>
      <c r="E2931" s="20"/>
      <c r="F2931" s="20"/>
      <c r="AC2931" s="20"/>
      <c r="AG2931" s="29"/>
    </row>
    <row r="2932" spans="2:33">
      <c r="B2932" s="29"/>
      <c r="D2932" s="29"/>
      <c r="E2932" s="20"/>
      <c r="F2932" s="20"/>
      <c r="AC2932" s="20"/>
      <c r="AG2932" s="29"/>
    </row>
    <row r="2933" spans="2:33">
      <c r="B2933" s="29"/>
      <c r="D2933" s="29"/>
      <c r="E2933" s="20"/>
      <c r="F2933" s="20"/>
      <c r="AC2933" s="20"/>
      <c r="AG2933" s="29"/>
    </row>
    <row r="2934" spans="2:33">
      <c r="B2934" s="29"/>
      <c r="D2934" s="29"/>
      <c r="E2934" s="20"/>
      <c r="F2934" s="20"/>
      <c r="AC2934" s="20"/>
      <c r="AG2934" s="29"/>
    </row>
    <row r="2935" spans="2:33">
      <c r="B2935" s="29"/>
      <c r="D2935" s="29"/>
      <c r="E2935" s="20"/>
      <c r="F2935" s="20"/>
      <c r="AC2935" s="20"/>
      <c r="AG2935" s="29"/>
    </row>
    <row r="2936" spans="2:33">
      <c r="B2936" s="29"/>
      <c r="D2936" s="29"/>
      <c r="E2936" s="20"/>
      <c r="F2936" s="20"/>
      <c r="AC2936" s="20"/>
      <c r="AG2936" s="29"/>
    </row>
    <row r="2937" spans="2:33">
      <c r="B2937" s="29"/>
      <c r="D2937" s="29"/>
      <c r="E2937" s="20"/>
      <c r="F2937" s="20"/>
      <c r="AC2937" s="20"/>
      <c r="AG2937" s="29"/>
    </row>
    <row r="2938" spans="2:33">
      <c r="B2938" s="29"/>
      <c r="D2938" s="29"/>
      <c r="E2938" s="20"/>
      <c r="F2938" s="20"/>
      <c r="AC2938" s="20"/>
      <c r="AG2938" s="29"/>
    </row>
    <row r="2939" spans="2:33">
      <c r="B2939" s="29"/>
      <c r="D2939" s="29"/>
      <c r="E2939" s="20"/>
      <c r="F2939" s="20"/>
      <c r="AC2939" s="20"/>
      <c r="AG2939" s="29"/>
    </row>
    <row r="2940" spans="2:33">
      <c r="B2940" s="29"/>
      <c r="D2940" s="29"/>
      <c r="E2940" s="20"/>
      <c r="F2940" s="20"/>
      <c r="AC2940" s="20"/>
      <c r="AG2940" s="29"/>
    </row>
    <row r="2941" spans="2:33">
      <c r="B2941" s="29"/>
      <c r="D2941" s="29"/>
      <c r="E2941" s="20"/>
      <c r="F2941" s="20"/>
      <c r="AC2941" s="20"/>
      <c r="AG2941" s="29"/>
    </row>
    <row r="2942" spans="2:33">
      <c r="B2942" s="29"/>
      <c r="D2942" s="29"/>
      <c r="E2942" s="20"/>
      <c r="F2942" s="20"/>
      <c r="AC2942" s="20"/>
      <c r="AG2942" s="29"/>
    </row>
    <row r="2943" spans="2:33">
      <c r="B2943" s="29"/>
      <c r="D2943" s="29"/>
      <c r="E2943" s="20"/>
      <c r="F2943" s="20"/>
      <c r="AC2943" s="20"/>
      <c r="AG2943" s="29"/>
    </row>
    <row r="2944" spans="2:33">
      <c r="B2944" s="29"/>
      <c r="D2944" s="29"/>
      <c r="E2944" s="20"/>
      <c r="F2944" s="20"/>
      <c r="AC2944" s="20"/>
      <c r="AG2944" s="29"/>
    </row>
    <row r="2945" spans="2:33">
      <c r="B2945" s="29"/>
      <c r="D2945" s="29"/>
      <c r="E2945" s="20"/>
      <c r="F2945" s="20"/>
      <c r="AC2945" s="20"/>
      <c r="AG2945" s="29"/>
    </row>
    <row r="2946" spans="2:33">
      <c r="B2946" s="29"/>
      <c r="D2946" s="29"/>
      <c r="E2946" s="20"/>
      <c r="F2946" s="20"/>
      <c r="AC2946" s="20"/>
      <c r="AG2946" s="29"/>
    </row>
    <row r="2947" spans="2:33">
      <c r="B2947" s="29"/>
      <c r="D2947" s="29"/>
      <c r="E2947" s="20"/>
      <c r="F2947" s="20"/>
      <c r="AC2947" s="20"/>
      <c r="AG2947" s="29"/>
    </row>
    <row r="2948" spans="2:33">
      <c r="B2948" s="29"/>
      <c r="D2948" s="29"/>
      <c r="E2948" s="20"/>
      <c r="F2948" s="20"/>
      <c r="AC2948" s="20"/>
      <c r="AG2948" s="29"/>
    </row>
    <row r="2949" spans="2:33">
      <c r="B2949" s="29"/>
      <c r="D2949" s="29"/>
      <c r="E2949" s="20"/>
      <c r="F2949" s="20"/>
      <c r="AC2949" s="20"/>
      <c r="AG2949" s="29"/>
    </row>
    <row r="2950" spans="2:33">
      <c r="B2950" s="29"/>
      <c r="D2950" s="29"/>
      <c r="E2950" s="20"/>
      <c r="F2950" s="20"/>
      <c r="AC2950" s="20"/>
      <c r="AG2950" s="29"/>
    </row>
    <row r="2951" spans="2:33">
      <c r="B2951" s="29"/>
      <c r="D2951" s="29"/>
      <c r="E2951" s="20"/>
      <c r="F2951" s="20"/>
      <c r="AC2951" s="20"/>
      <c r="AG2951" s="29"/>
    </row>
    <row r="2952" spans="2:33">
      <c r="B2952" s="29"/>
      <c r="D2952" s="29"/>
      <c r="E2952" s="20"/>
      <c r="F2952" s="20"/>
      <c r="AC2952" s="20"/>
      <c r="AG2952" s="29"/>
    </row>
    <row r="2953" spans="2:33">
      <c r="B2953" s="29"/>
      <c r="D2953" s="29"/>
      <c r="E2953" s="20"/>
      <c r="F2953" s="20"/>
      <c r="AC2953" s="20"/>
      <c r="AG2953" s="29"/>
    </row>
    <row r="2954" spans="2:33">
      <c r="B2954" s="29"/>
      <c r="D2954" s="29"/>
      <c r="E2954" s="20"/>
      <c r="F2954" s="20"/>
      <c r="AC2954" s="20"/>
      <c r="AG2954" s="29"/>
    </row>
    <row r="2955" spans="2:33">
      <c r="B2955" s="29"/>
      <c r="D2955" s="29"/>
      <c r="E2955" s="20"/>
      <c r="F2955" s="20"/>
      <c r="AC2955" s="20"/>
      <c r="AG2955" s="29"/>
    </row>
    <row r="2956" spans="2:33">
      <c r="B2956" s="29"/>
      <c r="D2956" s="29"/>
      <c r="E2956" s="20"/>
      <c r="F2956" s="20"/>
      <c r="AC2956" s="20"/>
      <c r="AG2956" s="29"/>
    </row>
    <row r="2957" spans="2:33">
      <c r="B2957" s="29"/>
      <c r="D2957" s="29"/>
      <c r="E2957" s="20"/>
      <c r="F2957" s="20"/>
      <c r="AC2957" s="20"/>
      <c r="AG2957" s="29"/>
    </row>
    <row r="2958" spans="2:33">
      <c r="B2958" s="29"/>
      <c r="D2958" s="29"/>
      <c r="E2958" s="20"/>
      <c r="F2958" s="20"/>
      <c r="AC2958" s="20"/>
      <c r="AG2958" s="29"/>
    </row>
    <row r="2959" spans="2:33">
      <c r="B2959" s="29"/>
      <c r="D2959" s="29"/>
      <c r="E2959" s="20"/>
      <c r="F2959" s="20"/>
      <c r="AC2959" s="20"/>
      <c r="AG2959" s="29"/>
    </row>
    <row r="2960" spans="2:33">
      <c r="B2960" s="29"/>
      <c r="D2960" s="29"/>
      <c r="E2960" s="20"/>
      <c r="F2960" s="20"/>
      <c r="AC2960" s="20"/>
      <c r="AG2960" s="29"/>
    </row>
    <row r="2961" spans="2:33">
      <c r="B2961" s="29"/>
      <c r="D2961" s="29"/>
      <c r="E2961" s="20"/>
      <c r="F2961" s="20"/>
      <c r="AC2961" s="20"/>
      <c r="AG2961" s="29"/>
    </row>
    <row r="2962" spans="2:33">
      <c r="B2962" s="29"/>
      <c r="D2962" s="29"/>
      <c r="E2962" s="20"/>
      <c r="F2962" s="20"/>
      <c r="AC2962" s="20"/>
      <c r="AG2962" s="29"/>
    </row>
    <row r="2963" spans="2:33">
      <c r="B2963" s="29"/>
      <c r="D2963" s="29"/>
      <c r="E2963" s="20"/>
      <c r="F2963" s="20"/>
      <c r="AC2963" s="20"/>
      <c r="AG2963" s="29"/>
    </row>
    <row r="2964" spans="2:33">
      <c r="B2964" s="29"/>
      <c r="D2964" s="29"/>
      <c r="E2964" s="20"/>
      <c r="F2964" s="20"/>
      <c r="AC2964" s="20"/>
      <c r="AG2964" s="29"/>
    </row>
    <row r="2965" spans="2:33">
      <c r="B2965" s="29"/>
      <c r="D2965" s="29"/>
      <c r="E2965" s="20"/>
      <c r="F2965" s="20"/>
      <c r="AC2965" s="20"/>
      <c r="AG2965" s="29"/>
    </row>
    <row r="2966" spans="2:33">
      <c r="B2966" s="29"/>
      <c r="D2966" s="29"/>
      <c r="E2966" s="20"/>
      <c r="F2966" s="20"/>
      <c r="AC2966" s="20"/>
      <c r="AG2966" s="29"/>
    </row>
    <row r="2967" spans="2:33">
      <c r="B2967" s="29"/>
      <c r="D2967" s="29"/>
      <c r="E2967" s="20"/>
      <c r="F2967" s="20"/>
      <c r="AC2967" s="20"/>
      <c r="AG2967" s="29"/>
    </row>
    <row r="2968" spans="2:33">
      <c r="B2968" s="29"/>
      <c r="D2968" s="29"/>
      <c r="E2968" s="20"/>
      <c r="F2968" s="20"/>
      <c r="AC2968" s="20"/>
      <c r="AG2968" s="29"/>
    </row>
    <row r="2969" spans="2:33">
      <c r="B2969" s="29"/>
      <c r="D2969" s="29"/>
      <c r="E2969" s="20"/>
      <c r="F2969" s="20"/>
      <c r="AC2969" s="20"/>
      <c r="AG2969" s="29"/>
    </row>
    <row r="2970" spans="2:33">
      <c r="B2970" s="29"/>
      <c r="D2970" s="29"/>
      <c r="E2970" s="20"/>
      <c r="F2970" s="20"/>
      <c r="AC2970" s="20"/>
      <c r="AG2970" s="29"/>
    </row>
    <row r="2971" spans="2:33">
      <c r="B2971" s="29"/>
      <c r="D2971" s="29"/>
      <c r="E2971" s="20"/>
      <c r="F2971" s="20"/>
      <c r="AC2971" s="20"/>
      <c r="AG2971" s="29"/>
    </row>
    <row r="2972" spans="2:33">
      <c r="B2972" s="29"/>
      <c r="D2972" s="29"/>
      <c r="E2972" s="20"/>
      <c r="F2972" s="20"/>
      <c r="AC2972" s="20"/>
      <c r="AG2972" s="29"/>
    </row>
    <row r="2973" spans="2:33">
      <c r="B2973" s="29"/>
      <c r="D2973" s="29"/>
      <c r="E2973" s="20"/>
      <c r="F2973" s="20"/>
      <c r="AC2973" s="20"/>
      <c r="AG2973" s="29"/>
    </row>
    <row r="2974" spans="2:33">
      <c r="B2974" s="29"/>
      <c r="D2974" s="29"/>
      <c r="E2974" s="20"/>
      <c r="F2974" s="20"/>
      <c r="AC2974" s="20"/>
      <c r="AG2974" s="29"/>
    </row>
    <row r="2975" spans="2:33">
      <c r="B2975" s="29"/>
      <c r="D2975" s="29"/>
      <c r="E2975" s="20"/>
      <c r="F2975" s="20"/>
      <c r="AC2975" s="20"/>
      <c r="AG2975" s="29"/>
    </row>
    <row r="2976" spans="2:33">
      <c r="B2976" s="29"/>
      <c r="D2976" s="29"/>
      <c r="E2976" s="20"/>
      <c r="F2976" s="20"/>
      <c r="AC2976" s="20"/>
      <c r="AG2976" s="29"/>
    </row>
    <row r="2977" spans="2:33">
      <c r="B2977" s="29"/>
      <c r="D2977" s="29"/>
      <c r="E2977" s="20"/>
      <c r="F2977" s="20"/>
      <c r="AC2977" s="20"/>
      <c r="AG2977" s="29"/>
    </row>
    <row r="2978" spans="2:33">
      <c r="B2978" s="29"/>
      <c r="D2978" s="29"/>
      <c r="E2978" s="20"/>
      <c r="F2978" s="20"/>
      <c r="AC2978" s="20"/>
      <c r="AG2978" s="29"/>
    </row>
    <row r="2979" spans="2:33">
      <c r="B2979" s="29"/>
      <c r="D2979" s="29"/>
      <c r="E2979" s="20"/>
      <c r="F2979" s="20"/>
      <c r="AC2979" s="20"/>
      <c r="AG2979" s="29"/>
    </row>
    <row r="2980" spans="2:33">
      <c r="B2980" s="29"/>
      <c r="D2980" s="29"/>
      <c r="E2980" s="20"/>
      <c r="F2980" s="20"/>
      <c r="AC2980" s="20"/>
      <c r="AG2980" s="29"/>
    </row>
    <row r="2981" spans="2:33">
      <c r="B2981" s="29"/>
      <c r="D2981" s="29"/>
      <c r="E2981" s="20"/>
      <c r="F2981" s="20"/>
      <c r="AC2981" s="20"/>
      <c r="AG2981" s="29"/>
    </row>
    <row r="2982" spans="2:33">
      <c r="B2982" s="29"/>
      <c r="D2982" s="29"/>
      <c r="E2982" s="20"/>
      <c r="F2982" s="20"/>
      <c r="AC2982" s="20"/>
      <c r="AG2982" s="29"/>
    </row>
    <row r="2983" spans="2:33">
      <c r="B2983" s="29"/>
      <c r="D2983" s="29"/>
      <c r="E2983" s="20"/>
      <c r="F2983" s="20"/>
      <c r="AC2983" s="20"/>
      <c r="AG2983" s="29"/>
    </row>
    <row r="2984" spans="2:33">
      <c r="B2984" s="29"/>
      <c r="D2984" s="29"/>
      <c r="E2984" s="20"/>
      <c r="F2984" s="20"/>
      <c r="AC2984" s="20"/>
      <c r="AG2984" s="29"/>
    </row>
    <row r="2985" spans="2:33">
      <c r="B2985" s="29"/>
      <c r="D2985" s="29"/>
      <c r="E2985" s="20"/>
      <c r="F2985" s="20"/>
      <c r="AC2985" s="20"/>
      <c r="AG2985" s="29"/>
    </row>
    <row r="2986" spans="2:33">
      <c r="B2986" s="29"/>
      <c r="D2986" s="29"/>
      <c r="E2986" s="20"/>
      <c r="F2986" s="20"/>
      <c r="AC2986" s="20"/>
      <c r="AG2986" s="29"/>
    </row>
    <row r="2987" spans="2:33">
      <c r="B2987" s="29"/>
      <c r="D2987" s="29"/>
      <c r="E2987" s="20"/>
      <c r="F2987" s="20"/>
      <c r="AC2987" s="20"/>
      <c r="AG2987" s="29"/>
    </row>
    <row r="2988" spans="2:33">
      <c r="B2988" s="29"/>
      <c r="D2988" s="29"/>
      <c r="E2988" s="20"/>
      <c r="F2988" s="20"/>
      <c r="AC2988" s="20"/>
      <c r="AG2988" s="29"/>
    </row>
    <row r="2989" spans="2:33">
      <c r="B2989" s="29"/>
      <c r="D2989" s="29"/>
      <c r="E2989" s="20"/>
      <c r="F2989" s="20"/>
      <c r="AC2989" s="20"/>
      <c r="AG2989" s="29"/>
    </row>
    <row r="2990" spans="2:33">
      <c r="B2990" s="29"/>
      <c r="D2990" s="29"/>
      <c r="E2990" s="20"/>
      <c r="F2990" s="20"/>
      <c r="AC2990" s="20"/>
      <c r="AG2990" s="29"/>
    </row>
    <row r="2991" spans="2:33">
      <c r="B2991" s="29"/>
      <c r="D2991" s="29"/>
      <c r="E2991" s="20"/>
      <c r="F2991" s="20"/>
      <c r="AC2991" s="20"/>
      <c r="AG2991" s="29"/>
    </row>
    <row r="2992" spans="2:33">
      <c r="B2992" s="29"/>
      <c r="D2992" s="29"/>
      <c r="E2992" s="20"/>
      <c r="F2992" s="20"/>
      <c r="AC2992" s="20"/>
      <c r="AG2992" s="29"/>
    </row>
    <row r="2993" spans="2:33">
      <c r="B2993" s="29"/>
      <c r="D2993" s="29"/>
      <c r="E2993" s="20"/>
      <c r="F2993" s="20"/>
      <c r="AC2993" s="20"/>
      <c r="AG2993" s="29"/>
    </row>
    <row r="2994" spans="2:33">
      <c r="B2994" s="29"/>
      <c r="D2994" s="29"/>
      <c r="E2994" s="20"/>
      <c r="F2994" s="20"/>
      <c r="AC2994" s="20"/>
      <c r="AG2994" s="29"/>
    </row>
    <row r="2995" spans="2:33">
      <c r="B2995" s="29"/>
      <c r="D2995" s="29"/>
      <c r="E2995" s="20"/>
      <c r="F2995" s="20"/>
      <c r="AC2995" s="20"/>
      <c r="AG2995" s="29"/>
    </row>
    <row r="2996" spans="2:33">
      <c r="B2996" s="29"/>
      <c r="D2996" s="29"/>
      <c r="E2996" s="20"/>
      <c r="F2996" s="20"/>
      <c r="AC2996" s="20"/>
      <c r="AG2996" s="29"/>
    </row>
    <row r="2997" spans="2:33">
      <c r="B2997" s="29"/>
      <c r="D2997" s="29"/>
      <c r="E2997" s="20"/>
      <c r="F2997" s="20"/>
      <c r="AC2997" s="20"/>
      <c r="AG2997" s="29"/>
    </row>
    <row r="2998" spans="2:33">
      <c r="B2998" s="29"/>
      <c r="D2998" s="29"/>
      <c r="E2998" s="20"/>
      <c r="F2998" s="20"/>
      <c r="AC2998" s="20"/>
      <c r="AG2998" s="29"/>
    </row>
    <row r="2999" spans="2:33">
      <c r="B2999" s="29"/>
      <c r="D2999" s="29"/>
      <c r="E2999" s="20"/>
      <c r="F2999" s="20"/>
      <c r="AC2999" s="20"/>
      <c r="AG2999" s="29"/>
    </row>
    <row r="3000" spans="2:33">
      <c r="B3000" s="29"/>
      <c r="D3000" s="29"/>
      <c r="E3000" s="20"/>
      <c r="F3000" s="20"/>
      <c r="AC3000" s="20"/>
      <c r="AG3000" s="29"/>
    </row>
    <row r="3001" spans="2:33">
      <c r="B3001" s="29"/>
      <c r="D3001" s="29"/>
      <c r="E3001" s="20"/>
      <c r="F3001" s="20"/>
      <c r="AC3001" s="20"/>
      <c r="AG3001" s="29"/>
    </row>
    <row r="3002" spans="2:33">
      <c r="B3002" s="29"/>
      <c r="D3002" s="29"/>
      <c r="E3002" s="20"/>
      <c r="F3002" s="20"/>
      <c r="AC3002" s="20"/>
      <c r="AG3002" s="29"/>
    </row>
    <row r="3003" spans="2:33">
      <c r="B3003" s="29"/>
      <c r="D3003" s="29"/>
      <c r="E3003" s="20"/>
      <c r="F3003" s="20"/>
      <c r="AC3003" s="20"/>
      <c r="AG3003" s="29"/>
    </row>
    <row r="3004" spans="2:33">
      <c r="B3004" s="29"/>
      <c r="D3004" s="29"/>
      <c r="E3004" s="20"/>
      <c r="F3004" s="20"/>
      <c r="AC3004" s="20"/>
      <c r="AG3004" s="29"/>
    </row>
    <row r="3005" spans="2:33">
      <c r="B3005" s="29"/>
      <c r="D3005" s="29"/>
      <c r="E3005" s="20"/>
      <c r="F3005" s="20"/>
      <c r="AC3005" s="20"/>
      <c r="AG3005" s="29"/>
    </row>
    <row r="3006" spans="2:33">
      <c r="B3006" s="29"/>
      <c r="D3006" s="29"/>
      <c r="E3006" s="20"/>
      <c r="F3006" s="20"/>
      <c r="AC3006" s="20"/>
      <c r="AG3006" s="29"/>
    </row>
    <row r="3007" spans="2:33">
      <c r="B3007" s="29"/>
      <c r="D3007" s="29"/>
      <c r="E3007" s="20"/>
      <c r="F3007" s="20"/>
      <c r="AC3007" s="20"/>
      <c r="AG3007" s="29"/>
    </row>
    <row r="3008" spans="2:33">
      <c r="B3008" s="29"/>
      <c r="D3008" s="29"/>
      <c r="E3008" s="20"/>
      <c r="F3008" s="20"/>
      <c r="AC3008" s="20"/>
      <c r="AG3008" s="29"/>
    </row>
    <row r="3009" spans="2:33">
      <c r="B3009" s="29"/>
      <c r="D3009" s="29"/>
      <c r="E3009" s="20"/>
      <c r="F3009" s="20"/>
      <c r="AC3009" s="20"/>
      <c r="AG3009" s="29"/>
    </row>
    <row r="3010" spans="2:33">
      <c r="B3010" s="29"/>
      <c r="D3010" s="29"/>
      <c r="E3010" s="20"/>
      <c r="F3010" s="20"/>
      <c r="AC3010" s="20"/>
      <c r="AG3010" s="29"/>
    </row>
    <row r="3011" spans="2:33">
      <c r="B3011" s="29"/>
      <c r="D3011" s="29"/>
      <c r="E3011" s="20"/>
      <c r="F3011" s="20"/>
      <c r="AC3011" s="20"/>
      <c r="AG3011" s="29"/>
    </row>
    <row r="3012" spans="2:33">
      <c r="B3012" s="29"/>
      <c r="D3012" s="29"/>
      <c r="E3012" s="20"/>
      <c r="F3012" s="20"/>
      <c r="AC3012" s="20"/>
      <c r="AG3012" s="29"/>
    </row>
    <row r="3013" spans="2:33">
      <c r="B3013" s="29"/>
      <c r="D3013" s="29"/>
      <c r="E3013" s="20"/>
      <c r="F3013" s="20"/>
      <c r="AC3013" s="20"/>
      <c r="AG3013" s="29"/>
    </row>
    <row r="3014" spans="2:33">
      <c r="B3014" s="29"/>
      <c r="D3014" s="29"/>
      <c r="E3014" s="20"/>
      <c r="F3014" s="20"/>
      <c r="AC3014" s="20"/>
      <c r="AG3014" s="29"/>
    </row>
    <row r="3015" spans="2:33">
      <c r="B3015" s="29"/>
      <c r="D3015" s="29"/>
      <c r="E3015" s="20"/>
      <c r="F3015" s="20"/>
      <c r="AC3015" s="20"/>
      <c r="AG3015" s="29"/>
    </row>
    <row r="3016" spans="2:33">
      <c r="B3016" s="29"/>
      <c r="D3016" s="29"/>
      <c r="E3016" s="20"/>
      <c r="F3016" s="20"/>
      <c r="AC3016" s="20"/>
      <c r="AG3016" s="29"/>
    </row>
    <row r="3017" spans="2:33">
      <c r="B3017" s="29"/>
      <c r="D3017" s="29"/>
      <c r="E3017" s="20"/>
      <c r="F3017" s="20"/>
      <c r="AC3017" s="20"/>
      <c r="AG3017" s="29"/>
    </row>
    <row r="3018" spans="2:33">
      <c r="B3018" s="29"/>
      <c r="D3018" s="29"/>
      <c r="E3018" s="20"/>
      <c r="F3018" s="20"/>
      <c r="AC3018" s="20"/>
      <c r="AG3018" s="29"/>
    </row>
    <row r="3019" spans="2:33">
      <c r="B3019" s="29"/>
      <c r="D3019" s="29"/>
      <c r="E3019" s="20"/>
      <c r="F3019" s="20"/>
      <c r="AC3019" s="20"/>
      <c r="AG3019" s="29"/>
    </row>
    <row r="3020" spans="2:33">
      <c r="B3020" s="29"/>
      <c r="D3020" s="29"/>
      <c r="E3020" s="20"/>
      <c r="F3020" s="20"/>
      <c r="AC3020" s="20"/>
      <c r="AG3020" s="29"/>
    </row>
    <row r="3021" spans="2:33">
      <c r="B3021" s="29"/>
      <c r="D3021" s="29"/>
      <c r="E3021" s="20"/>
      <c r="F3021" s="20"/>
      <c r="AC3021" s="20"/>
      <c r="AG3021" s="29"/>
    </row>
    <row r="3022" spans="2:33">
      <c r="B3022" s="29"/>
      <c r="D3022" s="29"/>
      <c r="E3022" s="20"/>
      <c r="F3022" s="20"/>
      <c r="AC3022" s="20"/>
      <c r="AG3022" s="29"/>
    </row>
    <row r="3023" spans="2:33">
      <c r="B3023" s="29"/>
      <c r="D3023" s="29"/>
      <c r="E3023" s="20"/>
      <c r="F3023" s="20"/>
      <c r="AC3023" s="20"/>
      <c r="AG3023" s="29"/>
    </row>
    <row r="3024" spans="2:33">
      <c r="B3024" s="29"/>
      <c r="D3024" s="29"/>
      <c r="E3024" s="20"/>
      <c r="F3024" s="20"/>
      <c r="AC3024" s="20"/>
      <c r="AG3024" s="29"/>
    </row>
    <row r="3025" spans="2:33">
      <c r="B3025" s="29"/>
      <c r="D3025" s="29"/>
      <c r="E3025" s="20"/>
      <c r="F3025" s="20"/>
      <c r="AC3025" s="20"/>
      <c r="AG3025" s="29"/>
    </row>
    <row r="3026" spans="2:33">
      <c r="B3026" s="29"/>
      <c r="D3026" s="29"/>
      <c r="E3026" s="20"/>
      <c r="F3026" s="20"/>
      <c r="AC3026" s="20"/>
      <c r="AG3026" s="29"/>
    </row>
    <row r="3027" spans="2:33">
      <c r="B3027" s="29"/>
      <c r="D3027" s="29"/>
      <c r="E3027" s="20"/>
      <c r="F3027" s="20"/>
      <c r="AC3027" s="20"/>
      <c r="AG3027" s="29"/>
    </row>
    <row r="3028" spans="2:33">
      <c r="B3028" s="29"/>
      <c r="D3028" s="29"/>
      <c r="E3028" s="20"/>
      <c r="F3028" s="20"/>
      <c r="AC3028" s="20"/>
      <c r="AG3028" s="29"/>
    </row>
    <row r="3029" spans="2:33">
      <c r="B3029" s="29"/>
      <c r="D3029" s="29"/>
      <c r="E3029" s="20"/>
      <c r="F3029" s="20"/>
      <c r="AC3029" s="20"/>
      <c r="AG3029" s="29"/>
    </row>
    <row r="3030" spans="2:33">
      <c r="B3030" s="29"/>
      <c r="D3030" s="29"/>
      <c r="E3030" s="20"/>
      <c r="F3030" s="20"/>
      <c r="AC3030" s="20"/>
      <c r="AG3030" s="29"/>
    </row>
    <row r="3031" spans="2:33">
      <c r="B3031" s="29"/>
      <c r="D3031" s="29"/>
      <c r="E3031" s="20"/>
      <c r="F3031" s="20"/>
      <c r="AC3031" s="20"/>
      <c r="AG3031" s="29"/>
    </row>
    <row r="3032" spans="2:33">
      <c r="B3032" s="29"/>
      <c r="D3032" s="29"/>
      <c r="E3032" s="20"/>
      <c r="F3032" s="20"/>
      <c r="AC3032" s="20"/>
      <c r="AG3032" s="29"/>
    </row>
    <row r="3033" spans="2:33">
      <c r="B3033" s="29"/>
      <c r="D3033" s="29"/>
      <c r="E3033" s="20"/>
      <c r="F3033" s="20"/>
      <c r="AC3033" s="20"/>
      <c r="AG3033" s="29"/>
    </row>
    <row r="3034" spans="2:33">
      <c r="B3034" s="29"/>
      <c r="D3034" s="29"/>
      <c r="E3034" s="20"/>
      <c r="F3034" s="20"/>
      <c r="AC3034" s="20"/>
      <c r="AG3034" s="29"/>
    </row>
    <row r="3035" spans="2:33">
      <c r="B3035" s="29"/>
      <c r="D3035" s="29"/>
      <c r="E3035" s="20"/>
      <c r="F3035" s="20"/>
      <c r="AC3035" s="20"/>
      <c r="AG3035" s="29"/>
    </row>
    <row r="3036" spans="2:33">
      <c r="B3036" s="29"/>
      <c r="D3036" s="29"/>
      <c r="E3036" s="20"/>
      <c r="F3036" s="20"/>
      <c r="AC3036" s="20"/>
      <c r="AG3036" s="29"/>
    </row>
    <row r="3037" spans="2:33">
      <c r="B3037" s="29"/>
      <c r="D3037" s="29"/>
      <c r="E3037" s="20"/>
      <c r="F3037" s="20"/>
      <c r="AC3037" s="20"/>
      <c r="AG3037" s="29"/>
    </row>
    <row r="3038" spans="2:33">
      <c r="B3038" s="29"/>
      <c r="D3038" s="29"/>
      <c r="E3038" s="20"/>
      <c r="F3038" s="20"/>
      <c r="AC3038" s="20"/>
      <c r="AG3038" s="29"/>
    </row>
    <row r="3039" spans="2:33">
      <c r="B3039" s="29"/>
      <c r="D3039" s="29"/>
      <c r="E3039" s="20"/>
      <c r="F3039" s="20"/>
      <c r="AC3039" s="20"/>
      <c r="AG3039" s="29"/>
    </row>
    <row r="3040" spans="2:33">
      <c r="B3040" s="29"/>
      <c r="D3040" s="29"/>
      <c r="E3040" s="20"/>
      <c r="F3040" s="20"/>
      <c r="AC3040" s="20"/>
      <c r="AG3040" s="29"/>
    </row>
    <row r="3041" spans="2:33">
      <c r="B3041" s="29"/>
      <c r="D3041" s="29"/>
      <c r="E3041" s="20"/>
      <c r="F3041" s="20"/>
      <c r="AC3041" s="20"/>
      <c r="AG3041" s="29"/>
    </row>
    <row r="3042" spans="2:33">
      <c r="B3042" s="29"/>
      <c r="D3042" s="29"/>
      <c r="E3042" s="20"/>
      <c r="F3042" s="20"/>
      <c r="AC3042" s="20"/>
      <c r="AG3042" s="29"/>
    </row>
    <row r="3043" spans="2:33">
      <c r="B3043" s="29"/>
      <c r="D3043" s="29"/>
      <c r="E3043" s="20"/>
      <c r="F3043" s="20"/>
      <c r="AC3043" s="20"/>
      <c r="AG3043" s="29"/>
    </row>
    <row r="3044" spans="2:33">
      <c r="B3044" s="29"/>
      <c r="D3044" s="29"/>
      <c r="E3044" s="20"/>
      <c r="F3044" s="20"/>
      <c r="AC3044" s="20"/>
      <c r="AG3044" s="29"/>
    </row>
    <row r="3045" spans="2:33">
      <c r="B3045" s="29"/>
      <c r="D3045" s="29"/>
      <c r="E3045" s="20"/>
      <c r="F3045" s="20"/>
      <c r="AC3045" s="20"/>
      <c r="AG3045" s="29"/>
    </row>
    <row r="3046" spans="2:33">
      <c r="B3046" s="29"/>
      <c r="D3046" s="29"/>
      <c r="E3046" s="20"/>
      <c r="F3046" s="20"/>
      <c r="AC3046" s="20"/>
      <c r="AG3046" s="29"/>
    </row>
    <row r="3047" spans="2:33">
      <c r="B3047" s="29"/>
      <c r="D3047" s="29"/>
      <c r="E3047" s="20"/>
      <c r="F3047" s="20"/>
      <c r="AC3047" s="20"/>
      <c r="AG3047" s="29"/>
    </row>
    <row r="3048" spans="2:33">
      <c r="B3048" s="29"/>
      <c r="D3048" s="29"/>
      <c r="E3048" s="20"/>
      <c r="F3048" s="20"/>
      <c r="AC3048" s="20"/>
      <c r="AG3048" s="29"/>
    </row>
    <row r="3049" spans="2:33">
      <c r="B3049" s="29"/>
      <c r="D3049" s="29"/>
      <c r="E3049" s="20"/>
      <c r="F3049" s="20"/>
      <c r="AC3049" s="20"/>
      <c r="AG3049" s="29"/>
    </row>
    <row r="3050" spans="2:33">
      <c r="B3050" s="29"/>
      <c r="D3050" s="29"/>
      <c r="E3050" s="20"/>
      <c r="F3050" s="20"/>
      <c r="AC3050" s="20"/>
      <c r="AG3050" s="29"/>
    </row>
    <row r="3051" spans="2:33">
      <c r="B3051" s="29"/>
      <c r="D3051" s="29"/>
      <c r="E3051" s="20"/>
      <c r="F3051" s="20"/>
      <c r="AC3051" s="20"/>
      <c r="AG3051" s="29"/>
    </row>
    <row r="3052" spans="2:33">
      <c r="B3052" s="29"/>
      <c r="D3052" s="29"/>
      <c r="E3052" s="20"/>
      <c r="F3052" s="20"/>
      <c r="AC3052" s="20"/>
      <c r="AG3052" s="29"/>
    </row>
    <row r="3053" spans="2:33">
      <c r="B3053" s="29"/>
      <c r="D3053" s="29"/>
      <c r="E3053" s="20"/>
      <c r="F3053" s="20"/>
      <c r="AC3053" s="20"/>
      <c r="AG3053" s="29"/>
    </row>
    <row r="3054" spans="2:33">
      <c r="B3054" s="29"/>
      <c r="D3054" s="29"/>
      <c r="E3054" s="20"/>
      <c r="F3054" s="20"/>
      <c r="AC3054" s="20"/>
      <c r="AG3054" s="29"/>
    </row>
    <row r="3055" spans="2:33">
      <c r="B3055" s="29"/>
      <c r="D3055" s="29"/>
      <c r="E3055" s="20"/>
      <c r="F3055" s="20"/>
      <c r="AC3055" s="20"/>
      <c r="AG3055" s="29"/>
    </row>
    <row r="3056" spans="2:33">
      <c r="B3056" s="29"/>
      <c r="D3056" s="29"/>
      <c r="E3056" s="20"/>
      <c r="F3056" s="20"/>
      <c r="AC3056" s="20"/>
      <c r="AG3056" s="29"/>
    </row>
    <row r="3057" spans="2:33">
      <c r="B3057" s="29"/>
      <c r="D3057" s="29"/>
      <c r="E3057" s="20"/>
      <c r="F3057" s="20"/>
      <c r="AC3057" s="20"/>
      <c r="AG3057" s="29"/>
    </row>
    <row r="3058" spans="2:33">
      <c r="B3058" s="29"/>
      <c r="D3058" s="29"/>
      <c r="E3058" s="20"/>
      <c r="F3058" s="20"/>
      <c r="AC3058" s="20"/>
      <c r="AG3058" s="29"/>
    </row>
    <row r="3059" spans="2:33">
      <c r="B3059" s="29"/>
      <c r="D3059" s="29"/>
      <c r="E3059" s="20"/>
      <c r="F3059" s="20"/>
      <c r="AC3059" s="20"/>
      <c r="AG3059" s="29"/>
    </row>
    <row r="3060" spans="2:33">
      <c r="B3060" s="29"/>
      <c r="D3060" s="29"/>
      <c r="E3060" s="20"/>
      <c r="F3060" s="20"/>
      <c r="AC3060" s="20"/>
      <c r="AG3060" s="29"/>
    </row>
    <row r="3061" spans="2:33">
      <c r="B3061" s="29"/>
      <c r="D3061" s="29"/>
      <c r="E3061" s="20"/>
      <c r="F3061" s="20"/>
      <c r="AC3061" s="20"/>
      <c r="AG3061" s="29"/>
    </row>
    <row r="3062" spans="2:33">
      <c r="B3062" s="29"/>
      <c r="D3062" s="29"/>
      <c r="E3062" s="20"/>
      <c r="F3062" s="20"/>
      <c r="AC3062" s="20"/>
      <c r="AG3062" s="29"/>
    </row>
    <row r="3063" spans="2:33">
      <c r="B3063" s="29"/>
      <c r="D3063" s="29"/>
      <c r="E3063" s="20"/>
      <c r="F3063" s="20"/>
      <c r="AC3063" s="20"/>
      <c r="AG3063" s="29"/>
    </row>
    <row r="3064" spans="2:33">
      <c r="B3064" s="29"/>
      <c r="D3064" s="29"/>
      <c r="E3064" s="20"/>
      <c r="F3064" s="20"/>
      <c r="AC3064" s="20"/>
      <c r="AG3064" s="29"/>
    </row>
    <row r="3065" spans="2:33">
      <c r="B3065" s="29"/>
      <c r="D3065" s="29"/>
      <c r="E3065" s="20"/>
      <c r="F3065" s="20"/>
      <c r="AC3065" s="20"/>
      <c r="AG3065" s="29"/>
    </row>
    <row r="3066" spans="2:33">
      <c r="B3066" s="29"/>
      <c r="D3066" s="29"/>
      <c r="E3066" s="20"/>
      <c r="F3066" s="20"/>
      <c r="AC3066" s="20"/>
      <c r="AG3066" s="29"/>
    </row>
    <row r="3067" spans="2:33">
      <c r="B3067" s="29"/>
      <c r="D3067" s="29"/>
      <c r="E3067" s="20"/>
      <c r="F3067" s="20"/>
      <c r="AC3067" s="20"/>
      <c r="AG3067" s="29"/>
    </row>
    <row r="3068" spans="2:33">
      <c r="B3068" s="29"/>
      <c r="D3068" s="29"/>
      <c r="E3068" s="20"/>
      <c r="F3068" s="20"/>
      <c r="AC3068" s="20"/>
      <c r="AG3068" s="29"/>
    </row>
    <row r="3069" spans="2:33">
      <c r="B3069" s="29"/>
      <c r="D3069" s="29"/>
      <c r="E3069" s="20"/>
      <c r="F3069" s="20"/>
      <c r="AC3069" s="20"/>
      <c r="AG3069" s="29"/>
    </row>
    <row r="3070" spans="2:33">
      <c r="B3070" s="29"/>
      <c r="D3070" s="29"/>
      <c r="E3070" s="20"/>
      <c r="F3070" s="20"/>
      <c r="AC3070" s="20"/>
      <c r="AG3070" s="29"/>
    </row>
    <row r="3071" spans="2:33">
      <c r="B3071" s="29"/>
      <c r="D3071" s="29"/>
      <c r="E3071" s="20"/>
      <c r="F3071" s="20"/>
      <c r="AC3071" s="20"/>
      <c r="AG3071" s="29"/>
    </row>
    <row r="3072" spans="2:33">
      <c r="B3072" s="29"/>
      <c r="D3072" s="29"/>
      <c r="E3072" s="20"/>
      <c r="F3072" s="20"/>
      <c r="AC3072" s="20"/>
      <c r="AG3072" s="29"/>
    </row>
    <row r="3073" spans="2:33">
      <c r="B3073" s="29"/>
      <c r="D3073" s="29"/>
      <c r="E3073" s="20"/>
      <c r="F3073" s="20"/>
      <c r="AC3073" s="20"/>
      <c r="AG3073" s="29"/>
    </row>
    <row r="3074" spans="2:33">
      <c r="B3074" s="29"/>
      <c r="D3074" s="29"/>
      <c r="E3074" s="20"/>
      <c r="F3074" s="20"/>
      <c r="AC3074" s="20"/>
      <c r="AG3074" s="29"/>
    </row>
    <row r="3075" spans="2:33">
      <c r="B3075" s="29"/>
      <c r="D3075" s="29"/>
      <c r="E3075" s="20"/>
      <c r="F3075" s="20"/>
      <c r="AC3075" s="20"/>
      <c r="AG3075" s="29"/>
    </row>
    <row r="3076" spans="2:33">
      <c r="B3076" s="29"/>
      <c r="D3076" s="29"/>
      <c r="E3076" s="20"/>
      <c r="F3076" s="20"/>
      <c r="AC3076" s="20"/>
      <c r="AG3076" s="29"/>
    </row>
    <row r="3077" spans="2:33">
      <c r="B3077" s="29"/>
      <c r="D3077" s="29"/>
      <c r="E3077" s="20"/>
      <c r="F3077" s="20"/>
      <c r="AC3077" s="20"/>
      <c r="AG3077" s="29"/>
    </row>
    <row r="3078" spans="2:33">
      <c r="B3078" s="29"/>
      <c r="D3078" s="29"/>
      <c r="E3078" s="20"/>
      <c r="F3078" s="20"/>
      <c r="AC3078" s="20"/>
      <c r="AG3078" s="29"/>
    </row>
    <row r="3079" spans="2:33">
      <c r="B3079" s="29"/>
      <c r="D3079" s="29"/>
      <c r="E3079" s="20"/>
      <c r="F3079" s="20"/>
      <c r="AC3079" s="20"/>
      <c r="AG3079" s="29"/>
    </row>
    <row r="3080" spans="2:33">
      <c r="B3080" s="29"/>
      <c r="D3080" s="29"/>
      <c r="E3080" s="20"/>
      <c r="F3080" s="20"/>
      <c r="AC3080" s="20"/>
      <c r="AG3080" s="29"/>
    </row>
    <row r="3081" spans="2:33">
      <c r="B3081" s="29"/>
      <c r="D3081" s="29"/>
      <c r="E3081" s="20"/>
      <c r="F3081" s="20"/>
      <c r="AC3081" s="20"/>
      <c r="AG3081" s="29"/>
    </row>
    <row r="3082" spans="2:33">
      <c r="B3082" s="29"/>
      <c r="D3082" s="29"/>
      <c r="E3082" s="20"/>
      <c r="F3082" s="20"/>
      <c r="AC3082" s="20"/>
      <c r="AG3082" s="29"/>
    </row>
    <row r="3083" spans="2:33">
      <c r="B3083" s="29"/>
      <c r="D3083" s="29"/>
      <c r="E3083" s="20"/>
      <c r="F3083" s="20"/>
      <c r="AC3083" s="20"/>
      <c r="AG3083" s="29"/>
    </row>
    <row r="3084" spans="2:33">
      <c r="B3084" s="29"/>
      <c r="D3084" s="29"/>
      <c r="E3084" s="20"/>
      <c r="F3084" s="20"/>
      <c r="AC3084" s="20"/>
      <c r="AG3084" s="29"/>
    </row>
    <row r="3085" spans="2:33">
      <c r="B3085" s="29"/>
      <c r="D3085" s="29"/>
      <c r="E3085" s="20"/>
      <c r="F3085" s="20"/>
      <c r="AC3085" s="20"/>
      <c r="AG3085" s="29"/>
    </row>
    <row r="3086" spans="2:33">
      <c r="B3086" s="29"/>
      <c r="D3086" s="29"/>
      <c r="E3086" s="20"/>
      <c r="F3086" s="20"/>
      <c r="AC3086" s="20"/>
      <c r="AG3086" s="29"/>
    </row>
    <row r="3087" spans="2:33">
      <c r="B3087" s="29"/>
      <c r="D3087" s="29"/>
      <c r="E3087" s="20"/>
      <c r="F3087" s="20"/>
      <c r="AC3087" s="20"/>
      <c r="AG3087" s="29"/>
    </row>
    <row r="3088" spans="2:33">
      <c r="B3088" s="29"/>
      <c r="D3088" s="29"/>
      <c r="E3088" s="20"/>
      <c r="F3088" s="20"/>
      <c r="AC3088" s="20"/>
      <c r="AG3088" s="29"/>
    </row>
    <row r="3089" spans="2:33">
      <c r="B3089" s="29"/>
      <c r="D3089" s="29"/>
      <c r="E3089" s="20"/>
      <c r="F3089" s="20"/>
      <c r="AC3089" s="20"/>
      <c r="AG3089" s="29"/>
    </row>
    <row r="3090" spans="2:33">
      <c r="B3090" s="29"/>
      <c r="D3090" s="29"/>
      <c r="E3090" s="20"/>
      <c r="F3090" s="20"/>
      <c r="AC3090" s="20"/>
      <c r="AG3090" s="29"/>
    </row>
    <row r="3091" spans="2:33">
      <c r="B3091" s="29"/>
      <c r="D3091" s="29"/>
      <c r="E3091" s="20"/>
      <c r="F3091" s="20"/>
      <c r="AC3091" s="20"/>
      <c r="AG3091" s="29"/>
    </row>
    <row r="3092" spans="2:33">
      <c r="B3092" s="29"/>
      <c r="D3092" s="29"/>
      <c r="E3092" s="20"/>
      <c r="F3092" s="20"/>
      <c r="AC3092" s="20"/>
      <c r="AG3092" s="29"/>
    </row>
    <row r="3093" spans="2:33">
      <c r="B3093" s="29"/>
      <c r="D3093" s="29"/>
      <c r="E3093" s="20"/>
      <c r="F3093" s="20"/>
      <c r="AC3093" s="20"/>
      <c r="AG3093" s="29"/>
    </row>
    <row r="3094" spans="2:33">
      <c r="B3094" s="29"/>
      <c r="D3094" s="29"/>
      <c r="E3094" s="20"/>
      <c r="F3094" s="20"/>
      <c r="AC3094" s="20"/>
      <c r="AG3094" s="29"/>
    </row>
    <row r="3095" spans="2:33">
      <c r="B3095" s="29"/>
      <c r="D3095" s="29"/>
      <c r="E3095" s="20"/>
      <c r="F3095" s="20"/>
      <c r="AC3095" s="20"/>
      <c r="AG3095" s="29"/>
    </row>
    <row r="3096" spans="2:33">
      <c r="B3096" s="29"/>
      <c r="D3096" s="29"/>
      <c r="E3096" s="20"/>
      <c r="F3096" s="20"/>
      <c r="AC3096" s="20"/>
      <c r="AG3096" s="29"/>
    </row>
    <row r="3097" spans="2:33">
      <c r="B3097" s="29"/>
      <c r="D3097" s="29"/>
      <c r="E3097" s="20"/>
      <c r="F3097" s="20"/>
      <c r="AC3097" s="20"/>
      <c r="AG3097" s="29"/>
    </row>
    <row r="3098" spans="2:33">
      <c r="B3098" s="29"/>
      <c r="D3098" s="29"/>
      <c r="E3098" s="20"/>
      <c r="F3098" s="20"/>
      <c r="AC3098" s="20"/>
      <c r="AG3098" s="29"/>
    </row>
    <row r="3099" spans="2:33">
      <c r="B3099" s="29"/>
      <c r="D3099" s="29"/>
      <c r="E3099" s="20"/>
      <c r="F3099" s="20"/>
      <c r="AC3099" s="20"/>
      <c r="AG3099" s="29"/>
    </row>
    <row r="3100" spans="2:33">
      <c r="B3100" s="29"/>
      <c r="D3100" s="29"/>
      <c r="E3100" s="20"/>
      <c r="F3100" s="20"/>
      <c r="AC3100" s="20"/>
      <c r="AG3100" s="29"/>
    </row>
    <row r="3101" spans="2:33">
      <c r="B3101" s="29"/>
      <c r="D3101" s="29"/>
      <c r="E3101" s="20"/>
      <c r="F3101" s="20"/>
      <c r="AC3101" s="20"/>
      <c r="AG3101" s="29"/>
    </row>
    <row r="3102" spans="2:33">
      <c r="B3102" s="29"/>
      <c r="D3102" s="29"/>
      <c r="E3102" s="20"/>
      <c r="F3102" s="20"/>
      <c r="AC3102" s="20"/>
      <c r="AG3102" s="29"/>
    </row>
    <row r="3103" spans="2:33">
      <c r="B3103" s="29"/>
      <c r="D3103" s="29"/>
      <c r="E3103" s="20"/>
      <c r="F3103" s="20"/>
      <c r="AC3103" s="20"/>
      <c r="AG3103" s="29"/>
    </row>
    <row r="3104" spans="2:33">
      <c r="B3104" s="29"/>
      <c r="D3104" s="29"/>
      <c r="E3104" s="20"/>
      <c r="F3104" s="20"/>
      <c r="AC3104" s="20"/>
      <c r="AG3104" s="29"/>
    </row>
    <row r="3105" spans="2:33">
      <c r="B3105" s="29"/>
      <c r="D3105" s="29"/>
      <c r="E3105" s="20"/>
      <c r="F3105" s="20"/>
      <c r="AC3105" s="20"/>
      <c r="AG3105" s="29"/>
    </row>
    <row r="3106" spans="2:33">
      <c r="B3106" s="29"/>
      <c r="D3106" s="29"/>
      <c r="E3106" s="20"/>
      <c r="F3106" s="20"/>
      <c r="AC3106" s="20"/>
      <c r="AG3106" s="29"/>
    </row>
    <row r="3107" spans="2:33">
      <c r="B3107" s="29"/>
      <c r="D3107" s="29"/>
      <c r="E3107" s="20"/>
      <c r="F3107" s="20"/>
      <c r="AC3107" s="20"/>
      <c r="AG3107" s="29"/>
    </row>
    <row r="3108" spans="2:33">
      <c r="B3108" s="29"/>
      <c r="D3108" s="29"/>
      <c r="E3108" s="20"/>
      <c r="F3108" s="20"/>
      <c r="AC3108" s="20"/>
      <c r="AG3108" s="29"/>
    </row>
    <row r="3109" spans="2:33">
      <c r="B3109" s="29"/>
      <c r="D3109" s="29"/>
      <c r="E3109" s="20"/>
      <c r="F3109" s="20"/>
      <c r="AC3109" s="20"/>
      <c r="AG3109" s="29"/>
    </row>
    <row r="3110" spans="2:33">
      <c r="B3110" s="29"/>
      <c r="D3110" s="29"/>
      <c r="E3110" s="20"/>
      <c r="F3110" s="20"/>
      <c r="AC3110" s="20"/>
      <c r="AG3110" s="29"/>
    </row>
    <row r="3111" spans="2:33">
      <c r="B3111" s="29"/>
      <c r="D3111" s="29"/>
      <c r="E3111" s="20"/>
      <c r="F3111" s="20"/>
      <c r="AC3111" s="20"/>
      <c r="AG3111" s="29"/>
    </row>
    <row r="3112" spans="2:33">
      <c r="B3112" s="29"/>
      <c r="D3112" s="29"/>
      <c r="E3112" s="20"/>
      <c r="F3112" s="20"/>
      <c r="AC3112" s="20"/>
      <c r="AG3112" s="29"/>
    </row>
    <row r="3113" spans="2:33">
      <c r="B3113" s="29"/>
      <c r="D3113" s="29"/>
      <c r="E3113" s="20"/>
      <c r="F3113" s="20"/>
      <c r="AC3113" s="20"/>
      <c r="AG3113" s="29"/>
    </row>
    <row r="3114" spans="2:33">
      <c r="B3114" s="29"/>
      <c r="D3114" s="29"/>
      <c r="E3114" s="20"/>
      <c r="F3114" s="20"/>
      <c r="AC3114" s="20"/>
      <c r="AG3114" s="29"/>
    </row>
    <row r="3115" spans="2:33">
      <c r="B3115" s="29"/>
      <c r="D3115" s="29"/>
      <c r="E3115" s="20"/>
      <c r="F3115" s="20"/>
      <c r="AC3115" s="20"/>
      <c r="AG3115" s="29"/>
    </row>
    <row r="3116" spans="2:33">
      <c r="B3116" s="29"/>
      <c r="D3116" s="29"/>
      <c r="E3116" s="20"/>
      <c r="F3116" s="20"/>
      <c r="AC3116" s="20"/>
      <c r="AG3116" s="29"/>
    </row>
    <row r="3117" spans="2:33">
      <c r="B3117" s="29"/>
      <c r="D3117" s="29"/>
      <c r="E3117" s="20"/>
      <c r="F3117" s="20"/>
      <c r="AC3117" s="20"/>
      <c r="AG3117" s="29"/>
    </row>
    <row r="3118" spans="2:33">
      <c r="B3118" s="29"/>
      <c r="D3118" s="29"/>
      <c r="E3118" s="20"/>
      <c r="F3118" s="20"/>
      <c r="AC3118" s="20"/>
      <c r="AG3118" s="29"/>
    </row>
    <row r="3119" spans="2:33">
      <c r="B3119" s="29"/>
      <c r="D3119" s="29"/>
      <c r="E3119" s="20"/>
      <c r="F3119" s="20"/>
      <c r="AC3119" s="20"/>
      <c r="AG3119" s="29"/>
    </row>
    <row r="3120" spans="2:33">
      <c r="B3120" s="29"/>
      <c r="D3120" s="29"/>
      <c r="E3120" s="20"/>
      <c r="F3120" s="20"/>
      <c r="AC3120" s="20"/>
      <c r="AG3120" s="29"/>
    </row>
    <row r="3121" spans="2:33">
      <c r="B3121" s="29"/>
      <c r="D3121" s="29"/>
      <c r="E3121" s="20"/>
      <c r="F3121" s="20"/>
      <c r="AC3121" s="20"/>
      <c r="AG3121" s="29"/>
    </row>
    <row r="3122" spans="2:33">
      <c r="B3122" s="29"/>
      <c r="D3122" s="29"/>
      <c r="E3122" s="20"/>
      <c r="F3122" s="20"/>
      <c r="AC3122" s="20"/>
      <c r="AG3122" s="29"/>
    </row>
    <row r="3123" spans="2:33">
      <c r="B3123" s="29"/>
      <c r="D3123" s="29"/>
      <c r="E3123" s="20"/>
      <c r="F3123" s="20"/>
      <c r="AC3123" s="20"/>
      <c r="AG3123" s="29"/>
    </row>
    <row r="3124" spans="2:33">
      <c r="B3124" s="29"/>
      <c r="D3124" s="29"/>
      <c r="E3124" s="20"/>
      <c r="F3124" s="20"/>
      <c r="AC3124" s="20"/>
      <c r="AG3124" s="29"/>
    </row>
    <row r="3125" spans="2:33">
      <c r="B3125" s="29"/>
      <c r="D3125" s="29"/>
      <c r="E3125" s="20"/>
      <c r="F3125" s="20"/>
      <c r="AC3125" s="20"/>
      <c r="AG3125" s="29"/>
    </row>
    <row r="3126" spans="2:33">
      <c r="B3126" s="29"/>
      <c r="D3126" s="29"/>
      <c r="E3126" s="20"/>
      <c r="F3126" s="20"/>
      <c r="AC3126" s="20"/>
      <c r="AG3126" s="29"/>
    </row>
    <row r="3127" spans="2:33">
      <c r="B3127" s="29"/>
      <c r="D3127" s="29"/>
      <c r="E3127" s="20"/>
      <c r="F3127" s="20"/>
      <c r="AC3127" s="20"/>
      <c r="AG3127" s="29"/>
    </row>
    <row r="3128" spans="2:33">
      <c r="B3128" s="29"/>
      <c r="D3128" s="29"/>
      <c r="E3128" s="20"/>
      <c r="F3128" s="20"/>
      <c r="AC3128" s="20"/>
      <c r="AG3128" s="29"/>
    </row>
    <row r="3129" spans="2:33">
      <c r="B3129" s="29"/>
      <c r="D3129" s="29"/>
      <c r="E3129" s="20"/>
      <c r="F3129" s="20"/>
      <c r="AC3129" s="20"/>
      <c r="AG3129" s="29"/>
    </row>
    <row r="3130" spans="2:33">
      <c r="B3130" s="29"/>
      <c r="D3130" s="29"/>
      <c r="E3130" s="20"/>
      <c r="F3130" s="20"/>
      <c r="AC3130" s="20"/>
      <c r="AG3130" s="29"/>
    </row>
    <row r="3131" spans="2:33">
      <c r="B3131" s="29"/>
      <c r="D3131" s="29"/>
      <c r="E3131" s="20"/>
      <c r="F3131" s="20"/>
      <c r="AC3131" s="20"/>
      <c r="AG3131" s="29"/>
    </row>
    <row r="3132" spans="2:33">
      <c r="B3132" s="29"/>
      <c r="D3132" s="29"/>
      <c r="E3132" s="20"/>
      <c r="F3132" s="20"/>
      <c r="AC3132" s="20"/>
      <c r="AG3132" s="29"/>
    </row>
    <row r="3133" spans="2:33">
      <c r="B3133" s="29"/>
      <c r="D3133" s="29"/>
      <c r="E3133" s="20"/>
      <c r="F3133" s="20"/>
      <c r="AC3133" s="20"/>
      <c r="AG3133" s="29"/>
    </row>
    <row r="3134" spans="2:33">
      <c r="B3134" s="29"/>
      <c r="D3134" s="29"/>
      <c r="E3134" s="20"/>
      <c r="F3134" s="20"/>
      <c r="AC3134" s="20"/>
      <c r="AG3134" s="29"/>
    </row>
    <row r="3135" spans="2:33">
      <c r="B3135" s="29"/>
      <c r="D3135" s="29"/>
      <c r="E3135" s="20"/>
      <c r="F3135" s="20"/>
      <c r="AC3135" s="20"/>
      <c r="AG3135" s="29"/>
    </row>
    <row r="3136" spans="2:33">
      <c r="B3136" s="29"/>
      <c r="D3136" s="29"/>
      <c r="E3136" s="20"/>
      <c r="F3136" s="20"/>
      <c r="AC3136" s="20"/>
      <c r="AG3136" s="29"/>
    </row>
    <row r="3137" spans="2:33">
      <c r="B3137" s="29"/>
      <c r="D3137" s="29"/>
      <c r="E3137" s="20"/>
      <c r="F3137" s="20"/>
      <c r="AC3137" s="20"/>
      <c r="AG3137" s="29"/>
    </row>
    <row r="3138" spans="2:33">
      <c r="B3138" s="29"/>
      <c r="D3138" s="29"/>
      <c r="E3138" s="20"/>
      <c r="F3138" s="20"/>
      <c r="AC3138" s="20"/>
      <c r="AG3138" s="29"/>
    </row>
    <row r="3139" spans="2:33">
      <c r="B3139" s="29"/>
      <c r="D3139" s="29"/>
      <c r="E3139" s="20"/>
      <c r="F3139" s="20"/>
      <c r="AC3139" s="20"/>
      <c r="AG3139" s="29"/>
    </row>
    <row r="3140" spans="2:33">
      <c r="B3140" s="29"/>
      <c r="D3140" s="29"/>
      <c r="E3140" s="20"/>
      <c r="F3140" s="20"/>
      <c r="AC3140" s="20"/>
      <c r="AG3140" s="29"/>
    </row>
    <row r="3141" spans="2:33">
      <c r="B3141" s="29"/>
      <c r="D3141" s="29"/>
      <c r="E3141" s="20"/>
      <c r="F3141" s="20"/>
      <c r="AC3141" s="20"/>
      <c r="AG3141" s="29"/>
    </row>
    <row r="3142" spans="2:33">
      <c r="B3142" s="29"/>
      <c r="D3142" s="29"/>
      <c r="E3142" s="20"/>
      <c r="F3142" s="20"/>
      <c r="AC3142" s="20"/>
      <c r="AG3142" s="29"/>
    </row>
    <row r="3143" spans="2:33">
      <c r="B3143" s="29"/>
      <c r="D3143" s="29"/>
      <c r="E3143" s="20"/>
      <c r="F3143" s="20"/>
      <c r="AC3143" s="20"/>
      <c r="AG3143" s="29"/>
    </row>
    <row r="3144" spans="2:33">
      <c r="B3144" s="29"/>
      <c r="D3144" s="29"/>
      <c r="E3144" s="20"/>
      <c r="F3144" s="20"/>
      <c r="AC3144" s="20"/>
      <c r="AG3144" s="29"/>
    </row>
    <row r="3145" spans="2:33">
      <c r="B3145" s="29"/>
      <c r="D3145" s="29"/>
      <c r="E3145" s="20"/>
      <c r="F3145" s="20"/>
      <c r="AC3145" s="20"/>
      <c r="AG3145" s="29"/>
    </row>
    <row r="3146" spans="2:33">
      <c r="B3146" s="29"/>
      <c r="D3146" s="29"/>
      <c r="E3146" s="20"/>
      <c r="F3146" s="20"/>
      <c r="AC3146" s="20"/>
      <c r="AG3146" s="29"/>
    </row>
    <row r="3147" spans="2:33">
      <c r="B3147" s="29"/>
      <c r="D3147" s="29"/>
      <c r="E3147" s="20"/>
      <c r="F3147" s="20"/>
      <c r="AC3147" s="20"/>
      <c r="AG3147" s="29"/>
    </row>
    <row r="3148" spans="2:33">
      <c r="B3148" s="29"/>
      <c r="D3148" s="29"/>
      <c r="E3148" s="20"/>
      <c r="F3148" s="20"/>
      <c r="AC3148" s="20"/>
      <c r="AG3148" s="29"/>
    </row>
    <row r="3149" spans="2:33">
      <c r="B3149" s="29"/>
      <c r="D3149" s="29"/>
      <c r="E3149" s="20"/>
      <c r="F3149" s="20"/>
      <c r="AC3149" s="20"/>
      <c r="AG3149" s="29"/>
    </row>
    <row r="3150" spans="2:33">
      <c r="B3150" s="29"/>
      <c r="D3150" s="29"/>
      <c r="E3150" s="20"/>
      <c r="F3150" s="20"/>
      <c r="AC3150" s="20"/>
      <c r="AG3150" s="29"/>
    </row>
    <row r="3151" spans="2:33">
      <c r="B3151" s="29"/>
      <c r="D3151" s="29"/>
      <c r="E3151" s="20"/>
      <c r="F3151" s="20"/>
      <c r="AC3151" s="20"/>
      <c r="AG3151" s="29"/>
    </row>
    <row r="3152" spans="2:33">
      <c r="B3152" s="29"/>
      <c r="D3152" s="29"/>
      <c r="E3152" s="20"/>
      <c r="F3152" s="20"/>
      <c r="AC3152" s="20"/>
      <c r="AG3152" s="29"/>
    </row>
    <row r="3153" spans="2:33">
      <c r="B3153" s="29"/>
      <c r="D3153" s="29"/>
      <c r="E3153" s="20"/>
      <c r="F3153" s="20"/>
      <c r="AC3153" s="20"/>
      <c r="AG3153" s="29"/>
    </row>
    <row r="3154" spans="2:33">
      <c r="B3154" s="29"/>
      <c r="D3154" s="29"/>
      <c r="E3154" s="20"/>
      <c r="F3154" s="20"/>
      <c r="AC3154" s="20"/>
      <c r="AG3154" s="29"/>
    </row>
    <row r="3155" spans="2:33">
      <c r="B3155" s="29"/>
      <c r="D3155" s="29"/>
      <c r="E3155" s="20"/>
      <c r="F3155" s="20"/>
      <c r="AC3155" s="20"/>
      <c r="AG3155" s="29"/>
    </row>
    <row r="3156" spans="2:33">
      <c r="B3156" s="29"/>
      <c r="D3156" s="29"/>
      <c r="E3156" s="20"/>
      <c r="F3156" s="20"/>
      <c r="AC3156" s="20"/>
      <c r="AG3156" s="29"/>
    </row>
    <row r="3157" spans="2:33">
      <c r="B3157" s="29"/>
      <c r="D3157" s="29"/>
      <c r="E3157" s="20"/>
      <c r="F3157" s="20"/>
      <c r="AC3157" s="20"/>
      <c r="AG3157" s="29"/>
    </row>
    <row r="3158" spans="2:33">
      <c r="B3158" s="29"/>
      <c r="D3158" s="29"/>
      <c r="E3158" s="20"/>
      <c r="F3158" s="20"/>
      <c r="AC3158" s="20"/>
      <c r="AG3158" s="29"/>
    </row>
    <row r="3159" spans="2:33">
      <c r="B3159" s="29"/>
      <c r="D3159" s="29"/>
      <c r="E3159" s="20"/>
      <c r="F3159" s="20"/>
      <c r="AC3159" s="20"/>
      <c r="AG3159" s="29"/>
    </row>
    <row r="3160" spans="2:33">
      <c r="B3160" s="29"/>
      <c r="D3160" s="29"/>
      <c r="E3160" s="20"/>
      <c r="F3160" s="20"/>
      <c r="AC3160" s="20"/>
      <c r="AG3160" s="29"/>
    </row>
    <row r="3161" spans="2:33">
      <c r="B3161" s="29"/>
      <c r="D3161" s="29"/>
      <c r="E3161" s="20"/>
      <c r="F3161" s="20"/>
      <c r="AC3161" s="20"/>
      <c r="AG3161" s="29"/>
    </row>
    <row r="3162" spans="2:33">
      <c r="B3162" s="29"/>
      <c r="D3162" s="29"/>
      <c r="E3162" s="20"/>
      <c r="F3162" s="20"/>
      <c r="AC3162" s="20"/>
      <c r="AG3162" s="29"/>
    </row>
    <row r="3163" spans="2:33">
      <c r="B3163" s="29"/>
      <c r="D3163" s="29"/>
      <c r="E3163" s="20"/>
      <c r="F3163" s="20"/>
      <c r="AC3163" s="20"/>
      <c r="AG3163" s="29"/>
    </row>
    <row r="3164" spans="2:33">
      <c r="B3164" s="29"/>
      <c r="D3164" s="29"/>
      <c r="E3164" s="20"/>
      <c r="F3164" s="20"/>
      <c r="AC3164" s="20"/>
      <c r="AG3164" s="29"/>
    </row>
    <row r="3165" spans="2:33">
      <c r="B3165" s="29"/>
      <c r="D3165" s="29"/>
      <c r="E3165" s="20"/>
      <c r="F3165" s="20"/>
      <c r="AC3165" s="20"/>
      <c r="AG3165" s="29"/>
    </row>
    <row r="3166" spans="2:33">
      <c r="B3166" s="29"/>
      <c r="D3166" s="29"/>
      <c r="E3166" s="20"/>
      <c r="F3166" s="20"/>
      <c r="AC3166" s="20"/>
      <c r="AG3166" s="29"/>
    </row>
    <row r="3167" spans="2:33">
      <c r="B3167" s="29"/>
      <c r="D3167" s="29"/>
      <c r="E3167" s="20"/>
      <c r="F3167" s="20"/>
      <c r="AC3167" s="20"/>
      <c r="AG3167" s="29"/>
    </row>
    <row r="3168" spans="2:33">
      <c r="B3168" s="29"/>
      <c r="D3168" s="29"/>
      <c r="E3168" s="20"/>
      <c r="F3168" s="20"/>
      <c r="AC3168" s="20"/>
      <c r="AG3168" s="29"/>
    </row>
    <row r="3169" spans="2:33">
      <c r="B3169" s="29"/>
      <c r="D3169" s="29"/>
      <c r="E3169" s="20"/>
      <c r="F3169" s="20"/>
      <c r="AC3169" s="20"/>
      <c r="AG3169" s="29"/>
    </row>
    <row r="3170" spans="2:33">
      <c r="B3170" s="29"/>
      <c r="D3170" s="29"/>
      <c r="E3170" s="20"/>
      <c r="F3170" s="20"/>
      <c r="AC3170" s="20"/>
      <c r="AG3170" s="29"/>
    </row>
    <row r="3171" spans="2:33">
      <c r="B3171" s="29"/>
      <c r="D3171" s="29"/>
      <c r="E3171" s="20"/>
      <c r="F3171" s="20"/>
      <c r="AC3171" s="20"/>
      <c r="AG3171" s="29"/>
    </row>
    <row r="3172" spans="2:33">
      <c r="B3172" s="29"/>
      <c r="D3172" s="29"/>
      <c r="E3172" s="20"/>
      <c r="F3172" s="20"/>
      <c r="AC3172" s="20"/>
      <c r="AG3172" s="29"/>
    </row>
    <row r="3173" spans="2:33">
      <c r="B3173" s="29"/>
      <c r="D3173" s="29"/>
      <c r="E3173" s="20"/>
      <c r="F3173" s="20"/>
      <c r="AC3173" s="20"/>
      <c r="AG3173" s="29"/>
    </row>
    <row r="3174" spans="2:33">
      <c r="B3174" s="29"/>
      <c r="D3174" s="29"/>
      <c r="E3174" s="20"/>
      <c r="F3174" s="20"/>
      <c r="AC3174" s="20"/>
      <c r="AG3174" s="29"/>
    </row>
    <row r="3175" spans="2:33">
      <c r="B3175" s="29"/>
      <c r="D3175" s="29"/>
      <c r="E3175" s="20"/>
      <c r="F3175" s="20"/>
      <c r="AC3175" s="20"/>
      <c r="AG3175" s="29"/>
    </row>
    <row r="3176" spans="2:33">
      <c r="B3176" s="29"/>
      <c r="D3176" s="29"/>
      <c r="E3176" s="20"/>
      <c r="F3176" s="20"/>
      <c r="AC3176" s="20"/>
      <c r="AG3176" s="29"/>
    </row>
    <row r="3177" spans="2:33">
      <c r="B3177" s="29"/>
      <c r="D3177" s="29"/>
      <c r="E3177" s="20"/>
      <c r="F3177" s="20"/>
      <c r="AC3177" s="20"/>
      <c r="AG3177" s="29"/>
    </row>
    <row r="3178" spans="2:33">
      <c r="B3178" s="29"/>
      <c r="D3178" s="29"/>
      <c r="E3178" s="20"/>
      <c r="F3178" s="20"/>
      <c r="AC3178" s="20"/>
      <c r="AG3178" s="29"/>
    </row>
    <row r="3179" spans="2:33">
      <c r="B3179" s="29"/>
      <c r="D3179" s="29"/>
      <c r="E3179" s="20"/>
      <c r="F3179" s="20"/>
      <c r="AC3179" s="20"/>
      <c r="AG3179" s="29"/>
    </row>
    <row r="3180" spans="2:33">
      <c r="B3180" s="29"/>
      <c r="D3180" s="29"/>
      <c r="E3180" s="20"/>
      <c r="F3180" s="20"/>
      <c r="AC3180" s="20"/>
      <c r="AG3180" s="29"/>
    </row>
    <row r="3181" spans="2:33">
      <c r="B3181" s="29"/>
      <c r="D3181" s="29"/>
      <c r="E3181" s="20"/>
      <c r="F3181" s="20"/>
      <c r="AC3181" s="20"/>
      <c r="AG3181" s="29"/>
    </row>
    <row r="3182" spans="2:33">
      <c r="B3182" s="29"/>
      <c r="D3182" s="29"/>
      <c r="E3182" s="20"/>
      <c r="F3182" s="20"/>
      <c r="AC3182" s="20"/>
      <c r="AG3182" s="29"/>
    </row>
    <row r="3183" spans="2:33">
      <c r="B3183" s="29"/>
      <c r="D3183" s="29"/>
      <c r="E3183" s="20"/>
      <c r="F3183" s="20"/>
      <c r="AC3183" s="20"/>
      <c r="AG3183" s="29"/>
    </row>
    <row r="3184" spans="2:33">
      <c r="B3184" s="29"/>
      <c r="D3184" s="29"/>
      <c r="E3184" s="20"/>
      <c r="F3184" s="20"/>
      <c r="AC3184" s="20"/>
      <c r="AG3184" s="29"/>
    </row>
    <row r="3185" spans="2:33">
      <c r="B3185" s="29"/>
      <c r="D3185" s="29"/>
      <c r="E3185" s="20"/>
      <c r="F3185" s="20"/>
      <c r="AC3185" s="20"/>
      <c r="AG3185" s="29"/>
    </row>
    <row r="3186" spans="2:33">
      <c r="B3186" s="29"/>
      <c r="D3186" s="29"/>
      <c r="E3186" s="20"/>
      <c r="F3186" s="20"/>
      <c r="AC3186" s="20"/>
      <c r="AG3186" s="29"/>
    </row>
    <row r="3187" spans="2:33">
      <c r="B3187" s="29"/>
      <c r="D3187" s="29"/>
      <c r="E3187" s="20"/>
      <c r="F3187" s="20"/>
      <c r="AC3187" s="20"/>
      <c r="AG3187" s="29"/>
    </row>
    <row r="3188" spans="2:33">
      <c r="B3188" s="29"/>
      <c r="D3188" s="29"/>
      <c r="E3188" s="20"/>
      <c r="F3188" s="20"/>
      <c r="AC3188" s="20"/>
      <c r="AG3188" s="29"/>
    </row>
    <row r="3189" spans="2:33">
      <c r="B3189" s="29"/>
      <c r="D3189" s="29"/>
      <c r="E3189" s="20"/>
      <c r="F3189" s="20"/>
      <c r="AC3189" s="20"/>
      <c r="AG3189" s="29"/>
    </row>
    <row r="3190" spans="2:33">
      <c r="B3190" s="29"/>
      <c r="D3190" s="29"/>
      <c r="E3190" s="20"/>
      <c r="F3190" s="20"/>
      <c r="AC3190" s="20"/>
      <c r="AG3190" s="29"/>
    </row>
    <row r="3191" spans="2:33">
      <c r="B3191" s="29"/>
      <c r="D3191" s="29"/>
      <c r="E3191" s="20"/>
      <c r="F3191" s="20"/>
      <c r="AC3191" s="20"/>
      <c r="AG3191" s="29"/>
    </row>
    <row r="3192" spans="2:33">
      <c r="B3192" s="29"/>
      <c r="D3192" s="29"/>
      <c r="E3192" s="20"/>
      <c r="F3192" s="20"/>
      <c r="AC3192" s="20"/>
      <c r="AG3192" s="29"/>
    </row>
    <row r="3193" spans="2:33">
      <c r="B3193" s="29"/>
      <c r="D3193" s="29"/>
      <c r="E3193" s="20"/>
      <c r="F3193" s="20"/>
      <c r="AC3193" s="20"/>
      <c r="AG3193" s="29"/>
    </row>
    <row r="3194" spans="2:33">
      <c r="B3194" s="29"/>
      <c r="D3194" s="29"/>
      <c r="E3194" s="20"/>
      <c r="F3194" s="20"/>
      <c r="AC3194" s="20"/>
      <c r="AG3194" s="29"/>
    </row>
    <row r="3195" spans="2:33">
      <c r="B3195" s="29"/>
      <c r="D3195" s="29"/>
      <c r="E3195" s="20"/>
      <c r="F3195" s="20"/>
      <c r="AC3195" s="20"/>
      <c r="AG3195" s="29"/>
    </row>
    <row r="3196" spans="2:33">
      <c r="B3196" s="29"/>
      <c r="D3196" s="29"/>
      <c r="E3196" s="20"/>
      <c r="F3196" s="20"/>
      <c r="AC3196" s="20"/>
      <c r="AG3196" s="29"/>
    </row>
    <row r="3197" spans="2:33">
      <c r="B3197" s="29"/>
      <c r="D3197" s="29"/>
      <c r="E3197" s="20"/>
      <c r="F3197" s="20"/>
      <c r="AC3197" s="20"/>
      <c r="AG3197" s="29"/>
    </row>
    <row r="3198" spans="2:33">
      <c r="B3198" s="29"/>
      <c r="D3198" s="29"/>
      <c r="E3198" s="20"/>
      <c r="F3198" s="20"/>
      <c r="AC3198" s="20"/>
      <c r="AG3198" s="29"/>
    </row>
    <row r="3199" spans="2:33">
      <c r="B3199" s="29"/>
      <c r="D3199" s="29"/>
      <c r="E3199" s="20"/>
      <c r="F3199" s="20"/>
      <c r="AC3199" s="20"/>
      <c r="AG3199" s="29"/>
    </row>
    <row r="3200" spans="2:33">
      <c r="B3200" s="29"/>
      <c r="D3200" s="29"/>
      <c r="E3200" s="20"/>
      <c r="F3200" s="20"/>
      <c r="AC3200" s="20"/>
      <c r="AG3200" s="29"/>
    </row>
    <row r="3201" spans="2:33">
      <c r="B3201" s="29"/>
      <c r="D3201" s="29"/>
      <c r="E3201" s="20"/>
      <c r="F3201" s="20"/>
      <c r="AC3201" s="20"/>
      <c r="AG3201" s="29"/>
    </row>
    <row r="3202" spans="2:33">
      <c r="B3202" s="29"/>
      <c r="D3202" s="29"/>
      <c r="E3202" s="20"/>
      <c r="F3202" s="20"/>
      <c r="AC3202" s="20"/>
      <c r="AG3202" s="29"/>
    </row>
    <row r="3203" spans="2:33">
      <c r="B3203" s="29"/>
      <c r="D3203" s="29"/>
      <c r="E3203" s="20"/>
      <c r="F3203" s="20"/>
      <c r="AC3203" s="20"/>
      <c r="AG3203" s="29"/>
    </row>
    <row r="3204" spans="2:33">
      <c r="B3204" s="29"/>
      <c r="D3204" s="29"/>
      <c r="E3204" s="20"/>
      <c r="F3204" s="20"/>
      <c r="AC3204" s="20"/>
      <c r="AG3204" s="29"/>
    </row>
    <row r="3205" spans="2:33">
      <c r="B3205" s="29"/>
      <c r="D3205" s="29"/>
      <c r="E3205" s="20"/>
      <c r="F3205" s="20"/>
      <c r="AC3205" s="20"/>
      <c r="AG3205" s="29"/>
    </row>
    <row r="3206" spans="2:33">
      <c r="B3206" s="29"/>
      <c r="D3206" s="29"/>
      <c r="E3206" s="20"/>
      <c r="F3206" s="20"/>
      <c r="AC3206" s="20"/>
      <c r="AG3206" s="29"/>
    </row>
    <row r="3207" spans="2:33">
      <c r="B3207" s="29"/>
      <c r="D3207" s="29"/>
      <c r="E3207" s="20"/>
      <c r="F3207" s="20"/>
      <c r="AC3207" s="20"/>
      <c r="AG3207" s="29"/>
    </row>
    <row r="3208" spans="2:33">
      <c r="B3208" s="29"/>
      <c r="D3208" s="29"/>
      <c r="E3208" s="20"/>
      <c r="F3208" s="20"/>
      <c r="AC3208" s="20"/>
      <c r="AG3208" s="29"/>
    </row>
    <row r="3209" spans="2:33">
      <c r="B3209" s="29"/>
      <c r="D3209" s="29"/>
      <c r="E3209" s="20"/>
      <c r="F3209" s="20"/>
      <c r="AC3209" s="20"/>
      <c r="AG3209" s="29"/>
    </row>
    <row r="3210" spans="2:33">
      <c r="B3210" s="29"/>
      <c r="D3210" s="29"/>
      <c r="E3210" s="20"/>
      <c r="F3210" s="20"/>
      <c r="AC3210" s="20"/>
      <c r="AG3210" s="29"/>
    </row>
    <row r="3211" spans="2:33">
      <c r="B3211" s="29"/>
      <c r="D3211" s="29"/>
      <c r="E3211" s="20"/>
      <c r="F3211" s="20"/>
      <c r="AC3211" s="20"/>
      <c r="AG3211" s="29"/>
    </row>
    <row r="3212" spans="2:33">
      <c r="B3212" s="29"/>
      <c r="D3212" s="29"/>
      <c r="E3212" s="20"/>
      <c r="F3212" s="20"/>
      <c r="AC3212" s="20"/>
      <c r="AG3212" s="29"/>
    </row>
    <row r="3213" spans="2:33">
      <c r="B3213" s="29"/>
      <c r="D3213" s="29"/>
      <c r="E3213" s="20"/>
      <c r="F3213" s="20"/>
      <c r="AC3213" s="20"/>
      <c r="AG3213" s="29"/>
    </row>
    <row r="3214" spans="2:33">
      <c r="B3214" s="29"/>
      <c r="D3214" s="29"/>
      <c r="E3214" s="20"/>
      <c r="F3214" s="20"/>
      <c r="AC3214" s="20"/>
      <c r="AG3214" s="29"/>
    </row>
    <row r="3215" spans="2:33">
      <c r="B3215" s="29"/>
      <c r="D3215" s="29"/>
      <c r="E3215" s="20"/>
      <c r="F3215" s="20"/>
      <c r="AC3215" s="20"/>
      <c r="AG3215" s="29"/>
    </row>
    <row r="3216" spans="2:33">
      <c r="B3216" s="29"/>
      <c r="D3216" s="29"/>
      <c r="E3216" s="20"/>
      <c r="F3216" s="20"/>
      <c r="AC3216" s="20"/>
      <c r="AG3216" s="29"/>
    </row>
    <row r="3217" spans="2:33">
      <c r="B3217" s="29"/>
      <c r="D3217" s="29"/>
      <c r="E3217" s="20"/>
      <c r="F3217" s="20"/>
      <c r="AC3217" s="20"/>
      <c r="AG3217" s="29"/>
    </row>
    <row r="3218" spans="2:33">
      <c r="B3218" s="29"/>
      <c r="D3218" s="29"/>
      <c r="E3218" s="20"/>
      <c r="F3218" s="20"/>
      <c r="AC3218" s="20"/>
      <c r="AG3218" s="29"/>
    </row>
    <row r="3219" spans="2:33">
      <c r="B3219" s="29"/>
      <c r="D3219" s="29"/>
      <c r="E3219" s="20"/>
      <c r="F3219" s="20"/>
      <c r="AC3219" s="20"/>
      <c r="AG3219" s="29"/>
    </row>
    <row r="3220" spans="2:33">
      <c r="B3220" s="29"/>
      <c r="D3220" s="29"/>
      <c r="E3220" s="20"/>
      <c r="F3220" s="20"/>
      <c r="AC3220" s="20"/>
      <c r="AG3220" s="29"/>
    </row>
    <row r="3221" spans="2:33">
      <c r="B3221" s="29"/>
      <c r="D3221" s="29"/>
      <c r="E3221" s="20"/>
      <c r="F3221" s="20"/>
      <c r="AC3221" s="20"/>
      <c r="AG3221" s="29"/>
    </row>
    <row r="3222" spans="2:33">
      <c r="B3222" s="29"/>
      <c r="D3222" s="29"/>
      <c r="E3222" s="20"/>
      <c r="F3222" s="20"/>
      <c r="AC3222" s="20"/>
      <c r="AG3222" s="29"/>
    </row>
    <row r="3223" spans="2:33">
      <c r="B3223" s="29"/>
      <c r="D3223" s="29"/>
      <c r="E3223" s="20"/>
      <c r="F3223" s="20"/>
      <c r="AC3223" s="20"/>
      <c r="AG3223" s="29"/>
    </row>
    <row r="3224" spans="2:33">
      <c r="B3224" s="29"/>
      <c r="D3224" s="29"/>
      <c r="E3224" s="20"/>
      <c r="F3224" s="20"/>
      <c r="AC3224" s="20"/>
      <c r="AG3224" s="29"/>
    </row>
    <row r="3225" spans="2:33">
      <c r="B3225" s="29"/>
      <c r="D3225" s="29"/>
      <c r="E3225" s="20"/>
      <c r="F3225" s="20"/>
      <c r="AC3225" s="20"/>
      <c r="AG3225" s="29"/>
    </row>
    <row r="3226" spans="2:33">
      <c r="B3226" s="29"/>
      <c r="D3226" s="29"/>
      <c r="E3226" s="20"/>
      <c r="F3226" s="20"/>
      <c r="AC3226" s="20"/>
      <c r="AG3226" s="29"/>
    </row>
    <row r="3227" spans="2:33">
      <c r="B3227" s="29"/>
      <c r="D3227" s="29"/>
      <c r="E3227" s="20"/>
      <c r="F3227" s="20"/>
      <c r="AC3227" s="20"/>
      <c r="AG3227" s="29"/>
    </row>
    <row r="3228" spans="2:33">
      <c r="B3228" s="29"/>
      <c r="D3228" s="29"/>
      <c r="E3228" s="20"/>
      <c r="F3228" s="20"/>
      <c r="AC3228" s="20"/>
      <c r="AG3228" s="29"/>
    </row>
    <row r="3229" spans="2:33">
      <c r="B3229" s="29"/>
      <c r="D3229" s="29"/>
      <c r="E3229" s="20"/>
      <c r="F3229" s="20"/>
      <c r="AC3229" s="20"/>
      <c r="AG3229" s="29"/>
    </row>
    <row r="3230" spans="2:33">
      <c r="B3230" s="29"/>
      <c r="D3230" s="29"/>
      <c r="E3230" s="20"/>
      <c r="F3230" s="20"/>
      <c r="AC3230" s="20"/>
      <c r="AG3230" s="29"/>
    </row>
    <row r="3231" spans="2:33">
      <c r="B3231" s="29"/>
      <c r="D3231" s="29"/>
      <c r="E3231" s="20"/>
      <c r="F3231" s="20"/>
      <c r="AC3231" s="20"/>
      <c r="AG3231" s="29"/>
    </row>
    <row r="3232" spans="2:33">
      <c r="B3232" s="29"/>
      <c r="D3232" s="29"/>
      <c r="E3232" s="20"/>
      <c r="F3232" s="20"/>
      <c r="AC3232" s="20"/>
      <c r="AG3232" s="29"/>
    </row>
    <row r="3233" spans="2:33">
      <c r="B3233" s="29"/>
      <c r="D3233" s="29"/>
      <c r="E3233" s="20"/>
      <c r="F3233" s="20"/>
      <c r="AC3233" s="20"/>
      <c r="AG3233" s="29"/>
    </row>
    <row r="3234" spans="2:33">
      <c r="B3234" s="29"/>
      <c r="D3234" s="29"/>
      <c r="E3234" s="20"/>
      <c r="F3234" s="20"/>
      <c r="AC3234" s="20"/>
      <c r="AG3234" s="29"/>
    </row>
    <row r="3235" spans="2:33">
      <c r="B3235" s="29"/>
      <c r="D3235" s="29"/>
      <c r="E3235" s="20"/>
      <c r="F3235" s="20"/>
      <c r="AC3235" s="20"/>
      <c r="AG3235" s="29"/>
    </row>
    <row r="3236" spans="2:33">
      <c r="B3236" s="29"/>
      <c r="D3236" s="29"/>
      <c r="E3236" s="20"/>
      <c r="F3236" s="20"/>
      <c r="AC3236" s="20"/>
      <c r="AG3236" s="29"/>
    </row>
    <row r="3237" spans="2:33">
      <c r="B3237" s="29"/>
      <c r="D3237" s="29"/>
      <c r="E3237" s="20"/>
      <c r="F3237" s="20"/>
      <c r="AC3237" s="20"/>
      <c r="AG3237" s="29"/>
    </row>
    <row r="3238" spans="2:33">
      <c r="B3238" s="29"/>
      <c r="D3238" s="29"/>
      <c r="E3238" s="20"/>
      <c r="F3238" s="20"/>
      <c r="AC3238" s="20"/>
      <c r="AG3238" s="29"/>
    </row>
    <row r="3239" spans="2:33">
      <c r="B3239" s="29"/>
      <c r="D3239" s="29"/>
      <c r="E3239" s="20"/>
      <c r="F3239" s="20"/>
      <c r="AC3239" s="20"/>
      <c r="AG3239" s="29"/>
    </row>
    <row r="3240" spans="2:33">
      <c r="B3240" s="29"/>
      <c r="D3240" s="29"/>
      <c r="E3240" s="20"/>
      <c r="F3240" s="20"/>
      <c r="AC3240" s="20"/>
      <c r="AG3240" s="29"/>
    </row>
    <row r="3241" spans="2:33">
      <c r="B3241" s="29"/>
      <c r="D3241" s="29"/>
      <c r="E3241" s="20"/>
      <c r="F3241" s="20"/>
      <c r="AC3241" s="20"/>
      <c r="AG3241" s="29"/>
    </row>
    <row r="3242" spans="2:33">
      <c r="B3242" s="29"/>
      <c r="D3242" s="29"/>
      <c r="E3242" s="20"/>
      <c r="F3242" s="20"/>
      <c r="AC3242" s="20"/>
      <c r="AG3242" s="29"/>
    </row>
    <row r="3243" spans="2:33">
      <c r="B3243" s="29"/>
      <c r="D3243" s="29"/>
      <c r="E3243" s="20"/>
      <c r="F3243" s="20"/>
      <c r="AC3243" s="20"/>
      <c r="AG3243" s="29"/>
    </row>
    <row r="3244" spans="2:33">
      <c r="B3244" s="29"/>
      <c r="D3244" s="29"/>
      <c r="E3244" s="20"/>
      <c r="F3244" s="20"/>
      <c r="AC3244" s="20"/>
      <c r="AG3244" s="29"/>
    </row>
    <row r="3245" spans="2:33">
      <c r="B3245" s="29"/>
      <c r="D3245" s="29"/>
      <c r="E3245" s="20"/>
      <c r="F3245" s="20"/>
      <c r="AC3245" s="20"/>
      <c r="AG3245" s="29"/>
    </row>
    <row r="3246" spans="2:33">
      <c r="B3246" s="29"/>
      <c r="D3246" s="29"/>
      <c r="E3246" s="20"/>
      <c r="F3246" s="20"/>
      <c r="AC3246" s="20"/>
      <c r="AG3246" s="29"/>
    </row>
    <row r="3247" spans="2:33">
      <c r="B3247" s="29"/>
      <c r="D3247" s="29"/>
      <c r="E3247" s="20"/>
      <c r="F3247" s="20"/>
      <c r="AC3247" s="20"/>
      <c r="AG3247" s="29"/>
    </row>
    <row r="3248" spans="2:33">
      <c r="B3248" s="29"/>
      <c r="D3248" s="29"/>
      <c r="E3248" s="20"/>
      <c r="F3248" s="20"/>
      <c r="AC3248" s="20"/>
      <c r="AG3248" s="29"/>
    </row>
    <row r="3249" spans="2:33">
      <c r="B3249" s="29"/>
      <c r="D3249" s="29"/>
      <c r="E3249" s="20"/>
      <c r="F3249" s="20"/>
      <c r="AC3249" s="20"/>
      <c r="AG3249" s="29"/>
    </row>
    <row r="3250" spans="2:33">
      <c r="B3250" s="29"/>
      <c r="D3250" s="29"/>
      <c r="E3250" s="20"/>
      <c r="F3250" s="20"/>
      <c r="AC3250" s="20"/>
      <c r="AG3250" s="29"/>
    </row>
    <row r="3251" spans="2:33">
      <c r="B3251" s="29"/>
      <c r="D3251" s="29"/>
      <c r="E3251" s="20"/>
      <c r="F3251" s="20"/>
      <c r="AC3251" s="20"/>
      <c r="AG3251" s="29"/>
    </row>
    <row r="3252" spans="2:33">
      <c r="B3252" s="29"/>
      <c r="D3252" s="29"/>
      <c r="E3252" s="20"/>
      <c r="F3252" s="20"/>
      <c r="AC3252" s="20"/>
      <c r="AG3252" s="29"/>
    </row>
    <row r="3253" spans="2:33">
      <c r="B3253" s="29"/>
      <c r="D3253" s="29"/>
      <c r="E3253" s="20"/>
      <c r="F3253" s="20"/>
      <c r="AC3253" s="20"/>
      <c r="AG3253" s="29"/>
    </row>
    <row r="3254" spans="2:33">
      <c r="B3254" s="29"/>
      <c r="D3254" s="29"/>
      <c r="E3254" s="20"/>
      <c r="F3254" s="20"/>
      <c r="AC3254" s="20"/>
      <c r="AG3254" s="29"/>
    </row>
    <row r="3255" spans="2:33">
      <c r="B3255" s="29"/>
      <c r="D3255" s="29"/>
      <c r="E3255" s="20"/>
      <c r="F3255" s="20"/>
      <c r="AC3255" s="20"/>
      <c r="AG3255" s="29"/>
    </row>
    <row r="3256" spans="2:33">
      <c r="B3256" s="29"/>
      <c r="D3256" s="29"/>
      <c r="E3256" s="20"/>
      <c r="F3256" s="20"/>
      <c r="AC3256" s="20"/>
      <c r="AG3256" s="29"/>
    </row>
    <row r="3257" spans="2:33">
      <c r="B3257" s="29"/>
      <c r="D3257" s="29"/>
      <c r="E3257" s="20"/>
      <c r="F3257" s="20"/>
      <c r="AC3257" s="20"/>
      <c r="AG3257" s="29"/>
    </row>
    <row r="3258" spans="2:33">
      <c r="B3258" s="29"/>
      <c r="D3258" s="29"/>
      <c r="E3258" s="20"/>
      <c r="F3258" s="20"/>
      <c r="AC3258" s="20"/>
      <c r="AG3258" s="29"/>
    </row>
    <row r="3259" spans="2:33">
      <c r="B3259" s="29"/>
      <c r="D3259" s="29"/>
      <c r="E3259" s="20"/>
      <c r="F3259" s="20"/>
      <c r="AC3259" s="20"/>
      <c r="AG3259" s="29"/>
    </row>
    <row r="3260" spans="2:33">
      <c r="B3260" s="29"/>
      <c r="D3260" s="29"/>
      <c r="E3260" s="20"/>
      <c r="F3260" s="20"/>
      <c r="AC3260" s="20"/>
      <c r="AG3260" s="29"/>
    </row>
    <row r="3261" spans="2:33">
      <c r="B3261" s="29"/>
      <c r="D3261" s="29"/>
      <c r="E3261" s="20"/>
      <c r="F3261" s="20"/>
      <c r="AC3261" s="20"/>
      <c r="AG3261" s="29"/>
    </row>
    <row r="3262" spans="2:33">
      <c r="B3262" s="29"/>
      <c r="D3262" s="29"/>
      <c r="E3262" s="20"/>
      <c r="F3262" s="20"/>
      <c r="AC3262" s="20"/>
      <c r="AG3262" s="29"/>
    </row>
    <row r="3263" spans="2:33">
      <c r="B3263" s="29"/>
      <c r="D3263" s="29"/>
      <c r="E3263" s="20"/>
      <c r="F3263" s="20"/>
      <c r="AC3263" s="20"/>
      <c r="AG3263" s="29"/>
    </row>
    <row r="3264" spans="2:33">
      <c r="B3264" s="29"/>
      <c r="D3264" s="29"/>
      <c r="E3264" s="20"/>
      <c r="F3264" s="20"/>
      <c r="AC3264" s="20"/>
      <c r="AG3264" s="29"/>
    </row>
    <row r="3265" spans="2:33">
      <c r="B3265" s="29"/>
      <c r="D3265" s="29"/>
      <c r="E3265" s="20"/>
      <c r="F3265" s="20"/>
      <c r="AC3265" s="20"/>
      <c r="AG3265" s="29"/>
    </row>
    <row r="3266" spans="2:33">
      <c r="B3266" s="29"/>
      <c r="D3266" s="29"/>
      <c r="E3266" s="20"/>
      <c r="F3266" s="20"/>
      <c r="AC3266" s="20"/>
      <c r="AG3266" s="29"/>
    </row>
    <row r="3267" spans="2:33">
      <c r="B3267" s="29"/>
      <c r="D3267" s="29"/>
      <c r="E3267" s="20"/>
      <c r="F3267" s="20"/>
      <c r="AC3267" s="20"/>
      <c r="AG3267" s="29"/>
    </row>
    <row r="3268" spans="2:33">
      <c r="B3268" s="29"/>
      <c r="D3268" s="29"/>
      <c r="E3268" s="20"/>
      <c r="F3268" s="20"/>
      <c r="AC3268" s="20"/>
      <c r="AG3268" s="29"/>
    </row>
    <row r="3269" spans="2:33">
      <c r="B3269" s="29"/>
      <c r="D3269" s="29"/>
      <c r="E3269" s="20"/>
      <c r="F3269" s="20"/>
      <c r="AC3269" s="20"/>
      <c r="AG3269" s="29"/>
    </row>
    <row r="3270" spans="2:33">
      <c r="B3270" s="29"/>
      <c r="D3270" s="29"/>
      <c r="E3270" s="20"/>
      <c r="F3270" s="20"/>
      <c r="AC3270" s="20"/>
      <c r="AG3270" s="29"/>
    </row>
    <row r="3271" spans="2:33">
      <c r="B3271" s="29"/>
      <c r="D3271" s="29"/>
      <c r="E3271" s="20"/>
      <c r="F3271" s="20"/>
      <c r="AC3271" s="20"/>
      <c r="AG3271" s="29"/>
    </row>
    <row r="3272" spans="2:33">
      <c r="B3272" s="29"/>
      <c r="D3272" s="29"/>
      <c r="E3272" s="20"/>
      <c r="F3272" s="20"/>
      <c r="AC3272" s="20"/>
      <c r="AG3272" s="29"/>
    </row>
    <row r="3273" spans="2:33">
      <c r="B3273" s="29"/>
      <c r="D3273" s="29"/>
      <c r="E3273" s="20"/>
      <c r="F3273" s="20"/>
      <c r="AC3273" s="20"/>
      <c r="AG3273" s="29"/>
    </row>
    <row r="3274" spans="2:33">
      <c r="B3274" s="29"/>
      <c r="D3274" s="29"/>
      <c r="E3274" s="20"/>
      <c r="F3274" s="20"/>
      <c r="AC3274" s="20"/>
      <c r="AG3274" s="29"/>
    </row>
    <row r="3275" spans="2:33">
      <c r="B3275" s="29"/>
      <c r="D3275" s="29"/>
      <c r="E3275" s="20"/>
      <c r="F3275" s="20"/>
      <c r="AC3275" s="20"/>
      <c r="AG3275" s="29"/>
    </row>
    <row r="3276" spans="2:33">
      <c r="B3276" s="29"/>
      <c r="D3276" s="29"/>
      <c r="E3276" s="20"/>
      <c r="F3276" s="20"/>
      <c r="AC3276" s="20"/>
      <c r="AG3276" s="29"/>
    </row>
    <row r="3277" spans="2:33">
      <c r="B3277" s="29"/>
      <c r="D3277" s="29"/>
      <c r="E3277" s="20"/>
      <c r="F3277" s="20"/>
      <c r="AC3277" s="20"/>
      <c r="AG3277" s="29"/>
    </row>
    <row r="3278" spans="2:33">
      <c r="B3278" s="29"/>
      <c r="D3278" s="29"/>
      <c r="E3278" s="20"/>
      <c r="F3278" s="20"/>
      <c r="AC3278" s="20"/>
      <c r="AG3278" s="29"/>
    </row>
    <row r="3279" spans="2:33">
      <c r="B3279" s="29"/>
      <c r="D3279" s="29"/>
      <c r="E3279" s="20"/>
      <c r="F3279" s="20"/>
      <c r="AC3279" s="20"/>
      <c r="AG3279" s="29"/>
    </row>
    <row r="3280" spans="2:33">
      <c r="B3280" s="29"/>
      <c r="D3280" s="29"/>
      <c r="E3280" s="20"/>
      <c r="F3280" s="20"/>
      <c r="AC3280" s="20"/>
      <c r="AG3280" s="29"/>
    </row>
    <row r="3281" spans="2:33">
      <c r="B3281" s="29"/>
      <c r="D3281" s="29"/>
      <c r="E3281" s="20"/>
      <c r="F3281" s="20"/>
      <c r="AC3281" s="20"/>
      <c r="AG3281" s="29"/>
    </row>
    <row r="3282" spans="2:33">
      <c r="B3282" s="29"/>
      <c r="D3282" s="29"/>
      <c r="E3282" s="20"/>
      <c r="F3282" s="20"/>
      <c r="AC3282" s="20"/>
      <c r="AG3282" s="29"/>
    </row>
    <row r="3283" spans="2:33">
      <c r="B3283" s="29"/>
      <c r="D3283" s="29"/>
      <c r="E3283" s="20"/>
      <c r="F3283" s="20"/>
      <c r="AC3283" s="20"/>
      <c r="AG3283" s="29"/>
    </row>
    <row r="3284" spans="2:33">
      <c r="B3284" s="29"/>
      <c r="D3284" s="29"/>
      <c r="E3284" s="20"/>
      <c r="F3284" s="20"/>
      <c r="AC3284" s="20"/>
      <c r="AG3284" s="29"/>
    </row>
    <row r="3285" spans="2:33">
      <c r="B3285" s="29"/>
      <c r="D3285" s="29"/>
      <c r="E3285" s="20"/>
      <c r="F3285" s="20"/>
      <c r="AC3285" s="20"/>
      <c r="AG3285" s="29"/>
    </row>
    <row r="3286" spans="2:33">
      <c r="B3286" s="29"/>
      <c r="D3286" s="29"/>
      <c r="E3286" s="20"/>
      <c r="F3286" s="20"/>
      <c r="AC3286" s="20"/>
      <c r="AG3286" s="29"/>
    </row>
    <row r="3287" spans="2:33">
      <c r="B3287" s="29"/>
      <c r="D3287" s="29"/>
      <c r="E3287" s="20"/>
      <c r="F3287" s="20"/>
      <c r="AC3287" s="20"/>
      <c r="AG3287" s="29"/>
    </row>
    <row r="3288" spans="2:33">
      <c r="B3288" s="29"/>
      <c r="D3288" s="29"/>
      <c r="E3288" s="20"/>
      <c r="F3288" s="20"/>
      <c r="AC3288" s="20"/>
      <c r="AG3288" s="29"/>
    </row>
    <row r="3289" spans="2:33">
      <c r="B3289" s="29"/>
      <c r="D3289" s="29"/>
      <c r="E3289" s="20"/>
      <c r="F3289" s="20"/>
      <c r="AC3289" s="20"/>
      <c r="AG3289" s="29"/>
    </row>
    <row r="3290" spans="2:33">
      <c r="B3290" s="29"/>
      <c r="D3290" s="29"/>
      <c r="E3290" s="20"/>
      <c r="F3290" s="20"/>
      <c r="AC3290" s="20"/>
      <c r="AG3290" s="29"/>
    </row>
    <row r="3291" spans="2:33">
      <c r="B3291" s="29"/>
      <c r="D3291" s="29"/>
      <c r="E3291" s="20"/>
      <c r="F3291" s="20"/>
      <c r="AC3291" s="20"/>
      <c r="AG3291" s="29"/>
    </row>
    <row r="3292" spans="2:33">
      <c r="B3292" s="29"/>
      <c r="D3292" s="29"/>
      <c r="E3292" s="20"/>
      <c r="F3292" s="20"/>
      <c r="AC3292" s="20"/>
      <c r="AG3292" s="29"/>
    </row>
    <row r="3293" spans="2:33">
      <c r="B3293" s="29"/>
      <c r="D3293" s="29"/>
      <c r="E3293" s="20"/>
      <c r="F3293" s="20"/>
      <c r="AC3293" s="20"/>
      <c r="AG3293" s="29"/>
    </row>
    <row r="3294" spans="2:33">
      <c r="B3294" s="29"/>
      <c r="D3294" s="29"/>
      <c r="E3294" s="20"/>
      <c r="F3294" s="20"/>
      <c r="AC3294" s="20"/>
      <c r="AG3294" s="29"/>
    </row>
    <row r="3295" spans="2:33">
      <c r="B3295" s="29"/>
      <c r="D3295" s="29"/>
      <c r="E3295" s="20"/>
      <c r="F3295" s="20"/>
      <c r="AC3295" s="20"/>
      <c r="AG3295" s="29"/>
    </row>
    <row r="3296" spans="2:33">
      <c r="B3296" s="29"/>
      <c r="D3296" s="29"/>
      <c r="E3296" s="20"/>
      <c r="F3296" s="20"/>
      <c r="AC3296" s="20"/>
      <c r="AG3296" s="29"/>
    </row>
    <row r="3297" spans="2:33">
      <c r="B3297" s="29"/>
      <c r="D3297" s="29"/>
      <c r="E3297" s="20"/>
      <c r="F3297" s="20"/>
      <c r="AC3297" s="20"/>
      <c r="AG3297" s="29"/>
    </row>
    <row r="3298" spans="2:33">
      <c r="B3298" s="29"/>
      <c r="D3298" s="29"/>
      <c r="E3298" s="20"/>
      <c r="F3298" s="20"/>
      <c r="AC3298" s="20"/>
      <c r="AG3298" s="29"/>
    </row>
    <row r="3299" spans="2:33">
      <c r="B3299" s="29"/>
      <c r="D3299" s="29"/>
      <c r="E3299" s="20"/>
      <c r="F3299" s="20"/>
      <c r="AC3299" s="20"/>
      <c r="AG3299" s="29"/>
    </row>
    <row r="3300" spans="2:33">
      <c r="B3300" s="29"/>
      <c r="D3300" s="29"/>
      <c r="E3300" s="20"/>
      <c r="F3300" s="20"/>
      <c r="AC3300" s="20"/>
      <c r="AG3300" s="29"/>
    </row>
    <row r="3301" spans="2:33">
      <c r="B3301" s="29"/>
      <c r="D3301" s="29"/>
      <c r="E3301" s="20"/>
      <c r="F3301" s="20"/>
      <c r="AC3301" s="20"/>
      <c r="AG3301" s="29"/>
    </row>
    <row r="3302" spans="2:33">
      <c r="B3302" s="29"/>
      <c r="D3302" s="29"/>
      <c r="E3302" s="20"/>
      <c r="F3302" s="20"/>
      <c r="AC3302" s="20"/>
      <c r="AG3302" s="29"/>
    </row>
    <row r="3303" spans="2:33">
      <c r="B3303" s="29"/>
      <c r="D3303" s="29"/>
      <c r="E3303" s="20"/>
      <c r="F3303" s="20"/>
      <c r="AC3303" s="20"/>
      <c r="AG3303" s="29"/>
    </row>
    <row r="3304" spans="2:33">
      <c r="B3304" s="29"/>
      <c r="D3304" s="29"/>
      <c r="E3304" s="20"/>
      <c r="F3304" s="20"/>
      <c r="AC3304" s="20"/>
      <c r="AG3304" s="29"/>
    </row>
    <row r="3305" spans="2:33">
      <c r="B3305" s="29"/>
      <c r="D3305" s="29"/>
      <c r="E3305" s="20"/>
      <c r="F3305" s="20"/>
      <c r="AC3305" s="20"/>
      <c r="AG3305" s="29"/>
    </row>
    <row r="3306" spans="2:33">
      <c r="B3306" s="29"/>
      <c r="D3306" s="29"/>
      <c r="E3306" s="20"/>
      <c r="F3306" s="20"/>
      <c r="AC3306" s="20"/>
      <c r="AG3306" s="29"/>
    </row>
    <row r="3307" spans="2:33">
      <c r="B3307" s="29"/>
      <c r="D3307" s="29"/>
      <c r="E3307" s="20"/>
      <c r="F3307" s="20"/>
      <c r="AC3307" s="20"/>
      <c r="AG3307" s="29"/>
    </row>
    <row r="3308" spans="2:33">
      <c r="B3308" s="29"/>
      <c r="D3308" s="29"/>
      <c r="E3308" s="20"/>
      <c r="F3308" s="20"/>
      <c r="AC3308" s="20"/>
      <c r="AG3308" s="29"/>
    </row>
    <row r="3309" spans="2:33">
      <c r="B3309" s="29"/>
      <c r="D3309" s="29"/>
      <c r="E3309" s="20"/>
      <c r="F3309" s="20"/>
      <c r="AC3309" s="20"/>
      <c r="AG3309" s="29"/>
    </row>
    <row r="3310" spans="2:33">
      <c r="B3310" s="29"/>
      <c r="D3310" s="29"/>
      <c r="E3310" s="20"/>
      <c r="F3310" s="20"/>
      <c r="AC3310" s="20"/>
      <c r="AG3310" s="29"/>
    </row>
    <row r="3311" spans="2:33">
      <c r="B3311" s="29"/>
      <c r="D3311" s="29"/>
      <c r="E3311" s="20"/>
      <c r="F3311" s="20"/>
      <c r="AC3311" s="20"/>
      <c r="AG3311" s="29"/>
    </row>
    <row r="3312" spans="2:33">
      <c r="B3312" s="29"/>
      <c r="D3312" s="29"/>
      <c r="E3312" s="20"/>
      <c r="F3312" s="20"/>
      <c r="AC3312" s="20"/>
      <c r="AG3312" s="29"/>
    </row>
    <row r="3313" spans="2:33">
      <c r="B3313" s="29"/>
      <c r="D3313" s="29"/>
      <c r="E3313" s="20"/>
      <c r="F3313" s="20"/>
      <c r="AC3313" s="20"/>
      <c r="AG3313" s="29"/>
    </row>
    <row r="3314" spans="2:33">
      <c r="B3314" s="29"/>
      <c r="D3314" s="29"/>
      <c r="E3314" s="20"/>
      <c r="F3314" s="20"/>
      <c r="AC3314" s="20"/>
      <c r="AG3314" s="29"/>
    </row>
    <row r="3315" spans="2:33">
      <c r="B3315" s="29"/>
      <c r="D3315" s="29"/>
      <c r="E3315" s="20"/>
      <c r="F3315" s="20"/>
      <c r="AC3315" s="20"/>
      <c r="AG3315" s="29"/>
    </row>
    <row r="3316" spans="2:33">
      <c r="B3316" s="29"/>
      <c r="D3316" s="29"/>
      <c r="E3316" s="20"/>
      <c r="F3316" s="20"/>
      <c r="AC3316" s="20"/>
      <c r="AG3316" s="29"/>
    </row>
    <row r="3317" spans="2:33">
      <c r="B3317" s="29"/>
      <c r="D3317" s="29"/>
      <c r="E3317" s="20"/>
      <c r="F3317" s="20"/>
      <c r="AC3317" s="20"/>
      <c r="AG3317" s="29"/>
    </row>
    <row r="3318" spans="2:33">
      <c r="B3318" s="29"/>
      <c r="D3318" s="29"/>
      <c r="E3318" s="20"/>
      <c r="F3318" s="20"/>
      <c r="AC3318" s="20"/>
      <c r="AG3318" s="29"/>
    </row>
    <row r="3319" spans="2:33">
      <c r="B3319" s="29"/>
      <c r="D3319" s="29"/>
      <c r="E3319" s="20"/>
      <c r="F3319" s="20"/>
      <c r="AC3319" s="20"/>
      <c r="AG3319" s="29"/>
    </row>
    <row r="3320" spans="2:33">
      <c r="B3320" s="29"/>
      <c r="D3320" s="29"/>
      <c r="E3320" s="20"/>
      <c r="F3320" s="20"/>
      <c r="AC3320" s="20"/>
      <c r="AG3320" s="29"/>
    </row>
    <row r="3321" spans="2:33">
      <c r="B3321" s="29"/>
      <c r="D3321" s="29"/>
      <c r="E3321" s="20"/>
      <c r="F3321" s="20"/>
      <c r="AC3321" s="20"/>
      <c r="AG3321" s="29"/>
    </row>
    <row r="3322" spans="2:33">
      <c r="B3322" s="29"/>
      <c r="D3322" s="29"/>
      <c r="E3322" s="20"/>
      <c r="F3322" s="20"/>
      <c r="AC3322" s="20"/>
      <c r="AG3322" s="29"/>
    </row>
    <row r="3323" spans="2:33">
      <c r="B3323" s="29"/>
      <c r="D3323" s="29"/>
      <c r="E3323" s="20"/>
      <c r="F3323" s="20"/>
      <c r="AC3323" s="20"/>
      <c r="AG3323" s="29"/>
    </row>
    <row r="3324" spans="2:33">
      <c r="B3324" s="29"/>
      <c r="D3324" s="29"/>
      <c r="E3324" s="20"/>
      <c r="F3324" s="20"/>
      <c r="AC3324" s="20"/>
      <c r="AG3324" s="29"/>
    </row>
    <row r="3325" spans="2:33">
      <c r="B3325" s="29"/>
      <c r="D3325" s="29"/>
      <c r="E3325" s="20"/>
      <c r="F3325" s="20"/>
      <c r="AC3325" s="20"/>
      <c r="AG3325" s="29"/>
    </row>
    <row r="3326" spans="2:33">
      <c r="B3326" s="29"/>
      <c r="D3326" s="29"/>
      <c r="E3326" s="20"/>
      <c r="F3326" s="20"/>
      <c r="AC3326" s="20"/>
      <c r="AG3326" s="29"/>
    </row>
    <row r="3327" spans="2:33">
      <c r="B3327" s="29"/>
      <c r="D3327" s="29"/>
      <c r="E3327" s="20"/>
      <c r="F3327" s="20"/>
      <c r="AC3327" s="20"/>
      <c r="AG3327" s="29"/>
    </row>
    <row r="3328" spans="2:33">
      <c r="B3328" s="29"/>
      <c r="D3328" s="29"/>
      <c r="E3328" s="20"/>
      <c r="F3328" s="20"/>
      <c r="AC3328" s="20"/>
      <c r="AG3328" s="29"/>
    </row>
    <row r="3329" spans="2:33">
      <c r="B3329" s="29"/>
      <c r="D3329" s="29"/>
      <c r="E3329" s="20"/>
      <c r="F3329" s="20"/>
      <c r="AC3329" s="20"/>
      <c r="AG3329" s="29"/>
    </row>
    <row r="3330" spans="2:33">
      <c r="B3330" s="29"/>
      <c r="D3330" s="29"/>
      <c r="E3330" s="20"/>
      <c r="F3330" s="20"/>
      <c r="AC3330" s="20"/>
      <c r="AG3330" s="29"/>
    </row>
    <row r="3331" spans="2:33">
      <c r="B3331" s="29"/>
      <c r="D3331" s="29"/>
      <c r="E3331" s="20"/>
      <c r="F3331" s="20"/>
      <c r="AC3331" s="20"/>
      <c r="AG3331" s="29"/>
    </row>
    <row r="3332" spans="2:33">
      <c r="B3332" s="29"/>
      <c r="D3332" s="29"/>
      <c r="E3332" s="20"/>
      <c r="F3332" s="20"/>
      <c r="AC3332" s="20"/>
      <c r="AG3332" s="29"/>
    </row>
    <row r="3333" spans="2:33">
      <c r="B3333" s="29"/>
      <c r="D3333" s="29"/>
      <c r="E3333" s="20"/>
      <c r="F3333" s="20"/>
      <c r="AC3333" s="20"/>
      <c r="AG3333" s="29"/>
    </row>
    <row r="3334" spans="2:33">
      <c r="B3334" s="29"/>
      <c r="D3334" s="29"/>
      <c r="E3334" s="20"/>
      <c r="F3334" s="20"/>
      <c r="AC3334" s="20"/>
      <c r="AG3334" s="29"/>
    </row>
    <row r="3335" spans="2:33">
      <c r="B3335" s="29"/>
      <c r="D3335" s="29"/>
      <c r="E3335" s="20"/>
      <c r="F3335" s="20"/>
      <c r="AC3335" s="20"/>
      <c r="AG3335" s="29"/>
    </row>
    <row r="3336" spans="2:33">
      <c r="B3336" s="29"/>
      <c r="D3336" s="29"/>
      <c r="E3336" s="20"/>
      <c r="F3336" s="20"/>
      <c r="AC3336" s="20"/>
      <c r="AG3336" s="29"/>
    </row>
    <row r="3337" spans="2:33">
      <c r="B3337" s="29"/>
      <c r="D3337" s="29"/>
      <c r="E3337" s="20"/>
      <c r="F3337" s="20"/>
      <c r="AC3337" s="20"/>
      <c r="AG3337" s="29"/>
    </row>
    <row r="3338" spans="2:33">
      <c r="B3338" s="29"/>
      <c r="D3338" s="29"/>
      <c r="E3338" s="20"/>
      <c r="F3338" s="20"/>
      <c r="AC3338" s="20"/>
      <c r="AG3338" s="29"/>
    </row>
    <row r="3339" spans="2:33">
      <c r="B3339" s="29"/>
      <c r="D3339" s="29"/>
      <c r="E3339" s="20"/>
      <c r="F3339" s="20"/>
      <c r="AC3339" s="20"/>
      <c r="AG3339" s="29"/>
    </row>
    <row r="3340" spans="2:33">
      <c r="B3340" s="29"/>
      <c r="D3340" s="29"/>
      <c r="E3340" s="20"/>
      <c r="F3340" s="20"/>
      <c r="AC3340" s="20"/>
      <c r="AG3340" s="29"/>
    </row>
    <row r="3341" spans="2:33">
      <c r="B3341" s="29"/>
      <c r="D3341" s="29"/>
      <c r="E3341" s="20"/>
      <c r="F3341" s="20"/>
      <c r="AC3341" s="20"/>
      <c r="AG3341" s="29"/>
    </row>
    <row r="3342" spans="2:33">
      <c r="B3342" s="29"/>
      <c r="D3342" s="29"/>
      <c r="E3342" s="20"/>
      <c r="F3342" s="20"/>
      <c r="AC3342" s="20"/>
      <c r="AG3342" s="29"/>
    </row>
    <row r="3343" spans="2:33">
      <c r="B3343" s="29"/>
      <c r="D3343" s="29"/>
      <c r="E3343" s="20"/>
      <c r="F3343" s="20"/>
      <c r="AC3343" s="20"/>
      <c r="AG3343" s="29"/>
    </row>
    <row r="3344" spans="2:33">
      <c r="B3344" s="29"/>
      <c r="D3344" s="29"/>
      <c r="E3344" s="20"/>
      <c r="F3344" s="20"/>
      <c r="AC3344" s="20"/>
      <c r="AG3344" s="29"/>
    </row>
    <row r="3345" spans="2:33">
      <c r="B3345" s="29"/>
      <c r="D3345" s="29"/>
      <c r="E3345" s="20"/>
      <c r="F3345" s="20"/>
      <c r="AC3345" s="20"/>
      <c r="AG3345" s="29"/>
    </row>
    <row r="3346" spans="2:33">
      <c r="B3346" s="29"/>
      <c r="D3346" s="29"/>
      <c r="E3346" s="20"/>
      <c r="F3346" s="20"/>
      <c r="AC3346" s="20"/>
      <c r="AG3346" s="29"/>
    </row>
    <row r="3347" spans="2:33">
      <c r="B3347" s="29"/>
      <c r="D3347" s="29"/>
      <c r="E3347" s="20"/>
      <c r="F3347" s="20"/>
      <c r="AC3347" s="20"/>
      <c r="AG3347" s="29"/>
    </row>
    <row r="3348" spans="2:33">
      <c r="B3348" s="29"/>
      <c r="D3348" s="29"/>
      <c r="E3348" s="20"/>
      <c r="F3348" s="20"/>
      <c r="AC3348" s="20"/>
      <c r="AG3348" s="29"/>
    </row>
    <row r="3349" spans="2:33">
      <c r="B3349" s="29"/>
      <c r="D3349" s="29"/>
      <c r="E3349" s="20"/>
      <c r="F3349" s="20"/>
      <c r="AC3349" s="20"/>
      <c r="AG3349" s="29"/>
    </row>
    <row r="3350" spans="2:33">
      <c r="B3350" s="29"/>
      <c r="D3350" s="29"/>
      <c r="E3350" s="20"/>
      <c r="F3350" s="20"/>
      <c r="AC3350" s="20"/>
      <c r="AG3350" s="29"/>
    </row>
    <row r="3351" spans="2:33">
      <c r="B3351" s="29"/>
      <c r="D3351" s="29"/>
      <c r="E3351" s="20"/>
      <c r="F3351" s="20"/>
      <c r="AC3351" s="20"/>
      <c r="AG3351" s="29"/>
    </row>
    <row r="3352" spans="2:33">
      <c r="B3352" s="29"/>
      <c r="D3352" s="29"/>
      <c r="E3352" s="20"/>
      <c r="F3352" s="20"/>
      <c r="AC3352" s="20"/>
      <c r="AG3352" s="29"/>
    </row>
    <row r="3353" spans="2:33">
      <c r="B3353" s="29"/>
      <c r="D3353" s="29"/>
      <c r="E3353" s="20"/>
      <c r="F3353" s="20"/>
      <c r="AC3353" s="20"/>
      <c r="AG3353" s="29"/>
    </row>
    <row r="3354" spans="2:33">
      <c r="B3354" s="29"/>
      <c r="D3354" s="29"/>
      <c r="E3354" s="20"/>
      <c r="F3354" s="20"/>
      <c r="AC3354" s="20"/>
      <c r="AG3354" s="29"/>
    </row>
    <row r="3355" spans="2:33">
      <c r="B3355" s="29"/>
      <c r="D3355" s="29"/>
      <c r="E3355" s="20"/>
      <c r="F3355" s="20"/>
      <c r="AC3355" s="20"/>
      <c r="AG3355" s="29"/>
    </row>
    <row r="3356" spans="2:33">
      <c r="B3356" s="29"/>
      <c r="D3356" s="29"/>
      <c r="E3356" s="20"/>
      <c r="F3356" s="20"/>
      <c r="AC3356" s="20"/>
      <c r="AG3356" s="29"/>
    </row>
    <row r="3357" spans="2:33">
      <c r="B3357" s="29"/>
      <c r="D3357" s="29"/>
      <c r="E3357" s="20"/>
      <c r="F3357" s="20"/>
      <c r="AC3357" s="20"/>
      <c r="AG3357" s="29"/>
    </row>
    <row r="3358" spans="2:33">
      <c r="B3358" s="29"/>
      <c r="D3358" s="29"/>
      <c r="E3358" s="20"/>
      <c r="F3358" s="20"/>
      <c r="AC3358" s="20"/>
      <c r="AG3358" s="29"/>
    </row>
    <row r="3359" spans="2:33">
      <c r="B3359" s="29"/>
      <c r="D3359" s="29"/>
      <c r="E3359" s="20"/>
      <c r="F3359" s="20"/>
      <c r="AC3359" s="20"/>
      <c r="AG3359" s="29"/>
    </row>
    <row r="3360" spans="2:33">
      <c r="B3360" s="29"/>
      <c r="D3360" s="29"/>
      <c r="E3360" s="20"/>
      <c r="F3360" s="20"/>
      <c r="AC3360" s="20"/>
      <c r="AG3360" s="29"/>
    </row>
    <row r="3361" spans="2:33">
      <c r="B3361" s="29"/>
      <c r="D3361" s="29"/>
      <c r="E3361" s="20"/>
      <c r="F3361" s="20"/>
      <c r="AC3361" s="20"/>
      <c r="AG3361" s="29"/>
    </row>
    <row r="3362" spans="2:33">
      <c r="B3362" s="29"/>
      <c r="D3362" s="29"/>
      <c r="E3362" s="20"/>
      <c r="F3362" s="20"/>
      <c r="AC3362" s="20"/>
      <c r="AG3362" s="29"/>
    </row>
    <row r="3363" spans="2:33">
      <c r="B3363" s="29"/>
      <c r="D3363" s="29"/>
      <c r="E3363" s="20"/>
      <c r="F3363" s="20"/>
      <c r="AC3363" s="20"/>
      <c r="AG3363" s="29"/>
    </row>
    <row r="3364" spans="2:33">
      <c r="B3364" s="29"/>
      <c r="D3364" s="29"/>
      <c r="E3364" s="20"/>
      <c r="F3364" s="20"/>
      <c r="AC3364" s="20"/>
      <c r="AG3364" s="29"/>
    </row>
    <row r="3365" spans="2:33">
      <c r="B3365" s="29"/>
      <c r="D3365" s="29"/>
      <c r="E3365" s="20"/>
      <c r="F3365" s="20"/>
      <c r="AC3365" s="20"/>
      <c r="AG3365" s="29"/>
    </row>
    <row r="3366" spans="2:33">
      <c r="B3366" s="29"/>
      <c r="D3366" s="29"/>
      <c r="E3366" s="20"/>
      <c r="F3366" s="20"/>
      <c r="AC3366" s="20"/>
      <c r="AG3366" s="29"/>
    </row>
    <row r="3367" spans="2:33">
      <c r="B3367" s="29"/>
      <c r="D3367" s="29"/>
      <c r="E3367" s="20"/>
      <c r="F3367" s="20"/>
      <c r="AC3367" s="20"/>
      <c r="AG3367" s="29"/>
    </row>
    <row r="3368" spans="2:33">
      <c r="B3368" s="29"/>
      <c r="D3368" s="29"/>
      <c r="E3368" s="20"/>
      <c r="F3368" s="20"/>
      <c r="AC3368" s="20"/>
      <c r="AG3368" s="29"/>
    </row>
    <row r="3369" spans="2:33">
      <c r="B3369" s="29"/>
      <c r="D3369" s="29"/>
      <c r="E3369" s="20"/>
      <c r="F3369" s="20"/>
      <c r="AC3369" s="20"/>
      <c r="AG3369" s="29"/>
    </row>
    <row r="3370" spans="2:33">
      <c r="B3370" s="29"/>
      <c r="D3370" s="29"/>
      <c r="E3370" s="20"/>
      <c r="F3370" s="20"/>
      <c r="AC3370" s="20"/>
      <c r="AG3370" s="29"/>
    </row>
    <row r="3371" spans="2:33">
      <c r="B3371" s="29"/>
      <c r="D3371" s="29"/>
      <c r="E3371" s="20"/>
      <c r="F3371" s="20"/>
      <c r="AC3371" s="20"/>
      <c r="AG3371" s="29"/>
    </row>
    <row r="3372" spans="2:33">
      <c r="B3372" s="29"/>
      <c r="D3372" s="29"/>
      <c r="E3372" s="20"/>
      <c r="F3372" s="20"/>
      <c r="AC3372" s="20"/>
      <c r="AG3372" s="29"/>
    </row>
    <row r="3373" spans="2:33">
      <c r="B3373" s="29"/>
      <c r="D3373" s="29"/>
      <c r="E3373" s="20"/>
      <c r="F3373" s="20"/>
      <c r="AC3373" s="20"/>
      <c r="AG3373" s="29"/>
    </row>
    <row r="3374" spans="2:33">
      <c r="B3374" s="29"/>
      <c r="D3374" s="29"/>
      <c r="E3374" s="20"/>
      <c r="F3374" s="20"/>
      <c r="AC3374" s="20"/>
      <c r="AG3374" s="29"/>
    </row>
    <row r="3375" spans="2:33">
      <c r="B3375" s="29"/>
      <c r="D3375" s="29"/>
      <c r="E3375" s="20"/>
      <c r="F3375" s="20"/>
      <c r="AC3375" s="20"/>
      <c r="AG3375" s="29"/>
    </row>
    <row r="3376" spans="2:33">
      <c r="B3376" s="29"/>
      <c r="D3376" s="29"/>
      <c r="E3376" s="20"/>
      <c r="F3376" s="20"/>
      <c r="AC3376" s="20"/>
      <c r="AG3376" s="29"/>
    </row>
    <row r="3377" spans="2:33">
      <c r="B3377" s="29"/>
      <c r="D3377" s="29"/>
      <c r="E3377" s="20"/>
      <c r="F3377" s="20"/>
      <c r="AC3377" s="20"/>
      <c r="AG3377" s="29"/>
    </row>
    <row r="3378" spans="2:33">
      <c r="B3378" s="29"/>
      <c r="D3378" s="29"/>
      <c r="E3378" s="20"/>
      <c r="F3378" s="20"/>
      <c r="AC3378" s="20"/>
      <c r="AG3378" s="29"/>
    </row>
    <row r="3379" spans="2:33">
      <c r="B3379" s="29"/>
      <c r="D3379" s="29"/>
      <c r="E3379" s="20"/>
      <c r="F3379" s="20"/>
      <c r="AC3379" s="20"/>
      <c r="AG3379" s="29"/>
    </row>
    <row r="3380" spans="2:33">
      <c r="B3380" s="29"/>
      <c r="D3380" s="29"/>
      <c r="E3380" s="20"/>
      <c r="F3380" s="20"/>
      <c r="AC3380" s="20"/>
      <c r="AG3380" s="29"/>
    </row>
    <row r="3381" spans="2:33">
      <c r="B3381" s="29"/>
      <c r="D3381" s="29"/>
      <c r="E3381" s="20"/>
      <c r="F3381" s="20"/>
      <c r="AC3381" s="20"/>
      <c r="AG3381" s="29"/>
    </row>
    <row r="3382" spans="2:33">
      <c r="B3382" s="29"/>
      <c r="D3382" s="29"/>
      <c r="E3382" s="20"/>
      <c r="F3382" s="20"/>
      <c r="AC3382" s="20"/>
      <c r="AG3382" s="29"/>
    </row>
    <row r="3383" spans="2:33">
      <c r="B3383" s="29"/>
      <c r="D3383" s="29"/>
      <c r="E3383" s="20"/>
      <c r="F3383" s="20"/>
      <c r="AC3383" s="20"/>
      <c r="AG3383" s="29"/>
    </row>
    <row r="3384" spans="2:33">
      <c r="B3384" s="29"/>
      <c r="D3384" s="29"/>
      <c r="E3384" s="20"/>
      <c r="F3384" s="20"/>
      <c r="AC3384" s="20"/>
      <c r="AG3384" s="29"/>
    </row>
    <row r="3385" spans="2:33">
      <c r="B3385" s="29"/>
      <c r="D3385" s="29"/>
      <c r="E3385" s="20"/>
      <c r="F3385" s="20"/>
      <c r="AC3385" s="20"/>
      <c r="AG3385" s="29"/>
    </row>
    <row r="3386" spans="2:33">
      <c r="B3386" s="29"/>
      <c r="D3386" s="29"/>
      <c r="E3386" s="20"/>
      <c r="F3386" s="20"/>
      <c r="AC3386" s="20"/>
      <c r="AG3386" s="29"/>
    </row>
    <row r="3387" spans="2:33">
      <c r="B3387" s="29"/>
      <c r="D3387" s="29"/>
      <c r="E3387" s="20"/>
      <c r="F3387" s="20"/>
      <c r="AC3387" s="20"/>
      <c r="AG3387" s="29"/>
    </row>
    <row r="3388" spans="2:33">
      <c r="B3388" s="29"/>
      <c r="D3388" s="29"/>
      <c r="E3388" s="20"/>
      <c r="F3388" s="20"/>
      <c r="AC3388" s="20"/>
      <c r="AG3388" s="29"/>
    </row>
    <row r="3389" spans="2:33">
      <c r="B3389" s="29"/>
      <c r="D3389" s="29"/>
      <c r="E3389" s="20"/>
      <c r="F3389" s="20"/>
      <c r="AC3389" s="20"/>
      <c r="AG3389" s="29"/>
    </row>
    <row r="3390" spans="2:33">
      <c r="B3390" s="29"/>
      <c r="D3390" s="29"/>
      <c r="E3390" s="20"/>
      <c r="F3390" s="20"/>
      <c r="AC3390" s="20"/>
      <c r="AG3390" s="29"/>
    </row>
    <row r="3391" spans="2:33">
      <c r="B3391" s="29"/>
      <c r="D3391" s="29"/>
      <c r="E3391" s="20"/>
      <c r="F3391" s="20"/>
      <c r="AC3391" s="20"/>
      <c r="AG3391" s="29"/>
    </row>
    <row r="3392" spans="2:33">
      <c r="B3392" s="29"/>
      <c r="D3392" s="29"/>
      <c r="E3392" s="20"/>
      <c r="F3392" s="20"/>
      <c r="AC3392" s="20"/>
      <c r="AG3392" s="29"/>
    </row>
    <row r="3393" spans="2:33">
      <c r="B3393" s="29"/>
      <c r="D3393" s="29"/>
      <c r="E3393" s="20"/>
      <c r="F3393" s="20"/>
      <c r="AC3393" s="20"/>
      <c r="AG3393" s="29"/>
    </row>
    <row r="3394" spans="2:33">
      <c r="B3394" s="29"/>
      <c r="D3394" s="29"/>
      <c r="E3394" s="20"/>
      <c r="F3394" s="20"/>
      <c r="AC3394" s="20"/>
      <c r="AG3394" s="29"/>
    </row>
    <row r="3395" spans="2:33">
      <c r="B3395" s="29"/>
      <c r="D3395" s="29"/>
      <c r="E3395" s="20"/>
      <c r="F3395" s="20"/>
      <c r="AC3395" s="20"/>
      <c r="AG3395" s="29"/>
    </row>
    <row r="3396" spans="2:33">
      <c r="B3396" s="29"/>
      <c r="D3396" s="29"/>
      <c r="E3396" s="20"/>
      <c r="F3396" s="20"/>
      <c r="AC3396" s="20"/>
      <c r="AG3396" s="29"/>
    </row>
    <row r="3397" spans="2:33">
      <c r="B3397" s="29"/>
      <c r="D3397" s="29"/>
      <c r="E3397" s="20"/>
      <c r="F3397" s="20"/>
      <c r="AC3397" s="20"/>
      <c r="AG3397" s="29"/>
    </row>
    <row r="3398" spans="2:33">
      <c r="B3398" s="29"/>
      <c r="D3398" s="29"/>
      <c r="E3398" s="20"/>
      <c r="F3398" s="20"/>
      <c r="AC3398" s="20"/>
      <c r="AG3398" s="29"/>
    </row>
    <row r="3399" spans="2:33">
      <c r="B3399" s="29"/>
      <c r="D3399" s="29"/>
      <c r="E3399" s="20"/>
      <c r="F3399" s="20"/>
      <c r="AC3399" s="20"/>
      <c r="AG3399" s="29"/>
    </row>
    <row r="3400" spans="2:33">
      <c r="B3400" s="29"/>
      <c r="D3400" s="29"/>
      <c r="E3400" s="20"/>
      <c r="F3400" s="20"/>
      <c r="AC3400" s="20"/>
      <c r="AG3400" s="29"/>
    </row>
    <row r="3401" spans="2:33">
      <c r="B3401" s="29"/>
      <c r="D3401" s="29"/>
      <c r="E3401" s="20"/>
      <c r="F3401" s="20"/>
      <c r="AC3401" s="20"/>
      <c r="AG3401" s="29"/>
    </row>
    <row r="3402" spans="2:33">
      <c r="B3402" s="29"/>
      <c r="D3402" s="29"/>
      <c r="E3402" s="20"/>
      <c r="F3402" s="20"/>
      <c r="AC3402" s="20"/>
      <c r="AG3402" s="29"/>
    </row>
    <row r="3403" spans="2:33">
      <c r="B3403" s="29"/>
      <c r="D3403" s="29"/>
      <c r="E3403" s="20"/>
      <c r="F3403" s="20"/>
      <c r="AC3403" s="20"/>
      <c r="AG3403" s="29"/>
    </row>
    <row r="3404" spans="2:33">
      <c r="B3404" s="29"/>
      <c r="D3404" s="29"/>
      <c r="E3404" s="20"/>
      <c r="F3404" s="20"/>
      <c r="AC3404" s="20"/>
      <c r="AG3404" s="29"/>
    </row>
    <row r="3405" spans="2:33">
      <c r="B3405" s="29"/>
      <c r="D3405" s="29"/>
      <c r="E3405" s="20"/>
      <c r="F3405" s="20"/>
      <c r="AC3405" s="20"/>
      <c r="AG3405" s="29"/>
    </row>
    <row r="3406" spans="2:33">
      <c r="B3406" s="29"/>
      <c r="D3406" s="29"/>
      <c r="E3406" s="20"/>
      <c r="F3406" s="20"/>
      <c r="AC3406" s="20"/>
      <c r="AG3406" s="29"/>
    </row>
    <row r="3407" spans="2:33">
      <c r="B3407" s="29"/>
      <c r="D3407" s="29"/>
      <c r="E3407" s="20"/>
      <c r="F3407" s="20"/>
      <c r="AC3407" s="20"/>
      <c r="AG3407" s="29"/>
    </row>
    <row r="3408" spans="2:33">
      <c r="B3408" s="29"/>
      <c r="D3408" s="29"/>
      <c r="E3408" s="20"/>
      <c r="F3408" s="20"/>
      <c r="AC3408" s="20"/>
      <c r="AG3408" s="29"/>
    </row>
    <row r="3409" spans="2:33">
      <c r="B3409" s="29"/>
      <c r="D3409" s="29"/>
      <c r="E3409" s="20"/>
      <c r="F3409" s="20"/>
      <c r="AC3409" s="20"/>
      <c r="AG3409" s="29"/>
    </row>
    <row r="3410" spans="2:33">
      <c r="B3410" s="29"/>
      <c r="D3410" s="29"/>
      <c r="E3410" s="20"/>
      <c r="F3410" s="20"/>
      <c r="AC3410" s="20"/>
      <c r="AG3410" s="29"/>
    </row>
    <row r="3411" spans="2:33">
      <c r="B3411" s="29"/>
      <c r="D3411" s="29"/>
      <c r="E3411" s="20"/>
      <c r="F3411" s="20"/>
      <c r="AC3411" s="20"/>
      <c r="AG3411" s="29"/>
    </row>
    <row r="3412" spans="2:33">
      <c r="B3412" s="29"/>
      <c r="D3412" s="29"/>
      <c r="E3412" s="20"/>
      <c r="F3412" s="20"/>
      <c r="AC3412" s="20"/>
      <c r="AG3412" s="29"/>
    </row>
    <row r="3413" spans="2:33">
      <c r="B3413" s="29"/>
      <c r="D3413" s="29"/>
      <c r="E3413" s="20"/>
      <c r="F3413" s="20"/>
      <c r="AC3413" s="20"/>
      <c r="AG3413" s="29"/>
    </row>
    <row r="3414" spans="2:33">
      <c r="B3414" s="29"/>
      <c r="D3414" s="29"/>
      <c r="E3414" s="20"/>
      <c r="F3414" s="20"/>
      <c r="AC3414" s="20"/>
      <c r="AG3414" s="29"/>
    </row>
    <row r="3415" spans="2:33">
      <c r="B3415" s="29"/>
      <c r="D3415" s="29"/>
      <c r="E3415" s="20"/>
      <c r="F3415" s="20"/>
      <c r="AC3415" s="20"/>
      <c r="AG3415" s="29"/>
    </row>
    <row r="3416" spans="2:33">
      <c r="B3416" s="29"/>
      <c r="D3416" s="29"/>
      <c r="E3416" s="20"/>
      <c r="F3416" s="20"/>
      <c r="AC3416" s="20"/>
      <c r="AG3416" s="29"/>
    </row>
    <row r="3417" spans="2:33">
      <c r="B3417" s="29"/>
      <c r="D3417" s="29"/>
      <c r="E3417" s="20"/>
      <c r="F3417" s="20"/>
      <c r="AC3417" s="20"/>
      <c r="AG3417" s="29"/>
    </row>
    <row r="3418" spans="2:33">
      <c r="B3418" s="29"/>
      <c r="D3418" s="29"/>
      <c r="E3418" s="20"/>
      <c r="F3418" s="20"/>
      <c r="AC3418" s="20"/>
      <c r="AG3418" s="29"/>
    </row>
    <row r="3419" spans="2:33">
      <c r="B3419" s="29"/>
      <c r="D3419" s="29"/>
      <c r="E3419" s="20"/>
      <c r="F3419" s="20"/>
      <c r="AC3419" s="20"/>
      <c r="AG3419" s="29"/>
    </row>
    <row r="3420" spans="2:33">
      <c r="B3420" s="29"/>
      <c r="D3420" s="29"/>
      <c r="E3420" s="20"/>
      <c r="F3420" s="20"/>
      <c r="AC3420" s="20"/>
      <c r="AG3420" s="29"/>
    </row>
    <row r="3421" spans="2:33">
      <c r="B3421" s="29"/>
      <c r="D3421" s="29"/>
      <c r="E3421" s="20"/>
      <c r="F3421" s="20"/>
      <c r="AC3421" s="20"/>
      <c r="AG3421" s="29"/>
    </row>
    <row r="3422" spans="2:33">
      <c r="B3422" s="29"/>
      <c r="D3422" s="29"/>
      <c r="E3422" s="20"/>
      <c r="F3422" s="20"/>
      <c r="AC3422" s="20"/>
      <c r="AG3422" s="29"/>
    </row>
    <row r="3423" spans="2:33">
      <c r="B3423" s="29"/>
      <c r="D3423" s="29"/>
      <c r="E3423" s="20"/>
      <c r="F3423" s="20"/>
      <c r="AC3423" s="20"/>
      <c r="AG3423" s="29"/>
    </row>
    <row r="3424" spans="2:33">
      <c r="B3424" s="29"/>
      <c r="D3424" s="29"/>
      <c r="E3424" s="20"/>
      <c r="F3424" s="20"/>
      <c r="AC3424" s="20"/>
      <c r="AG3424" s="29"/>
    </row>
    <row r="3425" spans="2:33">
      <c r="B3425" s="29"/>
      <c r="D3425" s="29"/>
      <c r="E3425" s="20"/>
      <c r="F3425" s="20"/>
      <c r="AC3425" s="20"/>
      <c r="AG3425" s="29"/>
    </row>
    <row r="3426" spans="2:33">
      <c r="B3426" s="29"/>
      <c r="D3426" s="29"/>
      <c r="E3426" s="20"/>
      <c r="F3426" s="20"/>
      <c r="AC3426" s="20"/>
      <c r="AG3426" s="29"/>
    </row>
    <row r="3427" spans="2:33">
      <c r="B3427" s="29"/>
      <c r="D3427" s="29"/>
      <c r="E3427" s="20"/>
      <c r="F3427" s="20"/>
      <c r="AC3427" s="20"/>
      <c r="AG3427" s="29"/>
    </row>
    <row r="3428" spans="2:33">
      <c r="B3428" s="29"/>
      <c r="D3428" s="29"/>
      <c r="E3428" s="20"/>
      <c r="F3428" s="20"/>
      <c r="AC3428" s="20"/>
      <c r="AG3428" s="29"/>
    </row>
    <row r="3429" spans="2:33">
      <c r="B3429" s="29"/>
      <c r="D3429" s="29"/>
      <c r="E3429" s="20"/>
      <c r="F3429" s="20"/>
      <c r="AC3429" s="20"/>
      <c r="AG3429" s="29"/>
    </row>
    <row r="3430" spans="2:33">
      <c r="B3430" s="29"/>
      <c r="D3430" s="29"/>
      <c r="E3430" s="20"/>
      <c r="F3430" s="20"/>
      <c r="AC3430" s="20"/>
      <c r="AG3430" s="29"/>
    </row>
    <row r="3431" spans="2:33">
      <c r="B3431" s="29"/>
      <c r="D3431" s="29"/>
      <c r="E3431" s="20"/>
      <c r="F3431" s="20"/>
      <c r="AC3431" s="20"/>
      <c r="AG3431" s="29"/>
    </row>
    <row r="3432" spans="2:33">
      <c r="B3432" s="29"/>
      <c r="D3432" s="29"/>
      <c r="E3432" s="20"/>
      <c r="F3432" s="20"/>
      <c r="AC3432" s="20"/>
      <c r="AG3432" s="29"/>
    </row>
    <row r="3433" spans="2:33">
      <c r="B3433" s="29"/>
      <c r="D3433" s="29"/>
      <c r="E3433" s="20"/>
      <c r="F3433" s="20"/>
      <c r="AC3433" s="20"/>
      <c r="AG3433" s="29"/>
    </row>
    <row r="3434" spans="2:33">
      <c r="B3434" s="29"/>
      <c r="D3434" s="29"/>
      <c r="E3434" s="20"/>
      <c r="F3434" s="20"/>
      <c r="AC3434" s="20"/>
      <c r="AG3434" s="29"/>
    </row>
    <row r="3435" spans="2:33">
      <c r="B3435" s="29"/>
      <c r="D3435" s="29"/>
      <c r="E3435" s="20"/>
      <c r="F3435" s="20"/>
      <c r="AC3435" s="20"/>
      <c r="AG3435" s="29"/>
    </row>
    <row r="3436" spans="2:33">
      <c r="B3436" s="29"/>
      <c r="D3436" s="29"/>
      <c r="E3436" s="20"/>
      <c r="F3436" s="20"/>
      <c r="AC3436" s="20"/>
      <c r="AG3436" s="29"/>
    </row>
    <row r="3437" spans="2:33">
      <c r="B3437" s="29"/>
      <c r="D3437" s="29"/>
      <c r="E3437" s="20"/>
      <c r="F3437" s="20"/>
      <c r="AC3437" s="20"/>
      <c r="AG3437" s="29"/>
    </row>
    <row r="3438" spans="2:33">
      <c r="B3438" s="29"/>
      <c r="D3438" s="29"/>
      <c r="E3438" s="20"/>
      <c r="F3438" s="20"/>
      <c r="AC3438" s="20"/>
      <c r="AG3438" s="29"/>
    </row>
    <row r="3439" spans="2:33">
      <c r="B3439" s="29"/>
      <c r="D3439" s="29"/>
      <c r="E3439" s="20"/>
      <c r="F3439" s="20"/>
      <c r="AC3439" s="20"/>
      <c r="AG3439" s="29"/>
    </row>
    <row r="3440" spans="2:33">
      <c r="B3440" s="29"/>
      <c r="D3440" s="29"/>
      <c r="E3440" s="20"/>
      <c r="F3440" s="20"/>
      <c r="AC3440" s="20"/>
      <c r="AG3440" s="29"/>
    </row>
    <row r="3441" spans="2:33">
      <c r="B3441" s="29"/>
      <c r="D3441" s="29"/>
      <c r="E3441" s="20"/>
      <c r="F3441" s="20"/>
      <c r="AC3441" s="20"/>
      <c r="AG3441" s="29"/>
    </row>
    <row r="3442" spans="2:33">
      <c r="B3442" s="29"/>
      <c r="D3442" s="29"/>
      <c r="E3442" s="20"/>
      <c r="F3442" s="20"/>
      <c r="AC3442" s="20"/>
      <c r="AG3442" s="29"/>
    </row>
    <row r="3443" spans="2:33">
      <c r="B3443" s="29"/>
      <c r="D3443" s="29"/>
      <c r="E3443" s="20"/>
      <c r="F3443" s="20"/>
      <c r="AC3443" s="20"/>
      <c r="AG3443" s="29"/>
    </row>
    <row r="3444" spans="2:33">
      <c r="B3444" s="29"/>
      <c r="D3444" s="29"/>
      <c r="E3444" s="20"/>
      <c r="F3444" s="20"/>
      <c r="AC3444" s="20"/>
      <c r="AG3444" s="29"/>
    </row>
    <row r="3445" spans="2:33">
      <c r="B3445" s="29"/>
      <c r="D3445" s="29"/>
      <c r="E3445" s="20"/>
      <c r="F3445" s="20"/>
      <c r="AC3445" s="20"/>
      <c r="AG3445" s="29"/>
    </row>
    <row r="3446" spans="2:33">
      <c r="B3446" s="29"/>
      <c r="D3446" s="29"/>
      <c r="E3446" s="20"/>
      <c r="F3446" s="20"/>
      <c r="AC3446" s="20"/>
      <c r="AG3446" s="29"/>
    </row>
    <row r="3447" spans="2:33">
      <c r="B3447" s="29"/>
      <c r="D3447" s="29"/>
      <c r="E3447" s="20"/>
      <c r="F3447" s="20"/>
      <c r="AC3447" s="20"/>
      <c r="AG3447" s="29"/>
    </row>
    <row r="3448" spans="2:33">
      <c r="B3448" s="29"/>
      <c r="D3448" s="29"/>
      <c r="E3448" s="20"/>
      <c r="F3448" s="20"/>
      <c r="AC3448" s="20"/>
      <c r="AG3448" s="29"/>
    </row>
    <row r="3449" spans="2:33">
      <c r="B3449" s="29"/>
      <c r="D3449" s="29"/>
      <c r="E3449" s="20"/>
      <c r="F3449" s="20"/>
      <c r="AC3449" s="20"/>
      <c r="AG3449" s="29"/>
    </row>
    <row r="3450" spans="2:33">
      <c r="B3450" s="29"/>
      <c r="D3450" s="29"/>
      <c r="E3450" s="20"/>
      <c r="F3450" s="20"/>
      <c r="AC3450" s="20"/>
      <c r="AG3450" s="29"/>
    </row>
    <row r="3451" spans="2:33">
      <c r="B3451" s="29"/>
      <c r="D3451" s="29"/>
      <c r="E3451" s="20"/>
      <c r="F3451" s="20"/>
      <c r="AC3451" s="20"/>
      <c r="AG3451" s="29"/>
    </row>
    <row r="3452" spans="2:33">
      <c r="B3452" s="29"/>
      <c r="D3452" s="29"/>
      <c r="E3452" s="20"/>
      <c r="F3452" s="20"/>
      <c r="AC3452" s="20"/>
      <c r="AG3452" s="29"/>
    </row>
    <row r="3453" spans="2:33">
      <c r="B3453" s="29"/>
      <c r="D3453" s="29"/>
      <c r="E3453" s="20"/>
      <c r="F3453" s="20"/>
      <c r="AC3453" s="20"/>
      <c r="AG3453" s="29"/>
    </row>
    <row r="3454" spans="2:33">
      <c r="B3454" s="29"/>
      <c r="D3454" s="29"/>
      <c r="E3454" s="20"/>
      <c r="F3454" s="20"/>
      <c r="AC3454" s="20"/>
      <c r="AG3454" s="29"/>
    </row>
    <row r="3455" spans="2:33">
      <c r="B3455" s="29"/>
      <c r="D3455" s="29"/>
      <c r="E3455" s="20"/>
      <c r="F3455" s="20"/>
      <c r="AC3455" s="20"/>
      <c r="AG3455" s="29"/>
    </row>
    <row r="3456" spans="2:33">
      <c r="B3456" s="29"/>
      <c r="D3456" s="29"/>
      <c r="E3456" s="20"/>
      <c r="F3456" s="20"/>
      <c r="AC3456" s="20"/>
      <c r="AG3456" s="29"/>
    </row>
    <row r="3457" spans="2:33">
      <c r="B3457" s="29"/>
      <c r="D3457" s="29"/>
      <c r="E3457" s="20"/>
      <c r="F3457" s="20"/>
      <c r="AC3457" s="20"/>
      <c r="AG3457" s="29"/>
    </row>
    <row r="3458" spans="2:33">
      <c r="B3458" s="29"/>
      <c r="D3458" s="29"/>
      <c r="E3458" s="20"/>
      <c r="F3458" s="20"/>
      <c r="AC3458" s="20"/>
      <c r="AG3458" s="29"/>
    </row>
    <row r="3459" spans="2:33">
      <c r="B3459" s="29"/>
      <c r="D3459" s="29"/>
      <c r="E3459" s="20"/>
      <c r="F3459" s="20"/>
      <c r="AC3459" s="20"/>
      <c r="AG3459" s="29"/>
    </row>
    <row r="3460" spans="2:33">
      <c r="B3460" s="29"/>
      <c r="D3460" s="29"/>
      <c r="E3460" s="20"/>
      <c r="F3460" s="20"/>
      <c r="AC3460" s="20"/>
      <c r="AG3460" s="29"/>
    </row>
    <row r="3461" spans="2:33">
      <c r="B3461" s="29"/>
      <c r="D3461" s="29"/>
      <c r="E3461" s="20"/>
      <c r="F3461" s="20"/>
      <c r="AC3461" s="20"/>
      <c r="AG3461" s="29"/>
    </row>
    <row r="3462" spans="2:33">
      <c r="B3462" s="29"/>
      <c r="D3462" s="29"/>
      <c r="E3462" s="20"/>
      <c r="F3462" s="20"/>
      <c r="AC3462" s="20"/>
      <c r="AG3462" s="29"/>
    </row>
    <row r="3463" spans="2:33">
      <c r="B3463" s="29"/>
      <c r="D3463" s="29"/>
      <c r="E3463" s="20"/>
      <c r="F3463" s="20"/>
      <c r="AC3463" s="20"/>
      <c r="AG3463" s="29"/>
    </row>
    <row r="3464" spans="2:33">
      <c r="B3464" s="29"/>
      <c r="D3464" s="29"/>
      <c r="E3464" s="20"/>
      <c r="F3464" s="20"/>
      <c r="AC3464" s="20"/>
      <c r="AG3464" s="29"/>
    </row>
    <row r="3465" spans="2:33">
      <c r="B3465" s="29"/>
      <c r="D3465" s="29"/>
      <c r="E3465" s="20"/>
      <c r="F3465" s="20"/>
      <c r="AC3465" s="20"/>
      <c r="AG3465" s="29"/>
    </row>
    <row r="3466" spans="2:33">
      <c r="B3466" s="29"/>
      <c r="D3466" s="29"/>
      <c r="E3466" s="20"/>
      <c r="F3466" s="20"/>
      <c r="AC3466" s="20"/>
      <c r="AG3466" s="29"/>
    </row>
    <row r="3467" spans="2:33">
      <c r="B3467" s="29"/>
      <c r="D3467" s="29"/>
      <c r="E3467" s="20"/>
      <c r="F3467" s="20"/>
      <c r="AC3467" s="20"/>
      <c r="AG3467" s="29"/>
    </row>
    <row r="3468" spans="2:33">
      <c r="B3468" s="29"/>
      <c r="D3468" s="29"/>
      <c r="E3468" s="20"/>
      <c r="F3468" s="20"/>
      <c r="AC3468" s="20"/>
      <c r="AG3468" s="29"/>
    </row>
    <row r="3469" spans="2:33">
      <c r="B3469" s="29"/>
      <c r="D3469" s="29"/>
      <c r="E3469" s="20"/>
      <c r="F3469" s="20"/>
      <c r="AC3469" s="20"/>
      <c r="AG3469" s="29"/>
    </row>
    <row r="3470" spans="2:33">
      <c r="B3470" s="29"/>
      <c r="D3470" s="29"/>
      <c r="E3470" s="20"/>
      <c r="F3470" s="20"/>
      <c r="AC3470" s="20"/>
      <c r="AG3470" s="29"/>
    </row>
    <row r="3471" spans="2:33">
      <c r="B3471" s="29"/>
      <c r="D3471" s="29"/>
      <c r="E3471" s="20"/>
      <c r="F3471" s="20"/>
      <c r="AC3471" s="20"/>
      <c r="AG3471" s="29"/>
    </row>
    <row r="3472" spans="2:33">
      <c r="B3472" s="29"/>
      <c r="D3472" s="29"/>
      <c r="E3472" s="20"/>
      <c r="F3472" s="20"/>
      <c r="AC3472" s="20"/>
      <c r="AG3472" s="29"/>
    </row>
    <row r="3473" spans="2:33">
      <c r="B3473" s="29"/>
      <c r="D3473" s="29"/>
      <c r="E3473" s="20"/>
      <c r="F3473" s="20"/>
      <c r="AC3473" s="20"/>
      <c r="AG3473" s="29"/>
    </row>
    <row r="3474" spans="2:33">
      <c r="B3474" s="29"/>
      <c r="D3474" s="29"/>
      <c r="E3474" s="20"/>
      <c r="F3474" s="20"/>
      <c r="AC3474" s="20"/>
      <c r="AG3474" s="29"/>
    </row>
    <row r="3475" spans="2:33">
      <c r="B3475" s="29"/>
      <c r="D3475" s="29"/>
      <c r="E3475" s="20"/>
      <c r="F3475" s="20"/>
      <c r="AC3475" s="20"/>
      <c r="AG3475" s="29"/>
    </row>
    <row r="3476" spans="2:33">
      <c r="B3476" s="29"/>
      <c r="D3476" s="29"/>
      <c r="E3476" s="20"/>
      <c r="F3476" s="20"/>
      <c r="AC3476" s="20"/>
      <c r="AG3476" s="29"/>
    </row>
    <row r="3477" spans="2:33">
      <c r="B3477" s="29"/>
      <c r="D3477" s="29"/>
      <c r="E3477" s="20"/>
      <c r="F3477" s="20"/>
      <c r="AC3477" s="20"/>
      <c r="AG3477" s="29"/>
    </row>
    <row r="3478" spans="2:33">
      <c r="B3478" s="29"/>
      <c r="D3478" s="29"/>
      <c r="E3478" s="20"/>
      <c r="F3478" s="20"/>
      <c r="AC3478" s="20"/>
      <c r="AG3478" s="29"/>
    </row>
    <row r="3479" spans="2:33">
      <c r="B3479" s="29"/>
      <c r="D3479" s="29"/>
      <c r="E3479" s="20"/>
      <c r="F3479" s="20"/>
      <c r="AC3479" s="20"/>
      <c r="AG3479" s="29"/>
    </row>
    <row r="3480" spans="2:33">
      <c r="B3480" s="29"/>
      <c r="D3480" s="29"/>
      <c r="E3480" s="20"/>
      <c r="F3480" s="20"/>
      <c r="AC3480" s="20"/>
      <c r="AG3480" s="29"/>
    </row>
    <row r="3481" spans="2:33">
      <c r="B3481" s="29"/>
      <c r="D3481" s="29"/>
      <c r="E3481" s="20"/>
      <c r="F3481" s="20"/>
      <c r="AC3481" s="20"/>
      <c r="AG3481" s="29"/>
    </row>
    <row r="3482" spans="2:33">
      <c r="B3482" s="29"/>
      <c r="D3482" s="29"/>
      <c r="E3482" s="20"/>
      <c r="F3482" s="20"/>
      <c r="AC3482" s="20"/>
      <c r="AG3482" s="29"/>
    </row>
    <row r="3483" spans="2:33">
      <c r="B3483" s="29"/>
      <c r="D3483" s="29"/>
      <c r="E3483" s="20"/>
      <c r="F3483" s="20"/>
      <c r="AC3483" s="20"/>
      <c r="AG3483" s="29"/>
    </row>
    <row r="3484" spans="2:33">
      <c r="B3484" s="29"/>
      <c r="D3484" s="29"/>
      <c r="E3484" s="20"/>
      <c r="F3484" s="20"/>
      <c r="AC3484" s="20"/>
      <c r="AG3484" s="29"/>
    </row>
    <row r="3485" spans="2:33">
      <c r="B3485" s="29"/>
      <c r="D3485" s="29"/>
      <c r="E3485" s="20"/>
      <c r="F3485" s="20"/>
      <c r="AC3485" s="20"/>
      <c r="AG3485" s="29"/>
    </row>
    <row r="3486" spans="2:33">
      <c r="B3486" s="29"/>
      <c r="D3486" s="29"/>
      <c r="E3486" s="20"/>
      <c r="F3486" s="20"/>
      <c r="AC3486" s="20"/>
      <c r="AG3486" s="29"/>
    </row>
    <row r="3487" spans="2:33">
      <c r="B3487" s="29"/>
      <c r="D3487" s="29"/>
      <c r="E3487" s="20"/>
      <c r="F3487" s="20"/>
      <c r="AC3487" s="20"/>
      <c r="AG3487" s="29"/>
    </row>
    <row r="3488" spans="2:33">
      <c r="B3488" s="29"/>
      <c r="D3488" s="29"/>
      <c r="E3488" s="20"/>
      <c r="F3488" s="20"/>
      <c r="AC3488" s="20"/>
      <c r="AG3488" s="29"/>
    </row>
    <row r="3489" spans="2:33">
      <c r="B3489" s="29"/>
      <c r="D3489" s="29"/>
      <c r="E3489" s="20"/>
      <c r="F3489" s="20"/>
      <c r="AC3489" s="20"/>
      <c r="AG3489" s="29"/>
    </row>
    <row r="3490" spans="2:33">
      <c r="B3490" s="29"/>
      <c r="D3490" s="29"/>
      <c r="E3490" s="20"/>
      <c r="F3490" s="20"/>
      <c r="AC3490" s="20"/>
      <c r="AG3490" s="29"/>
    </row>
    <row r="3491" spans="2:33">
      <c r="B3491" s="29"/>
      <c r="D3491" s="29"/>
      <c r="E3491" s="20"/>
      <c r="F3491" s="20"/>
      <c r="AC3491" s="20"/>
      <c r="AG3491" s="29"/>
    </row>
    <row r="3492" spans="2:33">
      <c r="B3492" s="29"/>
      <c r="D3492" s="29"/>
      <c r="E3492" s="20"/>
      <c r="F3492" s="20"/>
      <c r="AC3492" s="20"/>
      <c r="AG3492" s="29"/>
    </row>
    <row r="3493" spans="2:33">
      <c r="B3493" s="29"/>
      <c r="D3493" s="29"/>
      <c r="E3493" s="20"/>
      <c r="F3493" s="20"/>
      <c r="AC3493" s="20"/>
      <c r="AG3493" s="29"/>
    </row>
    <row r="3494" spans="2:33">
      <c r="B3494" s="29"/>
      <c r="D3494" s="29"/>
      <c r="E3494" s="20"/>
      <c r="F3494" s="20"/>
      <c r="AC3494" s="20"/>
      <c r="AG3494" s="29"/>
    </row>
    <row r="3495" spans="2:33">
      <c r="B3495" s="29"/>
      <c r="D3495" s="29"/>
      <c r="E3495" s="20"/>
      <c r="F3495" s="20"/>
      <c r="AC3495" s="20"/>
      <c r="AG3495" s="29"/>
    </row>
    <row r="3496" spans="2:33">
      <c r="B3496" s="29"/>
      <c r="D3496" s="29"/>
      <c r="E3496" s="20"/>
      <c r="F3496" s="20"/>
      <c r="AC3496" s="20"/>
      <c r="AG3496" s="29"/>
    </row>
    <row r="3497" spans="2:33">
      <c r="B3497" s="29"/>
      <c r="D3497" s="29"/>
      <c r="E3497" s="20"/>
      <c r="F3497" s="20"/>
      <c r="AC3497" s="20"/>
      <c r="AG3497" s="29"/>
    </row>
    <row r="3498" spans="2:33">
      <c r="B3498" s="29"/>
      <c r="D3498" s="29"/>
      <c r="E3498" s="20"/>
      <c r="F3498" s="20"/>
      <c r="AC3498" s="20"/>
      <c r="AG3498" s="29"/>
    </row>
    <row r="3499" spans="2:33">
      <c r="B3499" s="29"/>
      <c r="D3499" s="29"/>
      <c r="E3499" s="20"/>
      <c r="F3499" s="20"/>
      <c r="AC3499" s="20"/>
      <c r="AG3499" s="29"/>
    </row>
    <row r="3500" spans="2:33">
      <c r="B3500" s="29"/>
      <c r="D3500" s="29"/>
      <c r="E3500" s="20"/>
      <c r="F3500" s="20"/>
      <c r="AC3500" s="20"/>
      <c r="AG3500" s="29"/>
    </row>
    <row r="3501" spans="2:33">
      <c r="B3501" s="29"/>
      <c r="D3501" s="29"/>
      <c r="E3501" s="20"/>
      <c r="F3501" s="20"/>
      <c r="AC3501" s="20"/>
      <c r="AG3501" s="29"/>
    </row>
    <row r="3502" spans="2:33">
      <c r="B3502" s="29"/>
      <c r="D3502" s="29"/>
      <c r="E3502" s="20"/>
      <c r="F3502" s="20"/>
      <c r="AC3502" s="20"/>
      <c r="AG3502" s="29"/>
    </row>
    <row r="3503" spans="2:33">
      <c r="B3503" s="29"/>
      <c r="D3503" s="29"/>
      <c r="E3503" s="20"/>
      <c r="F3503" s="20"/>
      <c r="AC3503" s="20"/>
      <c r="AG3503" s="29"/>
    </row>
    <row r="3504" spans="2:33">
      <c r="B3504" s="29"/>
      <c r="D3504" s="29"/>
      <c r="E3504" s="20"/>
      <c r="F3504" s="20"/>
      <c r="AC3504" s="20"/>
      <c r="AG3504" s="29"/>
    </row>
    <row r="3505" spans="2:33">
      <c r="B3505" s="29"/>
      <c r="D3505" s="29"/>
      <c r="E3505" s="20"/>
      <c r="F3505" s="20"/>
      <c r="AC3505" s="20"/>
      <c r="AG3505" s="29"/>
    </row>
    <row r="3506" spans="2:33">
      <c r="B3506" s="29"/>
      <c r="D3506" s="29"/>
      <c r="E3506" s="20"/>
      <c r="F3506" s="20"/>
      <c r="AC3506" s="20"/>
      <c r="AG3506" s="29"/>
    </row>
    <row r="3507" spans="2:33">
      <c r="B3507" s="29"/>
      <c r="D3507" s="29"/>
      <c r="E3507" s="20"/>
      <c r="F3507" s="20"/>
      <c r="AC3507" s="20"/>
      <c r="AG3507" s="29"/>
    </row>
    <row r="3508" spans="2:33">
      <c r="B3508" s="29"/>
      <c r="D3508" s="29"/>
      <c r="E3508" s="20"/>
      <c r="F3508" s="20"/>
      <c r="AC3508" s="20"/>
      <c r="AG3508" s="29"/>
    </row>
    <row r="3509" spans="2:33">
      <c r="B3509" s="29"/>
      <c r="D3509" s="29"/>
      <c r="E3509" s="20"/>
      <c r="F3509" s="20"/>
      <c r="AC3509" s="20"/>
      <c r="AG3509" s="29"/>
    </row>
    <row r="3510" spans="2:33">
      <c r="B3510" s="29"/>
      <c r="D3510" s="29"/>
      <c r="E3510" s="20"/>
      <c r="F3510" s="20"/>
      <c r="AC3510" s="20"/>
      <c r="AG3510" s="29"/>
    </row>
    <row r="3511" spans="2:33">
      <c r="B3511" s="29"/>
      <c r="D3511" s="29"/>
      <c r="E3511" s="20"/>
      <c r="F3511" s="20"/>
      <c r="AC3511" s="20"/>
      <c r="AG3511" s="29"/>
    </row>
    <row r="3512" spans="2:33">
      <c r="B3512" s="29"/>
      <c r="D3512" s="29"/>
      <c r="E3512" s="20"/>
      <c r="F3512" s="20"/>
      <c r="AC3512" s="20"/>
      <c r="AG3512" s="29"/>
    </row>
    <row r="3513" spans="2:33">
      <c r="B3513" s="29"/>
      <c r="D3513" s="29"/>
      <c r="E3513" s="20"/>
      <c r="F3513" s="20"/>
      <c r="AC3513" s="20"/>
      <c r="AG3513" s="29"/>
    </row>
    <row r="3514" spans="2:33">
      <c r="B3514" s="29"/>
      <c r="D3514" s="29"/>
      <c r="E3514" s="20"/>
      <c r="F3514" s="20"/>
      <c r="AC3514" s="20"/>
      <c r="AG3514" s="29"/>
    </row>
    <row r="3515" spans="2:33">
      <c r="B3515" s="29"/>
      <c r="D3515" s="29"/>
      <c r="E3515" s="20"/>
      <c r="F3515" s="20"/>
      <c r="AC3515" s="20"/>
      <c r="AG3515" s="29"/>
    </row>
    <row r="3516" spans="2:33">
      <c r="B3516" s="29"/>
      <c r="D3516" s="29"/>
      <c r="E3516" s="20"/>
      <c r="F3516" s="20"/>
      <c r="AC3516" s="20"/>
      <c r="AG3516" s="29"/>
    </row>
    <row r="3517" spans="2:33">
      <c r="B3517" s="29"/>
      <c r="D3517" s="29"/>
      <c r="E3517" s="20"/>
      <c r="F3517" s="20"/>
      <c r="AC3517" s="20"/>
      <c r="AG3517" s="29"/>
    </row>
    <row r="3518" spans="2:33">
      <c r="B3518" s="29"/>
      <c r="D3518" s="29"/>
      <c r="E3518" s="20"/>
      <c r="F3518" s="20"/>
      <c r="AC3518" s="20"/>
      <c r="AG3518" s="29"/>
    </row>
    <row r="3519" spans="2:33">
      <c r="B3519" s="29"/>
      <c r="D3519" s="29"/>
      <c r="E3519" s="20"/>
      <c r="F3519" s="20"/>
      <c r="AC3519" s="20"/>
      <c r="AG3519" s="29"/>
    </row>
    <row r="3520" spans="2:33">
      <c r="B3520" s="29"/>
      <c r="D3520" s="29"/>
      <c r="E3520" s="20"/>
      <c r="F3520" s="20"/>
      <c r="AC3520" s="20"/>
      <c r="AG3520" s="29"/>
    </row>
    <row r="3521" spans="2:33">
      <c r="B3521" s="29"/>
      <c r="D3521" s="29"/>
      <c r="E3521" s="20"/>
      <c r="F3521" s="20"/>
      <c r="AC3521" s="20"/>
      <c r="AG3521" s="29"/>
    </row>
    <row r="3522" spans="2:33">
      <c r="B3522" s="29"/>
      <c r="D3522" s="29"/>
      <c r="E3522" s="20"/>
      <c r="F3522" s="20"/>
      <c r="AC3522" s="20"/>
      <c r="AG3522" s="29"/>
    </row>
    <row r="3523" spans="2:33">
      <c r="B3523" s="29"/>
      <c r="D3523" s="29"/>
      <c r="E3523" s="20"/>
      <c r="F3523" s="20"/>
      <c r="AC3523" s="20"/>
      <c r="AG3523" s="29"/>
    </row>
    <row r="3524" spans="2:33">
      <c r="B3524" s="29"/>
      <c r="D3524" s="29"/>
      <c r="E3524" s="20"/>
      <c r="F3524" s="20"/>
      <c r="AC3524" s="20"/>
      <c r="AG3524" s="29"/>
    </row>
    <row r="3525" spans="2:33">
      <c r="B3525" s="29"/>
      <c r="D3525" s="29"/>
      <c r="E3525" s="20"/>
      <c r="F3525" s="20"/>
      <c r="AC3525" s="20"/>
      <c r="AG3525" s="29"/>
    </row>
    <row r="3526" spans="2:33">
      <c r="B3526" s="29"/>
      <c r="D3526" s="29"/>
      <c r="E3526" s="20"/>
      <c r="F3526" s="20"/>
      <c r="AC3526" s="20"/>
      <c r="AG3526" s="29"/>
    </row>
    <row r="3527" spans="2:33">
      <c r="B3527" s="29"/>
      <c r="D3527" s="29"/>
      <c r="E3527" s="20"/>
      <c r="F3527" s="20"/>
      <c r="AC3527" s="20"/>
      <c r="AG3527" s="29"/>
    </row>
    <row r="3528" spans="2:33">
      <c r="B3528" s="29"/>
      <c r="D3528" s="29"/>
      <c r="E3528" s="20"/>
      <c r="F3528" s="20"/>
      <c r="AC3528" s="20"/>
      <c r="AG3528" s="29"/>
    </row>
    <row r="3529" spans="2:33">
      <c r="B3529" s="29"/>
      <c r="D3529" s="29"/>
      <c r="E3529" s="20"/>
      <c r="F3529" s="20"/>
      <c r="AC3529" s="20"/>
      <c r="AG3529" s="29"/>
    </row>
    <row r="3530" spans="2:33">
      <c r="B3530" s="29"/>
      <c r="D3530" s="29"/>
      <c r="E3530" s="20"/>
      <c r="F3530" s="20"/>
      <c r="AC3530" s="20"/>
      <c r="AG3530" s="29"/>
    </row>
    <row r="3531" spans="2:33">
      <c r="B3531" s="29"/>
      <c r="D3531" s="29"/>
      <c r="E3531" s="20"/>
      <c r="F3531" s="20"/>
      <c r="AC3531" s="20"/>
      <c r="AG3531" s="29"/>
    </row>
    <row r="3532" spans="2:33">
      <c r="B3532" s="29"/>
      <c r="D3532" s="29"/>
      <c r="E3532" s="20"/>
      <c r="F3532" s="20"/>
      <c r="AC3532" s="20"/>
      <c r="AG3532" s="29"/>
    </row>
    <row r="3533" spans="2:33">
      <c r="B3533" s="29"/>
      <c r="D3533" s="29"/>
      <c r="E3533" s="20"/>
      <c r="F3533" s="20"/>
      <c r="AC3533" s="20"/>
      <c r="AG3533" s="29"/>
    </row>
    <row r="3534" spans="2:33">
      <c r="B3534" s="29"/>
      <c r="D3534" s="29"/>
      <c r="E3534" s="20"/>
      <c r="F3534" s="20"/>
      <c r="AC3534" s="20"/>
      <c r="AG3534" s="29"/>
    </row>
    <row r="3535" spans="2:33">
      <c r="B3535" s="29"/>
      <c r="D3535" s="29"/>
      <c r="E3535" s="20"/>
      <c r="F3535" s="20"/>
      <c r="AC3535" s="20"/>
      <c r="AG3535" s="29"/>
    </row>
    <row r="3536" spans="2:33">
      <c r="B3536" s="29"/>
      <c r="D3536" s="29"/>
      <c r="E3536" s="20"/>
      <c r="F3536" s="20"/>
      <c r="AC3536" s="20"/>
      <c r="AG3536" s="29"/>
    </row>
    <row r="3537" spans="2:33">
      <c r="B3537" s="29"/>
      <c r="D3537" s="29"/>
      <c r="E3537" s="20"/>
      <c r="F3537" s="20"/>
      <c r="AC3537" s="20"/>
      <c r="AG3537" s="29"/>
    </row>
    <row r="3538" spans="2:33">
      <c r="B3538" s="29"/>
      <c r="D3538" s="29"/>
      <c r="E3538" s="20"/>
      <c r="F3538" s="20"/>
      <c r="AC3538" s="20"/>
      <c r="AG3538" s="29"/>
    </row>
    <row r="3539" spans="2:33">
      <c r="B3539" s="29"/>
      <c r="D3539" s="29"/>
      <c r="E3539" s="20"/>
      <c r="F3539" s="20"/>
      <c r="AC3539" s="20"/>
      <c r="AG3539" s="29"/>
    </row>
    <row r="3540" spans="2:33">
      <c r="B3540" s="29"/>
      <c r="D3540" s="29"/>
      <c r="E3540" s="20"/>
      <c r="F3540" s="20"/>
      <c r="AC3540" s="20"/>
      <c r="AG3540" s="29"/>
    </row>
    <row r="3541" spans="2:33">
      <c r="B3541" s="29"/>
      <c r="D3541" s="29"/>
      <c r="E3541" s="20"/>
      <c r="F3541" s="20"/>
      <c r="AC3541" s="20"/>
      <c r="AG3541" s="29"/>
    </row>
    <row r="3542" spans="2:33">
      <c r="B3542" s="29"/>
      <c r="D3542" s="29"/>
      <c r="E3542" s="20"/>
      <c r="F3542" s="20"/>
      <c r="AC3542" s="20"/>
      <c r="AG3542" s="29"/>
    </row>
    <row r="3543" spans="2:33">
      <c r="B3543" s="29"/>
      <c r="D3543" s="29"/>
      <c r="E3543" s="20"/>
      <c r="F3543" s="20"/>
      <c r="AC3543" s="20"/>
      <c r="AG3543" s="29"/>
    </row>
    <row r="3544" spans="2:33">
      <c r="B3544" s="29"/>
      <c r="D3544" s="29"/>
      <c r="E3544" s="20"/>
      <c r="F3544" s="20"/>
      <c r="AC3544" s="20"/>
      <c r="AG3544" s="29"/>
    </row>
    <row r="3545" spans="2:33">
      <c r="B3545" s="29"/>
      <c r="D3545" s="29"/>
      <c r="E3545" s="20"/>
      <c r="F3545" s="20"/>
      <c r="AC3545" s="20"/>
      <c r="AG3545" s="29"/>
    </row>
    <row r="3546" spans="2:33">
      <c r="B3546" s="29"/>
      <c r="D3546" s="29"/>
      <c r="E3546" s="20"/>
      <c r="F3546" s="20"/>
      <c r="AC3546" s="20"/>
      <c r="AG3546" s="29"/>
    </row>
    <row r="3547" spans="2:33">
      <c r="B3547" s="29"/>
      <c r="D3547" s="29"/>
      <c r="E3547" s="20"/>
      <c r="F3547" s="20"/>
      <c r="AC3547" s="20"/>
      <c r="AG3547" s="29"/>
    </row>
    <row r="3548" spans="2:33">
      <c r="B3548" s="29"/>
      <c r="D3548" s="29"/>
      <c r="E3548" s="20"/>
      <c r="F3548" s="20"/>
      <c r="AC3548" s="20"/>
      <c r="AG3548" s="29"/>
    </row>
    <row r="3549" spans="2:33">
      <c r="B3549" s="29"/>
      <c r="D3549" s="29"/>
      <c r="E3549" s="20"/>
      <c r="F3549" s="20"/>
      <c r="AC3549" s="20"/>
      <c r="AG3549" s="29"/>
    </row>
    <row r="3550" spans="2:33">
      <c r="B3550" s="29"/>
      <c r="D3550" s="29"/>
      <c r="E3550" s="20"/>
      <c r="F3550" s="20"/>
      <c r="AC3550" s="20"/>
      <c r="AG3550" s="29"/>
    </row>
    <row r="3551" spans="2:33">
      <c r="B3551" s="29"/>
      <c r="D3551" s="29"/>
      <c r="E3551" s="20"/>
      <c r="F3551" s="20"/>
      <c r="AC3551" s="20"/>
      <c r="AG3551" s="29"/>
    </row>
    <row r="3552" spans="2:33">
      <c r="B3552" s="29"/>
      <c r="D3552" s="29"/>
      <c r="E3552" s="20"/>
      <c r="F3552" s="20"/>
      <c r="AC3552" s="20"/>
      <c r="AG3552" s="29"/>
    </row>
    <row r="3553" spans="2:33">
      <c r="B3553" s="29"/>
      <c r="D3553" s="29"/>
      <c r="E3553" s="20"/>
      <c r="F3553" s="20"/>
      <c r="AC3553" s="20"/>
      <c r="AG3553" s="29"/>
    </row>
    <row r="3554" spans="2:33">
      <c r="B3554" s="29"/>
      <c r="D3554" s="29"/>
      <c r="E3554" s="20"/>
      <c r="F3554" s="20"/>
      <c r="AC3554" s="20"/>
      <c r="AG3554" s="29"/>
    </row>
    <row r="3555" spans="2:33">
      <c r="B3555" s="29"/>
      <c r="D3555" s="29"/>
      <c r="E3555" s="20"/>
      <c r="F3555" s="20"/>
      <c r="AC3555" s="20"/>
      <c r="AG3555" s="29"/>
    </row>
    <row r="3556" spans="2:33">
      <c r="B3556" s="29"/>
      <c r="D3556" s="29"/>
      <c r="E3556" s="20"/>
      <c r="F3556" s="20"/>
      <c r="AC3556" s="20"/>
      <c r="AG3556" s="29"/>
    </row>
    <row r="3557" spans="2:33">
      <c r="B3557" s="29"/>
      <c r="D3557" s="29"/>
      <c r="E3557" s="20"/>
      <c r="F3557" s="20"/>
      <c r="AC3557" s="20"/>
      <c r="AG3557" s="29"/>
    </row>
    <row r="3558" spans="2:33">
      <c r="B3558" s="29"/>
      <c r="D3558" s="29"/>
      <c r="E3558" s="20"/>
      <c r="F3558" s="20"/>
      <c r="AC3558" s="20"/>
      <c r="AG3558" s="29"/>
    </row>
    <row r="3559" spans="2:33">
      <c r="B3559" s="29"/>
      <c r="D3559" s="29"/>
      <c r="E3559" s="20"/>
      <c r="F3559" s="20"/>
      <c r="AC3559" s="20"/>
      <c r="AG3559" s="29"/>
    </row>
    <row r="3560" spans="2:33">
      <c r="B3560" s="29"/>
      <c r="D3560" s="29"/>
      <c r="E3560" s="20"/>
      <c r="F3560" s="20"/>
      <c r="AC3560" s="20"/>
      <c r="AG3560" s="29"/>
    </row>
    <row r="3561" spans="2:33">
      <c r="B3561" s="29"/>
      <c r="D3561" s="29"/>
      <c r="E3561" s="20"/>
      <c r="F3561" s="20"/>
      <c r="AC3561" s="20"/>
      <c r="AG3561" s="29"/>
    </row>
    <row r="3562" spans="2:33">
      <c r="B3562" s="29"/>
      <c r="D3562" s="29"/>
      <c r="E3562" s="20"/>
      <c r="F3562" s="20"/>
      <c r="AC3562" s="20"/>
      <c r="AG3562" s="29"/>
    </row>
    <row r="3563" spans="2:33">
      <c r="B3563" s="29"/>
      <c r="D3563" s="29"/>
      <c r="E3563" s="20"/>
      <c r="F3563" s="20"/>
      <c r="AC3563" s="20"/>
      <c r="AG3563" s="29"/>
    </row>
    <row r="3564" spans="2:33">
      <c r="B3564" s="29"/>
      <c r="D3564" s="29"/>
      <c r="E3564" s="20"/>
      <c r="F3564" s="20"/>
      <c r="AC3564" s="20"/>
      <c r="AG3564" s="29"/>
    </row>
    <row r="3565" spans="2:33">
      <c r="B3565" s="29"/>
      <c r="D3565" s="29"/>
      <c r="E3565" s="20"/>
      <c r="F3565" s="20"/>
      <c r="AC3565" s="20"/>
      <c r="AG3565" s="29"/>
    </row>
    <row r="3566" spans="2:33">
      <c r="B3566" s="29"/>
      <c r="D3566" s="29"/>
      <c r="E3566" s="20"/>
      <c r="F3566" s="20"/>
      <c r="AC3566" s="20"/>
      <c r="AG3566" s="29"/>
    </row>
    <row r="3567" spans="2:33">
      <c r="B3567" s="29"/>
      <c r="D3567" s="29"/>
      <c r="E3567" s="20"/>
      <c r="F3567" s="20"/>
      <c r="AC3567" s="20"/>
      <c r="AG3567" s="29"/>
    </row>
    <row r="3568" spans="2:33">
      <c r="B3568" s="29"/>
      <c r="D3568" s="29"/>
      <c r="E3568" s="20"/>
      <c r="F3568" s="20"/>
      <c r="AC3568" s="20"/>
      <c r="AG3568" s="29"/>
    </row>
    <row r="3569" spans="2:33">
      <c r="B3569" s="29"/>
      <c r="D3569" s="29"/>
      <c r="E3569" s="20"/>
      <c r="F3569" s="20"/>
      <c r="AC3569" s="20"/>
      <c r="AG3569" s="29"/>
    </row>
    <row r="3570" spans="2:33">
      <c r="B3570" s="29"/>
      <c r="D3570" s="29"/>
      <c r="E3570" s="20"/>
      <c r="F3570" s="20"/>
      <c r="AC3570" s="20"/>
      <c r="AG3570" s="29"/>
    </row>
    <row r="3571" spans="2:33">
      <c r="B3571" s="29"/>
      <c r="D3571" s="29"/>
      <c r="E3571" s="20"/>
      <c r="F3571" s="20"/>
      <c r="AC3571" s="20"/>
      <c r="AG3571" s="29"/>
    </row>
    <row r="3572" spans="2:33">
      <c r="B3572" s="29"/>
      <c r="D3572" s="29"/>
      <c r="E3572" s="20"/>
      <c r="F3572" s="20"/>
      <c r="AC3572" s="20"/>
      <c r="AG3572" s="29"/>
    </row>
    <row r="3573" spans="2:33">
      <c r="B3573" s="29"/>
      <c r="D3573" s="29"/>
      <c r="E3573" s="20"/>
      <c r="F3573" s="20"/>
      <c r="AC3573" s="20"/>
      <c r="AG3573" s="29"/>
    </row>
    <row r="3574" spans="2:33">
      <c r="B3574" s="29"/>
      <c r="D3574" s="29"/>
      <c r="E3574" s="20"/>
      <c r="F3574" s="20"/>
      <c r="AC3574" s="20"/>
      <c r="AG3574" s="29"/>
    </row>
    <row r="3575" spans="2:33">
      <c r="B3575" s="29"/>
      <c r="D3575" s="29"/>
      <c r="E3575" s="20"/>
      <c r="F3575" s="20"/>
      <c r="AC3575" s="20"/>
      <c r="AG3575" s="29"/>
    </row>
    <row r="3576" spans="2:33">
      <c r="B3576" s="29"/>
      <c r="D3576" s="29"/>
      <c r="E3576" s="20"/>
      <c r="F3576" s="20"/>
      <c r="AC3576" s="20"/>
      <c r="AG3576" s="29"/>
    </row>
    <row r="3577" spans="2:33">
      <c r="B3577" s="29"/>
      <c r="D3577" s="29"/>
      <c r="E3577" s="20"/>
      <c r="F3577" s="20"/>
      <c r="AC3577" s="20"/>
      <c r="AG3577" s="29"/>
    </row>
    <row r="3578" spans="2:33">
      <c r="B3578" s="29"/>
      <c r="D3578" s="29"/>
      <c r="E3578" s="20"/>
      <c r="F3578" s="20"/>
      <c r="AC3578" s="20"/>
      <c r="AG3578" s="29"/>
    </row>
    <row r="3579" spans="2:33">
      <c r="B3579" s="29"/>
      <c r="D3579" s="29"/>
      <c r="E3579" s="20"/>
      <c r="F3579" s="20"/>
      <c r="AC3579" s="20"/>
      <c r="AG3579" s="29"/>
    </row>
    <row r="3580" spans="2:33">
      <c r="B3580" s="29"/>
      <c r="D3580" s="29"/>
      <c r="E3580" s="20"/>
      <c r="F3580" s="20"/>
      <c r="AC3580" s="20"/>
      <c r="AG3580" s="29"/>
    </row>
    <row r="3581" spans="2:33">
      <c r="B3581" s="29"/>
      <c r="D3581" s="29"/>
      <c r="E3581" s="20"/>
      <c r="F3581" s="20"/>
      <c r="AC3581" s="20"/>
      <c r="AG3581" s="29"/>
    </row>
    <row r="3582" spans="2:33">
      <c r="B3582" s="29"/>
      <c r="D3582" s="29"/>
      <c r="E3582" s="20"/>
      <c r="F3582" s="20"/>
      <c r="AC3582" s="20"/>
      <c r="AG3582" s="29"/>
    </row>
    <row r="3583" spans="2:33">
      <c r="B3583" s="29"/>
      <c r="D3583" s="29"/>
      <c r="E3583" s="20"/>
      <c r="F3583" s="20"/>
      <c r="AC3583" s="20"/>
      <c r="AG3583" s="29"/>
    </row>
    <row r="3584" spans="2:33">
      <c r="B3584" s="29"/>
      <c r="D3584" s="29"/>
      <c r="E3584" s="20"/>
      <c r="F3584" s="20"/>
      <c r="AC3584" s="20"/>
      <c r="AG3584" s="29"/>
    </row>
    <row r="3585" spans="2:33">
      <c r="B3585" s="29"/>
      <c r="D3585" s="29"/>
      <c r="E3585" s="20"/>
      <c r="F3585" s="20"/>
      <c r="AC3585" s="20"/>
      <c r="AG3585" s="29"/>
    </row>
    <row r="3586" spans="2:33">
      <c r="B3586" s="29"/>
      <c r="D3586" s="29"/>
      <c r="E3586" s="20"/>
      <c r="F3586" s="20"/>
      <c r="AC3586" s="20"/>
      <c r="AG3586" s="29"/>
    </row>
    <row r="3587" spans="2:33">
      <c r="B3587" s="29"/>
      <c r="D3587" s="29"/>
      <c r="E3587" s="20"/>
      <c r="F3587" s="20"/>
      <c r="AC3587" s="20"/>
      <c r="AG3587" s="29"/>
    </row>
    <row r="3588" spans="2:33">
      <c r="B3588" s="29"/>
      <c r="D3588" s="29"/>
      <c r="E3588" s="20"/>
      <c r="F3588" s="20"/>
      <c r="AC3588" s="20"/>
      <c r="AG3588" s="29"/>
    </row>
    <row r="3589" spans="2:33">
      <c r="B3589" s="29"/>
      <c r="D3589" s="29"/>
      <c r="E3589" s="20"/>
      <c r="F3589" s="20"/>
      <c r="AC3589" s="20"/>
      <c r="AG3589" s="29"/>
    </row>
    <row r="3590" spans="2:33">
      <c r="B3590" s="29"/>
      <c r="D3590" s="29"/>
      <c r="E3590" s="20"/>
      <c r="F3590" s="20"/>
      <c r="AC3590" s="20"/>
      <c r="AG3590" s="29"/>
    </row>
    <row r="3591" spans="2:33">
      <c r="B3591" s="29"/>
      <c r="D3591" s="29"/>
      <c r="E3591" s="20"/>
      <c r="F3591" s="20"/>
      <c r="AC3591" s="20"/>
      <c r="AG3591" s="29"/>
    </row>
    <row r="3592" spans="2:33">
      <c r="B3592" s="29"/>
      <c r="D3592" s="29"/>
      <c r="E3592" s="20"/>
      <c r="F3592" s="20"/>
      <c r="AC3592" s="20"/>
      <c r="AG3592" s="29"/>
    </row>
    <row r="3593" spans="2:33">
      <c r="B3593" s="29"/>
      <c r="D3593" s="29"/>
      <c r="E3593" s="20"/>
      <c r="F3593" s="20"/>
      <c r="AC3593" s="20"/>
      <c r="AG3593" s="29"/>
    </row>
    <row r="3594" spans="2:33">
      <c r="B3594" s="29"/>
      <c r="D3594" s="29"/>
      <c r="E3594" s="20"/>
      <c r="F3594" s="20"/>
      <c r="AC3594" s="20"/>
      <c r="AG3594" s="29"/>
    </row>
    <row r="3595" spans="2:33">
      <c r="B3595" s="29"/>
      <c r="D3595" s="29"/>
      <c r="E3595" s="20"/>
      <c r="F3595" s="20"/>
      <c r="AC3595" s="20"/>
      <c r="AG3595" s="29"/>
    </row>
    <row r="3596" spans="2:33">
      <c r="B3596" s="29"/>
      <c r="D3596" s="29"/>
      <c r="E3596" s="20"/>
      <c r="F3596" s="20"/>
      <c r="AC3596" s="20"/>
      <c r="AG3596" s="29"/>
    </row>
    <row r="3597" spans="2:33">
      <c r="B3597" s="29"/>
      <c r="D3597" s="29"/>
      <c r="E3597" s="20"/>
      <c r="F3597" s="20"/>
      <c r="AC3597" s="20"/>
      <c r="AG3597" s="29"/>
    </row>
    <row r="3598" spans="2:33">
      <c r="B3598" s="29"/>
      <c r="D3598" s="29"/>
      <c r="E3598" s="20"/>
      <c r="F3598" s="20"/>
      <c r="AC3598" s="20"/>
      <c r="AG3598" s="29"/>
    </row>
    <row r="3599" spans="2:33">
      <c r="B3599" s="29"/>
      <c r="D3599" s="29"/>
      <c r="E3599" s="20"/>
      <c r="F3599" s="20"/>
      <c r="AC3599" s="20"/>
      <c r="AG3599" s="29"/>
    </row>
    <row r="3600" spans="2:33">
      <c r="B3600" s="29"/>
      <c r="D3600" s="29"/>
      <c r="E3600" s="20"/>
      <c r="F3600" s="20"/>
      <c r="AC3600" s="20"/>
      <c r="AG3600" s="29"/>
    </row>
    <row r="3601" spans="2:33">
      <c r="B3601" s="29"/>
      <c r="D3601" s="29"/>
      <c r="E3601" s="20"/>
      <c r="F3601" s="20"/>
      <c r="AC3601" s="20"/>
      <c r="AG3601" s="29"/>
    </row>
    <row r="3602" spans="2:33">
      <c r="B3602" s="29"/>
      <c r="D3602" s="29"/>
      <c r="E3602" s="20"/>
      <c r="F3602" s="20"/>
      <c r="AC3602" s="20"/>
      <c r="AG3602" s="29"/>
    </row>
    <row r="3603" spans="2:33">
      <c r="B3603" s="29"/>
      <c r="D3603" s="29"/>
      <c r="E3603" s="20"/>
      <c r="F3603" s="20"/>
      <c r="AC3603" s="20"/>
      <c r="AG3603" s="29"/>
    </row>
    <row r="3604" spans="2:33">
      <c r="B3604" s="29"/>
      <c r="D3604" s="29"/>
      <c r="E3604" s="20"/>
      <c r="F3604" s="20"/>
      <c r="AC3604" s="20"/>
      <c r="AG3604" s="29"/>
    </row>
    <row r="3605" spans="2:33">
      <c r="B3605" s="29"/>
      <c r="D3605" s="29"/>
      <c r="E3605" s="20"/>
      <c r="F3605" s="20"/>
      <c r="AC3605" s="20"/>
      <c r="AG3605" s="29"/>
    </row>
    <row r="3606" spans="2:33">
      <c r="B3606" s="29"/>
      <c r="D3606" s="29"/>
      <c r="E3606" s="20"/>
      <c r="F3606" s="20"/>
      <c r="AC3606" s="20"/>
      <c r="AG3606" s="29"/>
    </row>
    <row r="3607" spans="2:33">
      <c r="B3607" s="29"/>
      <c r="D3607" s="29"/>
      <c r="E3607" s="20"/>
      <c r="F3607" s="20"/>
      <c r="AC3607" s="20"/>
      <c r="AG3607" s="29"/>
    </row>
    <row r="3608" spans="2:33">
      <c r="B3608" s="29"/>
      <c r="D3608" s="29"/>
      <c r="E3608" s="20"/>
      <c r="F3608" s="20"/>
      <c r="AC3608" s="20"/>
      <c r="AG3608" s="29"/>
    </row>
    <row r="3609" spans="2:33">
      <c r="B3609" s="29"/>
      <c r="D3609" s="29"/>
      <c r="E3609" s="20"/>
      <c r="F3609" s="20"/>
      <c r="AC3609" s="20"/>
      <c r="AG3609" s="29"/>
    </row>
    <row r="3610" spans="2:33">
      <c r="B3610" s="29"/>
      <c r="D3610" s="29"/>
      <c r="E3610" s="20"/>
      <c r="F3610" s="20"/>
      <c r="AC3610" s="20"/>
      <c r="AG3610" s="29"/>
    </row>
    <row r="3611" spans="2:33">
      <c r="B3611" s="29"/>
      <c r="D3611" s="29"/>
      <c r="E3611" s="20"/>
      <c r="F3611" s="20"/>
      <c r="AC3611" s="20"/>
      <c r="AG3611" s="29"/>
    </row>
    <row r="3612" spans="2:33">
      <c r="B3612" s="29"/>
      <c r="D3612" s="29"/>
      <c r="E3612" s="20"/>
      <c r="F3612" s="20"/>
      <c r="AC3612" s="20"/>
      <c r="AG3612" s="29"/>
    </row>
    <row r="3613" spans="2:33">
      <c r="B3613" s="29"/>
      <c r="D3613" s="29"/>
      <c r="E3613" s="20"/>
      <c r="F3613" s="20"/>
      <c r="AC3613" s="20"/>
      <c r="AG3613" s="29"/>
    </row>
    <row r="3614" spans="2:33">
      <c r="B3614" s="29"/>
      <c r="D3614" s="29"/>
      <c r="E3614" s="20"/>
      <c r="F3614" s="20"/>
      <c r="AC3614" s="20"/>
      <c r="AG3614" s="29"/>
    </row>
    <row r="3615" spans="2:33">
      <c r="B3615" s="29"/>
      <c r="D3615" s="29"/>
      <c r="E3615" s="20"/>
      <c r="F3615" s="20"/>
      <c r="AC3615" s="20"/>
      <c r="AG3615" s="29"/>
    </row>
    <row r="3616" spans="2:33">
      <c r="B3616" s="29"/>
      <c r="D3616" s="29"/>
      <c r="E3616" s="20"/>
      <c r="F3616" s="20"/>
      <c r="AC3616" s="20"/>
      <c r="AG3616" s="29"/>
    </row>
    <row r="3617" spans="2:33">
      <c r="B3617" s="29"/>
      <c r="D3617" s="29"/>
      <c r="E3617" s="20"/>
      <c r="F3617" s="20"/>
      <c r="AC3617" s="20"/>
      <c r="AG3617" s="29"/>
    </row>
    <row r="3618" spans="2:33">
      <c r="B3618" s="29"/>
      <c r="D3618" s="29"/>
      <c r="E3618" s="20"/>
      <c r="F3618" s="20"/>
      <c r="AC3618" s="20"/>
      <c r="AG3618" s="29"/>
    </row>
    <row r="3619" spans="2:33">
      <c r="B3619" s="29"/>
      <c r="D3619" s="29"/>
      <c r="E3619" s="20"/>
      <c r="F3619" s="20"/>
      <c r="AC3619" s="20"/>
      <c r="AG3619" s="29"/>
    </row>
    <row r="3620" spans="2:33">
      <c r="B3620" s="29"/>
      <c r="D3620" s="29"/>
      <c r="E3620" s="20"/>
      <c r="F3620" s="20"/>
      <c r="AC3620" s="20"/>
      <c r="AG3620" s="29"/>
    </row>
    <row r="3621" spans="2:33">
      <c r="B3621" s="29"/>
      <c r="D3621" s="29"/>
      <c r="E3621" s="20"/>
      <c r="F3621" s="20"/>
      <c r="AC3621" s="20"/>
      <c r="AG3621" s="29"/>
    </row>
    <row r="3622" spans="2:33">
      <c r="B3622" s="29"/>
      <c r="D3622" s="29"/>
      <c r="E3622" s="20"/>
      <c r="F3622" s="20"/>
      <c r="AC3622" s="20"/>
      <c r="AG3622" s="29"/>
    </row>
    <row r="3623" spans="2:33">
      <c r="B3623" s="29"/>
      <c r="D3623" s="29"/>
      <c r="E3623" s="20"/>
      <c r="F3623" s="20"/>
      <c r="AC3623" s="20"/>
      <c r="AG3623" s="29"/>
    </row>
    <row r="3624" spans="2:33">
      <c r="B3624" s="29"/>
      <c r="D3624" s="29"/>
      <c r="E3624" s="20"/>
      <c r="F3624" s="20"/>
      <c r="AC3624" s="20"/>
      <c r="AG3624" s="29"/>
    </row>
    <row r="3625" spans="2:33">
      <c r="B3625" s="29"/>
      <c r="D3625" s="29"/>
      <c r="E3625" s="20"/>
      <c r="F3625" s="20"/>
      <c r="AC3625" s="20"/>
      <c r="AG3625" s="29"/>
    </row>
    <row r="3626" spans="2:33">
      <c r="B3626" s="29"/>
      <c r="D3626" s="29"/>
      <c r="E3626" s="20"/>
      <c r="F3626" s="20"/>
      <c r="AC3626" s="20"/>
      <c r="AG3626" s="29"/>
    </row>
    <row r="3627" spans="2:33">
      <c r="B3627" s="29"/>
      <c r="D3627" s="29"/>
      <c r="E3627" s="20"/>
      <c r="F3627" s="20"/>
      <c r="AC3627" s="20"/>
      <c r="AG3627" s="29"/>
    </row>
    <row r="3628" spans="2:33">
      <c r="B3628" s="29"/>
      <c r="D3628" s="29"/>
      <c r="E3628" s="20"/>
      <c r="F3628" s="20"/>
      <c r="AC3628" s="20"/>
      <c r="AG3628" s="29"/>
    </row>
    <row r="3629" spans="2:33">
      <c r="B3629" s="29"/>
      <c r="D3629" s="29"/>
      <c r="E3629" s="20"/>
      <c r="F3629" s="20"/>
      <c r="AC3629" s="20"/>
      <c r="AG3629" s="29"/>
    </row>
    <row r="3630" spans="2:33">
      <c r="B3630" s="29"/>
      <c r="D3630" s="29"/>
      <c r="E3630" s="20"/>
      <c r="F3630" s="20"/>
      <c r="AC3630" s="20"/>
      <c r="AG3630" s="29"/>
    </row>
    <row r="3631" spans="2:33">
      <c r="B3631" s="29"/>
      <c r="D3631" s="29"/>
      <c r="E3631" s="20"/>
      <c r="F3631" s="20"/>
      <c r="AC3631" s="20"/>
      <c r="AG3631" s="29"/>
    </row>
    <row r="3632" spans="2:33">
      <c r="B3632" s="29"/>
      <c r="D3632" s="29"/>
      <c r="E3632" s="20"/>
      <c r="F3632" s="20"/>
      <c r="AC3632" s="20"/>
      <c r="AG3632" s="29"/>
    </row>
    <row r="3633" spans="2:33">
      <c r="B3633" s="29"/>
      <c r="D3633" s="29"/>
      <c r="E3633" s="20"/>
      <c r="F3633" s="20"/>
      <c r="AC3633" s="20"/>
      <c r="AG3633" s="29"/>
    </row>
    <row r="3634" spans="2:33">
      <c r="B3634" s="29"/>
      <c r="D3634" s="29"/>
      <c r="E3634" s="20"/>
      <c r="F3634" s="20"/>
      <c r="AC3634" s="20"/>
      <c r="AG3634" s="29"/>
    </row>
    <row r="3635" spans="2:33">
      <c r="B3635" s="29"/>
      <c r="D3635" s="29"/>
      <c r="E3635" s="20"/>
      <c r="F3635" s="20"/>
      <c r="AC3635" s="20"/>
      <c r="AG3635" s="29"/>
    </row>
    <row r="3636" spans="2:33">
      <c r="B3636" s="29"/>
      <c r="D3636" s="29"/>
      <c r="E3636" s="20"/>
      <c r="F3636" s="20"/>
      <c r="AC3636" s="20"/>
      <c r="AG3636" s="29"/>
    </row>
    <row r="3637" spans="2:33">
      <c r="B3637" s="29"/>
      <c r="D3637" s="29"/>
      <c r="E3637" s="20"/>
      <c r="F3637" s="20"/>
      <c r="AC3637" s="20"/>
      <c r="AG3637" s="29"/>
    </row>
    <row r="3638" spans="2:33">
      <c r="B3638" s="29"/>
      <c r="D3638" s="29"/>
      <c r="E3638" s="20"/>
      <c r="F3638" s="20"/>
      <c r="AC3638" s="20"/>
      <c r="AG3638" s="29"/>
    </row>
    <row r="3639" spans="2:33">
      <c r="B3639" s="29"/>
      <c r="D3639" s="29"/>
      <c r="E3639" s="20"/>
      <c r="F3639" s="20"/>
      <c r="AC3639" s="20"/>
      <c r="AG3639" s="29"/>
    </row>
    <row r="3640" spans="2:33">
      <c r="B3640" s="29"/>
      <c r="D3640" s="29"/>
      <c r="E3640" s="20"/>
      <c r="F3640" s="20"/>
      <c r="AC3640" s="20"/>
      <c r="AG3640" s="29"/>
    </row>
    <row r="3641" spans="2:33">
      <c r="B3641" s="29"/>
      <c r="D3641" s="29"/>
      <c r="E3641" s="20"/>
      <c r="F3641" s="20"/>
      <c r="AC3641" s="20"/>
      <c r="AG3641" s="29"/>
    </row>
    <row r="3642" spans="2:33">
      <c r="B3642" s="29"/>
      <c r="D3642" s="29"/>
      <c r="E3642" s="20"/>
      <c r="F3642" s="20"/>
      <c r="AC3642" s="20"/>
      <c r="AG3642" s="29"/>
    </row>
    <row r="3643" spans="2:33">
      <c r="B3643" s="29"/>
      <c r="D3643" s="29"/>
      <c r="E3643" s="20"/>
      <c r="F3643" s="20"/>
      <c r="AC3643" s="20"/>
      <c r="AG3643" s="29"/>
    </row>
    <row r="3644" spans="2:33">
      <c r="B3644" s="29"/>
      <c r="D3644" s="29"/>
      <c r="E3644" s="20"/>
      <c r="F3644" s="20"/>
      <c r="AC3644" s="20"/>
      <c r="AG3644" s="29"/>
    </row>
    <row r="3645" spans="2:33">
      <c r="B3645" s="29"/>
      <c r="D3645" s="29"/>
      <c r="E3645" s="20"/>
      <c r="F3645" s="20"/>
      <c r="AC3645" s="20"/>
      <c r="AG3645" s="29"/>
    </row>
    <row r="3646" spans="2:33">
      <c r="B3646" s="29"/>
      <c r="D3646" s="29"/>
      <c r="E3646" s="20"/>
      <c r="F3646" s="20"/>
      <c r="AC3646" s="20"/>
      <c r="AG3646" s="29"/>
    </row>
    <row r="3647" spans="2:33">
      <c r="B3647" s="29"/>
      <c r="D3647" s="29"/>
      <c r="E3647" s="20"/>
      <c r="F3647" s="20"/>
      <c r="AC3647" s="20"/>
      <c r="AG3647" s="29"/>
    </row>
    <row r="3648" spans="2:33">
      <c r="B3648" s="29"/>
      <c r="D3648" s="29"/>
      <c r="E3648" s="20"/>
      <c r="F3648" s="20"/>
      <c r="AC3648" s="20"/>
      <c r="AG3648" s="29"/>
    </row>
    <row r="3649" spans="2:33">
      <c r="B3649" s="29"/>
      <c r="D3649" s="29"/>
      <c r="E3649" s="20"/>
      <c r="F3649" s="20"/>
      <c r="AC3649" s="20"/>
      <c r="AG3649" s="29"/>
    </row>
    <row r="3650" spans="2:33">
      <c r="B3650" s="29"/>
      <c r="D3650" s="29"/>
      <c r="E3650" s="20"/>
      <c r="F3650" s="20"/>
      <c r="AC3650" s="20"/>
      <c r="AG3650" s="29"/>
    </row>
    <row r="3651" spans="2:33">
      <c r="B3651" s="29"/>
      <c r="D3651" s="29"/>
      <c r="E3651" s="20"/>
      <c r="F3651" s="20"/>
      <c r="AC3651" s="20"/>
      <c r="AG3651" s="29"/>
    </row>
    <row r="3652" spans="2:33">
      <c r="B3652" s="29"/>
      <c r="D3652" s="29"/>
      <c r="E3652" s="20"/>
      <c r="F3652" s="20"/>
      <c r="AC3652" s="20"/>
      <c r="AG3652" s="29"/>
    </row>
    <row r="3653" spans="2:33">
      <c r="B3653" s="29"/>
      <c r="D3653" s="29"/>
      <c r="E3653" s="20"/>
      <c r="F3653" s="20"/>
      <c r="AC3653" s="20"/>
      <c r="AG3653" s="29"/>
    </row>
    <row r="3654" spans="2:33">
      <c r="B3654" s="29"/>
      <c r="D3654" s="29"/>
      <c r="E3654" s="20"/>
      <c r="F3654" s="20"/>
      <c r="AC3654" s="20"/>
      <c r="AG3654" s="29"/>
    </row>
    <row r="3655" spans="2:33">
      <c r="B3655" s="29"/>
      <c r="D3655" s="29"/>
      <c r="E3655" s="20"/>
      <c r="F3655" s="20"/>
      <c r="AC3655" s="20"/>
      <c r="AG3655" s="29"/>
    </row>
    <row r="3656" spans="2:33">
      <c r="B3656" s="29"/>
      <c r="D3656" s="29"/>
      <c r="E3656" s="20"/>
      <c r="F3656" s="20"/>
      <c r="AC3656" s="20"/>
      <c r="AG3656" s="29"/>
    </row>
    <row r="3657" spans="2:33">
      <c r="B3657" s="29"/>
      <c r="D3657" s="29"/>
      <c r="E3657" s="20"/>
      <c r="F3657" s="20"/>
      <c r="AC3657" s="20"/>
      <c r="AG3657" s="29"/>
    </row>
    <row r="3658" spans="2:33">
      <c r="B3658" s="29"/>
      <c r="D3658" s="29"/>
      <c r="E3658" s="20"/>
      <c r="F3658" s="20"/>
      <c r="AC3658" s="20"/>
      <c r="AG3658" s="29"/>
    </row>
    <row r="3659" spans="2:33">
      <c r="B3659" s="29"/>
      <c r="D3659" s="29"/>
      <c r="E3659" s="20"/>
      <c r="F3659" s="20"/>
      <c r="AC3659" s="20"/>
      <c r="AG3659" s="29"/>
    </row>
    <row r="3660" spans="2:33">
      <c r="B3660" s="29"/>
      <c r="D3660" s="29"/>
      <c r="E3660" s="20"/>
      <c r="F3660" s="20"/>
      <c r="AC3660" s="20"/>
      <c r="AG3660" s="29"/>
    </row>
    <row r="3661" spans="2:33">
      <c r="B3661" s="29"/>
      <c r="D3661" s="29"/>
      <c r="E3661" s="20"/>
      <c r="F3661" s="20"/>
      <c r="AC3661" s="20"/>
      <c r="AG3661" s="29"/>
    </row>
    <row r="3662" spans="2:33">
      <c r="B3662" s="29"/>
      <c r="D3662" s="29"/>
      <c r="E3662" s="20"/>
      <c r="F3662" s="20"/>
      <c r="AC3662" s="20"/>
      <c r="AG3662" s="29"/>
    </row>
    <row r="3663" spans="2:33">
      <c r="B3663" s="29"/>
      <c r="D3663" s="29"/>
      <c r="E3663" s="20"/>
      <c r="F3663" s="20"/>
      <c r="AC3663" s="20"/>
      <c r="AG3663" s="29"/>
    </row>
    <row r="3664" spans="2:33">
      <c r="B3664" s="29"/>
      <c r="D3664" s="29"/>
      <c r="E3664" s="20"/>
      <c r="F3664" s="20"/>
      <c r="AC3664" s="20"/>
      <c r="AG3664" s="29"/>
    </row>
    <row r="3665" spans="2:33">
      <c r="B3665" s="29"/>
      <c r="D3665" s="29"/>
      <c r="E3665" s="20"/>
      <c r="F3665" s="20"/>
      <c r="AC3665" s="20"/>
      <c r="AG3665" s="29"/>
    </row>
    <row r="3666" spans="2:33">
      <c r="B3666" s="29"/>
      <c r="D3666" s="29"/>
      <c r="E3666" s="20"/>
      <c r="F3666" s="20"/>
      <c r="AC3666" s="20"/>
      <c r="AG3666" s="29"/>
    </row>
    <row r="3667" spans="2:33">
      <c r="B3667" s="29"/>
      <c r="D3667" s="29"/>
      <c r="E3667" s="20"/>
      <c r="F3667" s="20"/>
      <c r="AC3667" s="20"/>
      <c r="AG3667" s="29"/>
    </row>
    <row r="3668" spans="2:33">
      <c r="B3668" s="29"/>
      <c r="D3668" s="29"/>
      <c r="E3668" s="20"/>
      <c r="F3668" s="20"/>
      <c r="AC3668" s="20"/>
      <c r="AG3668" s="29"/>
    </row>
    <row r="3669" spans="2:33">
      <c r="B3669" s="29"/>
      <c r="D3669" s="29"/>
      <c r="E3669" s="20"/>
      <c r="F3669" s="20"/>
      <c r="AC3669" s="20"/>
      <c r="AG3669" s="29"/>
    </row>
    <row r="3670" spans="2:33">
      <c r="B3670" s="29"/>
      <c r="D3670" s="29"/>
      <c r="E3670" s="20"/>
      <c r="F3670" s="20"/>
      <c r="AC3670" s="20"/>
      <c r="AG3670" s="29"/>
    </row>
    <row r="3671" spans="2:33">
      <c r="B3671" s="29"/>
      <c r="D3671" s="29"/>
      <c r="E3671" s="20"/>
      <c r="F3671" s="20"/>
      <c r="AC3671" s="20"/>
      <c r="AG3671" s="29"/>
    </row>
    <row r="3672" spans="2:33">
      <c r="B3672" s="29"/>
      <c r="D3672" s="29"/>
      <c r="E3672" s="20"/>
      <c r="F3672" s="20"/>
      <c r="AC3672" s="20"/>
      <c r="AG3672" s="29"/>
    </row>
    <row r="3673" spans="2:33">
      <c r="B3673" s="29"/>
      <c r="D3673" s="29"/>
      <c r="E3673" s="20"/>
      <c r="F3673" s="20"/>
      <c r="AC3673" s="20"/>
      <c r="AG3673" s="29"/>
    </row>
    <row r="3674" spans="2:33">
      <c r="B3674" s="29"/>
      <c r="D3674" s="29"/>
      <c r="E3674" s="20"/>
      <c r="F3674" s="20"/>
      <c r="AC3674" s="20"/>
      <c r="AG3674" s="29"/>
    </row>
    <row r="3675" spans="2:33">
      <c r="B3675" s="29"/>
      <c r="D3675" s="29"/>
      <c r="E3675" s="20"/>
      <c r="F3675" s="20"/>
      <c r="AC3675" s="20"/>
      <c r="AG3675" s="29"/>
    </row>
    <row r="3676" spans="2:33">
      <c r="B3676" s="29"/>
      <c r="D3676" s="29"/>
      <c r="E3676" s="20"/>
      <c r="F3676" s="20"/>
      <c r="AC3676" s="20"/>
      <c r="AG3676" s="29"/>
    </row>
    <row r="3677" spans="2:33">
      <c r="B3677" s="29"/>
      <c r="D3677" s="29"/>
      <c r="E3677" s="20"/>
      <c r="F3677" s="20"/>
      <c r="AC3677" s="20"/>
      <c r="AG3677" s="29"/>
    </row>
    <row r="3678" spans="2:33">
      <c r="B3678" s="29"/>
      <c r="D3678" s="29"/>
      <c r="E3678" s="20"/>
      <c r="F3678" s="20"/>
      <c r="AC3678" s="20"/>
      <c r="AG3678" s="29"/>
    </row>
    <row r="3679" spans="2:33">
      <c r="B3679" s="29"/>
      <c r="D3679" s="29"/>
      <c r="E3679" s="20"/>
      <c r="F3679" s="20"/>
      <c r="AC3679" s="20"/>
      <c r="AG3679" s="29"/>
    </row>
    <row r="3680" spans="2:33">
      <c r="B3680" s="29"/>
      <c r="D3680" s="29"/>
      <c r="E3680" s="20"/>
      <c r="F3680" s="20"/>
      <c r="AC3680" s="20"/>
      <c r="AG3680" s="29"/>
    </row>
    <row r="3681" spans="2:33">
      <c r="B3681" s="29"/>
      <c r="D3681" s="29"/>
      <c r="E3681" s="20"/>
      <c r="F3681" s="20"/>
      <c r="AC3681" s="20"/>
      <c r="AG3681" s="29"/>
    </row>
    <row r="3682" spans="2:33">
      <c r="B3682" s="29"/>
      <c r="D3682" s="29"/>
      <c r="E3682" s="20"/>
      <c r="F3682" s="20"/>
      <c r="AC3682" s="20"/>
      <c r="AG3682" s="29"/>
    </row>
    <row r="3683" spans="2:33">
      <c r="B3683" s="29"/>
      <c r="D3683" s="29"/>
      <c r="E3683" s="20"/>
      <c r="F3683" s="20"/>
      <c r="AC3683" s="20"/>
      <c r="AG3683" s="29"/>
    </row>
    <row r="3684" spans="2:33">
      <c r="B3684" s="29"/>
      <c r="D3684" s="29"/>
      <c r="E3684" s="20"/>
      <c r="F3684" s="20"/>
      <c r="AC3684" s="20"/>
      <c r="AG3684" s="29"/>
    </row>
    <row r="3685" spans="2:33">
      <c r="B3685" s="29"/>
      <c r="D3685" s="29"/>
      <c r="E3685" s="20"/>
      <c r="F3685" s="20"/>
      <c r="AC3685" s="20"/>
      <c r="AG3685" s="29"/>
    </row>
    <row r="3686" spans="2:33">
      <c r="B3686" s="29"/>
      <c r="D3686" s="29"/>
      <c r="E3686" s="20"/>
      <c r="F3686" s="20"/>
      <c r="AC3686" s="20"/>
      <c r="AG3686" s="29"/>
    </row>
    <row r="3687" spans="2:33">
      <c r="B3687" s="29"/>
      <c r="D3687" s="29"/>
      <c r="E3687" s="20"/>
      <c r="F3687" s="20"/>
      <c r="AC3687" s="20"/>
      <c r="AG3687" s="29"/>
    </row>
    <row r="3688" spans="2:33">
      <c r="B3688" s="29"/>
      <c r="D3688" s="29"/>
      <c r="E3688" s="20"/>
      <c r="F3688" s="20"/>
      <c r="AC3688" s="20"/>
      <c r="AG3688" s="29"/>
    </row>
    <row r="3689" spans="2:33">
      <c r="B3689" s="29"/>
      <c r="D3689" s="29"/>
      <c r="E3689" s="20"/>
      <c r="F3689" s="20"/>
      <c r="AC3689" s="20"/>
      <c r="AG3689" s="29"/>
    </row>
    <row r="3690" spans="2:33">
      <c r="B3690" s="29"/>
      <c r="D3690" s="29"/>
      <c r="E3690" s="20"/>
      <c r="F3690" s="20"/>
      <c r="AC3690" s="20"/>
      <c r="AG3690" s="29"/>
    </row>
    <row r="3691" spans="2:33">
      <c r="B3691" s="29"/>
      <c r="D3691" s="29"/>
      <c r="E3691" s="20"/>
      <c r="F3691" s="20"/>
      <c r="AC3691" s="20"/>
      <c r="AG3691" s="29"/>
    </row>
    <row r="3692" spans="2:33">
      <c r="B3692" s="29"/>
      <c r="D3692" s="29"/>
      <c r="E3692" s="20"/>
      <c r="F3692" s="20"/>
      <c r="AC3692" s="20"/>
      <c r="AG3692" s="29"/>
    </row>
    <row r="3693" spans="2:33">
      <c r="B3693" s="29"/>
      <c r="D3693" s="29"/>
      <c r="E3693" s="20"/>
      <c r="F3693" s="20"/>
      <c r="AC3693" s="20"/>
      <c r="AG3693" s="29"/>
    </row>
    <row r="3694" spans="2:33">
      <c r="B3694" s="29"/>
      <c r="D3694" s="29"/>
      <c r="E3694" s="20"/>
      <c r="F3694" s="20"/>
      <c r="AC3694" s="20"/>
      <c r="AG3694" s="29"/>
    </row>
    <row r="3695" spans="2:33">
      <c r="B3695" s="29"/>
      <c r="D3695" s="29"/>
      <c r="E3695" s="20"/>
      <c r="F3695" s="20"/>
      <c r="AC3695" s="20"/>
      <c r="AG3695" s="29"/>
    </row>
    <row r="3696" spans="2:33">
      <c r="B3696" s="29"/>
      <c r="D3696" s="29"/>
      <c r="E3696" s="20"/>
      <c r="F3696" s="20"/>
      <c r="AC3696" s="20"/>
      <c r="AG3696" s="29"/>
    </row>
    <row r="3697" spans="2:33">
      <c r="B3697" s="29"/>
      <c r="D3697" s="29"/>
      <c r="E3697" s="20"/>
      <c r="F3697" s="20"/>
      <c r="AC3697" s="20"/>
      <c r="AG3697" s="29"/>
    </row>
    <row r="3698" spans="2:33">
      <c r="B3698" s="29"/>
      <c r="D3698" s="29"/>
      <c r="E3698" s="20"/>
      <c r="F3698" s="20"/>
      <c r="AC3698" s="20"/>
      <c r="AG3698" s="29"/>
    </row>
    <row r="3699" spans="2:33">
      <c r="B3699" s="29"/>
      <c r="D3699" s="29"/>
      <c r="E3699" s="20"/>
      <c r="F3699" s="20"/>
      <c r="AC3699" s="20"/>
      <c r="AG3699" s="29"/>
    </row>
    <row r="3700" spans="2:33">
      <c r="B3700" s="29"/>
      <c r="D3700" s="29"/>
      <c r="E3700" s="20"/>
      <c r="F3700" s="20"/>
      <c r="AC3700" s="20"/>
      <c r="AG3700" s="29"/>
    </row>
    <row r="3701" spans="2:33">
      <c r="B3701" s="29"/>
      <c r="D3701" s="29"/>
      <c r="E3701" s="20"/>
      <c r="F3701" s="20"/>
      <c r="AC3701" s="20"/>
      <c r="AG3701" s="29"/>
    </row>
    <row r="3702" spans="2:33">
      <c r="B3702" s="29"/>
      <c r="D3702" s="29"/>
      <c r="E3702" s="20"/>
      <c r="F3702" s="20"/>
      <c r="AC3702" s="20"/>
      <c r="AG3702" s="29"/>
    </row>
    <row r="3703" spans="2:33">
      <c r="B3703" s="29"/>
      <c r="D3703" s="29"/>
      <c r="E3703" s="20"/>
      <c r="F3703" s="20"/>
      <c r="AC3703" s="20"/>
      <c r="AG3703" s="29"/>
    </row>
    <row r="3704" spans="2:33">
      <c r="B3704" s="29"/>
      <c r="D3704" s="29"/>
      <c r="E3704" s="20"/>
      <c r="F3704" s="20"/>
      <c r="AC3704" s="20"/>
      <c r="AG3704" s="29"/>
    </row>
    <row r="3705" spans="2:33">
      <c r="B3705" s="29"/>
      <c r="D3705" s="29"/>
      <c r="E3705" s="20"/>
      <c r="F3705" s="20"/>
      <c r="AC3705" s="20"/>
      <c r="AG3705" s="29"/>
    </row>
    <row r="3706" spans="2:33">
      <c r="B3706" s="29"/>
      <c r="D3706" s="29"/>
      <c r="E3706" s="20"/>
      <c r="F3706" s="20"/>
      <c r="AC3706" s="20"/>
      <c r="AG3706" s="29"/>
    </row>
    <row r="3707" spans="2:33">
      <c r="B3707" s="29"/>
      <c r="D3707" s="29"/>
      <c r="E3707" s="20"/>
      <c r="F3707" s="20"/>
      <c r="AC3707" s="20"/>
      <c r="AG3707" s="29"/>
    </row>
    <row r="3708" spans="2:33">
      <c r="B3708" s="29"/>
      <c r="D3708" s="29"/>
      <c r="E3708" s="20"/>
      <c r="F3708" s="20"/>
      <c r="AC3708" s="20"/>
      <c r="AG3708" s="29"/>
    </row>
    <row r="3709" spans="2:33">
      <c r="B3709" s="29"/>
      <c r="D3709" s="29"/>
      <c r="E3709" s="20"/>
      <c r="F3709" s="20"/>
      <c r="AC3709" s="20"/>
      <c r="AG3709" s="29"/>
    </row>
    <row r="3710" spans="2:33">
      <c r="B3710" s="29"/>
      <c r="D3710" s="29"/>
      <c r="E3710" s="20"/>
      <c r="F3710" s="20"/>
      <c r="AC3710" s="20"/>
      <c r="AG3710" s="29"/>
    </row>
    <row r="3711" spans="2:33">
      <c r="B3711" s="29"/>
      <c r="D3711" s="29"/>
      <c r="E3711" s="20"/>
      <c r="F3711" s="20"/>
      <c r="AC3711" s="20"/>
      <c r="AG3711" s="29"/>
    </row>
    <row r="3712" spans="2:33">
      <c r="B3712" s="29"/>
      <c r="D3712" s="29"/>
      <c r="E3712" s="20"/>
      <c r="F3712" s="20"/>
      <c r="AC3712" s="20"/>
      <c r="AG3712" s="29"/>
    </row>
    <row r="3713" spans="2:33">
      <c r="B3713" s="29"/>
      <c r="D3713" s="29"/>
      <c r="E3713" s="20"/>
      <c r="F3713" s="20"/>
      <c r="AC3713" s="20"/>
      <c r="AG3713" s="29"/>
    </row>
    <row r="3714" spans="2:33">
      <c r="B3714" s="29"/>
      <c r="D3714" s="29"/>
      <c r="E3714" s="20"/>
      <c r="F3714" s="20"/>
      <c r="AC3714" s="20"/>
      <c r="AG3714" s="29"/>
    </row>
    <row r="3715" spans="2:33">
      <c r="B3715" s="29"/>
      <c r="D3715" s="29"/>
      <c r="E3715" s="20"/>
      <c r="F3715" s="20"/>
      <c r="AC3715" s="20"/>
      <c r="AG3715" s="29"/>
    </row>
    <row r="3716" spans="2:33">
      <c r="B3716" s="29"/>
      <c r="D3716" s="29"/>
      <c r="E3716" s="20"/>
      <c r="F3716" s="20"/>
      <c r="AC3716" s="20"/>
      <c r="AG3716" s="29"/>
    </row>
    <row r="3717" spans="2:33">
      <c r="B3717" s="29"/>
      <c r="D3717" s="29"/>
      <c r="E3717" s="20"/>
      <c r="F3717" s="20"/>
      <c r="AC3717" s="20"/>
      <c r="AG3717" s="29"/>
    </row>
    <row r="3718" spans="2:33">
      <c r="B3718" s="29"/>
      <c r="D3718" s="29"/>
      <c r="E3718" s="20"/>
      <c r="F3718" s="20"/>
      <c r="AC3718" s="20"/>
      <c r="AG3718" s="29"/>
    </row>
    <row r="3719" spans="2:33">
      <c r="B3719" s="29"/>
      <c r="D3719" s="29"/>
      <c r="E3719" s="20"/>
      <c r="F3719" s="20"/>
      <c r="AC3719" s="20"/>
      <c r="AG3719" s="29"/>
    </row>
    <row r="3720" spans="2:33">
      <c r="B3720" s="29"/>
      <c r="D3720" s="29"/>
      <c r="E3720" s="20"/>
      <c r="F3720" s="20"/>
      <c r="AC3720" s="20"/>
      <c r="AG3720" s="29"/>
    </row>
    <row r="3721" spans="2:33">
      <c r="B3721" s="29"/>
      <c r="D3721" s="29"/>
      <c r="E3721" s="20"/>
      <c r="F3721" s="20"/>
      <c r="AC3721" s="20"/>
      <c r="AG3721" s="29"/>
    </row>
    <row r="3722" spans="2:33">
      <c r="B3722" s="29"/>
      <c r="D3722" s="29"/>
      <c r="E3722" s="20"/>
      <c r="F3722" s="20"/>
      <c r="AC3722" s="20"/>
      <c r="AG3722" s="29"/>
    </row>
    <row r="3723" spans="2:33">
      <c r="B3723" s="29"/>
      <c r="D3723" s="29"/>
      <c r="E3723" s="20"/>
      <c r="F3723" s="20"/>
      <c r="AC3723" s="20"/>
      <c r="AG3723" s="29"/>
    </row>
    <row r="3724" spans="2:33">
      <c r="B3724" s="29"/>
      <c r="D3724" s="29"/>
      <c r="E3724" s="20"/>
      <c r="F3724" s="20"/>
      <c r="AC3724" s="20"/>
      <c r="AG3724" s="29"/>
    </row>
    <row r="3725" spans="2:33">
      <c r="B3725" s="29"/>
      <c r="D3725" s="29"/>
      <c r="E3725" s="20"/>
      <c r="F3725" s="20"/>
      <c r="AC3725" s="20"/>
      <c r="AG3725" s="29"/>
    </row>
    <row r="3726" spans="2:33">
      <c r="B3726" s="29"/>
      <c r="D3726" s="29"/>
      <c r="E3726" s="20"/>
      <c r="F3726" s="20"/>
      <c r="AC3726" s="20"/>
      <c r="AG3726" s="29"/>
    </row>
    <row r="3727" spans="2:33">
      <c r="B3727" s="29"/>
      <c r="D3727" s="29"/>
      <c r="E3727" s="20"/>
      <c r="F3727" s="20"/>
      <c r="AC3727" s="20"/>
      <c r="AG3727" s="29"/>
    </row>
    <row r="3728" spans="2:33">
      <c r="B3728" s="29"/>
      <c r="D3728" s="29"/>
      <c r="E3728" s="20"/>
      <c r="F3728" s="20"/>
      <c r="AC3728" s="20"/>
      <c r="AG3728" s="29"/>
    </row>
    <row r="3729" spans="2:33">
      <c r="B3729" s="29"/>
      <c r="D3729" s="29"/>
      <c r="E3729" s="20"/>
      <c r="F3729" s="20"/>
      <c r="AC3729" s="20"/>
      <c r="AG3729" s="29"/>
    </row>
    <row r="3730" spans="2:33">
      <c r="B3730" s="29"/>
      <c r="D3730" s="29"/>
      <c r="E3730" s="20"/>
      <c r="F3730" s="20"/>
      <c r="AC3730" s="20"/>
      <c r="AG3730" s="29"/>
    </row>
    <row r="3731" spans="2:33">
      <c r="B3731" s="29"/>
      <c r="D3731" s="29"/>
      <c r="E3731" s="20"/>
      <c r="F3731" s="20"/>
      <c r="AC3731" s="20"/>
      <c r="AG3731" s="29"/>
    </row>
    <row r="3732" spans="2:33">
      <c r="B3732" s="29"/>
      <c r="D3732" s="29"/>
      <c r="E3732" s="20"/>
      <c r="F3732" s="20"/>
      <c r="AC3732" s="20"/>
      <c r="AG3732" s="29"/>
    </row>
    <row r="3733" spans="2:33">
      <c r="B3733" s="29"/>
      <c r="D3733" s="29"/>
      <c r="E3733" s="20"/>
      <c r="F3733" s="20"/>
      <c r="AC3733" s="20"/>
      <c r="AG3733" s="29"/>
    </row>
    <row r="3734" spans="2:33">
      <c r="B3734" s="29"/>
      <c r="D3734" s="29"/>
      <c r="E3734" s="20"/>
      <c r="F3734" s="20"/>
      <c r="AC3734" s="20"/>
      <c r="AG3734" s="29"/>
    </row>
    <row r="3735" spans="2:33">
      <c r="B3735" s="29"/>
      <c r="D3735" s="29"/>
      <c r="E3735" s="20"/>
      <c r="F3735" s="20"/>
      <c r="AC3735" s="20"/>
      <c r="AG3735" s="29"/>
    </row>
    <row r="3736" spans="2:33">
      <c r="B3736" s="29"/>
      <c r="D3736" s="29"/>
      <c r="E3736" s="20"/>
      <c r="F3736" s="20"/>
      <c r="AC3736" s="20"/>
      <c r="AG3736" s="29"/>
    </row>
    <row r="3737" spans="2:33">
      <c r="B3737" s="29"/>
      <c r="D3737" s="29"/>
      <c r="E3737" s="20"/>
      <c r="F3737" s="20"/>
      <c r="AC3737" s="20"/>
      <c r="AG3737" s="29"/>
    </row>
    <row r="3738" spans="2:33">
      <c r="B3738" s="29"/>
      <c r="D3738" s="29"/>
      <c r="E3738" s="20"/>
      <c r="F3738" s="20"/>
      <c r="AC3738" s="20"/>
      <c r="AG3738" s="29"/>
    </row>
    <row r="3739" spans="2:33">
      <c r="B3739" s="29"/>
      <c r="D3739" s="29"/>
      <c r="E3739" s="20"/>
      <c r="F3739" s="20"/>
      <c r="AC3739" s="20"/>
      <c r="AG3739" s="29"/>
    </row>
    <row r="3740" spans="2:33">
      <c r="B3740" s="29"/>
      <c r="D3740" s="29"/>
      <c r="E3740" s="20"/>
      <c r="F3740" s="20"/>
      <c r="AC3740" s="20"/>
      <c r="AG3740" s="29"/>
    </row>
    <row r="3741" spans="2:33">
      <c r="B3741" s="29"/>
      <c r="D3741" s="29"/>
      <c r="E3741" s="20"/>
      <c r="F3741" s="20"/>
      <c r="AC3741" s="20"/>
      <c r="AG3741" s="29"/>
    </row>
    <row r="3742" spans="2:33">
      <c r="B3742" s="29"/>
      <c r="D3742" s="29"/>
      <c r="E3742" s="20"/>
      <c r="F3742" s="20"/>
      <c r="AC3742" s="20"/>
      <c r="AG3742" s="29"/>
    </row>
    <row r="3743" spans="2:33">
      <c r="B3743" s="29"/>
      <c r="D3743" s="29"/>
      <c r="E3743" s="20"/>
      <c r="F3743" s="20"/>
      <c r="AC3743" s="20"/>
      <c r="AG3743" s="29"/>
    </row>
    <row r="3744" spans="2:33">
      <c r="B3744" s="29"/>
      <c r="D3744" s="29"/>
      <c r="E3744" s="20"/>
      <c r="F3744" s="20"/>
      <c r="AC3744" s="20"/>
      <c r="AG3744" s="29"/>
    </row>
    <row r="3745" spans="2:33">
      <c r="B3745" s="29"/>
      <c r="D3745" s="29"/>
      <c r="E3745" s="20"/>
      <c r="F3745" s="20"/>
      <c r="AC3745" s="20"/>
      <c r="AG3745" s="29"/>
    </row>
    <row r="3746" spans="2:33">
      <c r="B3746" s="29"/>
      <c r="D3746" s="29"/>
      <c r="E3746" s="20"/>
      <c r="F3746" s="20"/>
      <c r="AC3746" s="20"/>
      <c r="AG3746" s="29"/>
    </row>
    <row r="3747" spans="2:33">
      <c r="B3747" s="29"/>
      <c r="D3747" s="29"/>
      <c r="E3747" s="20"/>
      <c r="F3747" s="20"/>
      <c r="AC3747" s="20"/>
      <c r="AG3747" s="29"/>
    </row>
    <row r="3748" spans="2:33">
      <c r="B3748" s="29"/>
      <c r="D3748" s="29"/>
      <c r="E3748" s="20"/>
      <c r="F3748" s="20"/>
      <c r="AC3748" s="20"/>
      <c r="AG3748" s="29"/>
    </row>
    <row r="3749" spans="2:33">
      <c r="B3749" s="29"/>
      <c r="D3749" s="29"/>
      <c r="E3749" s="20"/>
      <c r="F3749" s="20"/>
      <c r="AC3749" s="20"/>
      <c r="AG3749" s="29"/>
    </row>
    <row r="3750" spans="2:33">
      <c r="B3750" s="29"/>
      <c r="D3750" s="29"/>
      <c r="E3750" s="20"/>
      <c r="F3750" s="20"/>
      <c r="AC3750" s="20"/>
      <c r="AG3750" s="29"/>
    </row>
    <row r="3751" spans="2:33">
      <c r="B3751" s="29"/>
      <c r="D3751" s="29"/>
      <c r="E3751" s="20"/>
      <c r="F3751" s="20"/>
      <c r="AC3751" s="20"/>
      <c r="AG3751" s="29"/>
    </row>
    <row r="3752" spans="2:33">
      <c r="B3752" s="29"/>
      <c r="D3752" s="29"/>
      <c r="E3752" s="20"/>
      <c r="F3752" s="20"/>
      <c r="AC3752" s="20"/>
      <c r="AG3752" s="29"/>
    </row>
    <row r="3753" spans="2:33">
      <c r="B3753" s="29"/>
      <c r="D3753" s="29"/>
      <c r="E3753" s="20"/>
      <c r="F3753" s="20"/>
      <c r="AC3753" s="20"/>
      <c r="AG3753" s="29"/>
    </row>
    <row r="3754" spans="2:33">
      <c r="B3754" s="29"/>
      <c r="D3754" s="29"/>
      <c r="E3754" s="20"/>
      <c r="F3754" s="20"/>
      <c r="AC3754" s="20"/>
      <c r="AG3754" s="29"/>
    </row>
    <row r="3755" spans="2:33">
      <c r="B3755" s="29"/>
      <c r="D3755" s="29"/>
      <c r="E3755" s="20"/>
      <c r="F3755" s="20"/>
      <c r="AC3755" s="20"/>
      <c r="AG3755" s="29"/>
    </row>
    <row r="3756" spans="2:33">
      <c r="B3756" s="29"/>
      <c r="D3756" s="29"/>
      <c r="E3756" s="20"/>
      <c r="F3756" s="20"/>
      <c r="AC3756" s="20"/>
      <c r="AG3756" s="29"/>
    </row>
    <row r="3757" spans="2:33">
      <c r="B3757" s="29"/>
      <c r="D3757" s="29"/>
      <c r="E3757" s="20"/>
      <c r="F3757" s="20"/>
      <c r="AC3757" s="20"/>
      <c r="AG3757" s="29"/>
    </row>
    <row r="3758" spans="2:33">
      <c r="B3758" s="29"/>
      <c r="D3758" s="29"/>
      <c r="E3758" s="20"/>
      <c r="F3758" s="20"/>
      <c r="AC3758" s="20"/>
      <c r="AG3758" s="29"/>
    </row>
    <row r="3759" spans="2:33">
      <c r="B3759" s="29"/>
      <c r="D3759" s="29"/>
      <c r="E3759" s="20"/>
      <c r="F3759" s="20"/>
      <c r="AC3759" s="20"/>
      <c r="AG3759" s="29"/>
    </row>
    <row r="3760" spans="2:33">
      <c r="B3760" s="29"/>
      <c r="D3760" s="29"/>
      <c r="E3760" s="20"/>
      <c r="F3760" s="20"/>
      <c r="AC3760" s="20"/>
      <c r="AG3760" s="29"/>
    </row>
    <row r="3761" spans="2:33">
      <c r="B3761" s="29"/>
      <c r="D3761" s="29"/>
      <c r="E3761" s="20"/>
      <c r="F3761" s="20"/>
      <c r="AC3761" s="20"/>
      <c r="AG3761" s="29"/>
    </row>
    <row r="3762" spans="2:33">
      <c r="B3762" s="29"/>
      <c r="D3762" s="29"/>
      <c r="E3762" s="20"/>
      <c r="F3762" s="20"/>
      <c r="AC3762" s="20"/>
      <c r="AG3762" s="29"/>
    </row>
    <row r="3763" spans="2:33">
      <c r="B3763" s="29"/>
      <c r="D3763" s="29"/>
      <c r="E3763" s="20"/>
      <c r="F3763" s="20"/>
      <c r="AC3763" s="20"/>
      <c r="AG3763" s="29"/>
    </row>
    <row r="3764" spans="2:33">
      <c r="B3764" s="29"/>
      <c r="D3764" s="29"/>
      <c r="E3764" s="20"/>
      <c r="F3764" s="20"/>
      <c r="AC3764" s="20"/>
      <c r="AG3764" s="29"/>
    </row>
    <row r="3765" spans="2:33">
      <c r="B3765" s="29"/>
      <c r="D3765" s="29"/>
      <c r="E3765" s="20"/>
      <c r="F3765" s="20"/>
      <c r="AC3765" s="20"/>
      <c r="AG3765" s="29"/>
    </row>
    <row r="3766" spans="2:33">
      <c r="B3766" s="29"/>
      <c r="D3766" s="29"/>
      <c r="E3766" s="20"/>
      <c r="F3766" s="20"/>
      <c r="AC3766" s="20"/>
      <c r="AG3766" s="29"/>
    </row>
    <row r="3767" spans="2:33">
      <c r="B3767" s="29"/>
      <c r="D3767" s="29"/>
      <c r="E3767" s="20"/>
      <c r="F3767" s="20"/>
      <c r="AC3767" s="20"/>
      <c r="AG3767" s="29"/>
    </row>
    <row r="3768" spans="2:33">
      <c r="B3768" s="29"/>
      <c r="D3768" s="29"/>
      <c r="E3768" s="20"/>
      <c r="F3768" s="20"/>
      <c r="AC3768" s="20"/>
      <c r="AG3768" s="29"/>
    </row>
    <row r="3769" spans="2:33">
      <c r="B3769" s="29"/>
      <c r="D3769" s="29"/>
      <c r="E3769" s="20"/>
      <c r="F3769" s="20"/>
      <c r="AC3769" s="20"/>
      <c r="AG3769" s="29"/>
    </row>
    <row r="3770" spans="2:33">
      <c r="B3770" s="29"/>
      <c r="D3770" s="29"/>
      <c r="E3770" s="20"/>
      <c r="F3770" s="20"/>
      <c r="AC3770" s="20"/>
      <c r="AG3770" s="29"/>
    </row>
    <row r="3771" spans="2:33">
      <c r="B3771" s="29"/>
      <c r="D3771" s="29"/>
      <c r="E3771" s="20"/>
      <c r="F3771" s="20"/>
      <c r="AC3771" s="20"/>
      <c r="AG3771" s="29"/>
    </row>
    <row r="3772" spans="2:33">
      <c r="B3772" s="29"/>
      <c r="D3772" s="29"/>
      <c r="E3772" s="20"/>
      <c r="F3772" s="20"/>
      <c r="AC3772" s="20"/>
      <c r="AG3772" s="29"/>
    </row>
    <row r="3773" spans="2:33">
      <c r="B3773" s="29"/>
      <c r="D3773" s="29"/>
      <c r="E3773" s="20"/>
      <c r="F3773" s="20"/>
      <c r="AC3773" s="20"/>
      <c r="AG3773" s="29"/>
    </row>
    <row r="3774" spans="2:33">
      <c r="B3774" s="29"/>
      <c r="D3774" s="29"/>
      <c r="E3774" s="20"/>
      <c r="F3774" s="20"/>
      <c r="AC3774" s="20"/>
      <c r="AG3774" s="29"/>
    </row>
    <row r="3775" spans="2:33">
      <c r="B3775" s="29"/>
      <c r="D3775" s="29"/>
      <c r="E3775" s="20"/>
      <c r="F3775" s="20"/>
      <c r="AC3775" s="20"/>
      <c r="AG3775" s="29"/>
    </row>
    <row r="3776" spans="2:33">
      <c r="B3776" s="29"/>
      <c r="D3776" s="29"/>
      <c r="E3776" s="20"/>
      <c r="F3776" s="20"/>
      <c r="AC3776" s="20"/>
      <c r="AG3776" s="29"/>
    </row>
    <row r="3777" spans="2:33">
      <c r="B3777" s="29"/>
      <c r="D3777" s="29"/>
      <c r="E3777" s="20"/>
      <c r="F3777" s="20"/>
      <c r="AC3777" s="20"/>
      <c r="AG3777" s="29"/>
    </row>
    <row r="3778" spans="2:33">
      <c r="B3778" s="29"/>
      <c r="D3778" s="29"/>
      <c r="E3778" s="20"/>
      <c r="F3778" s="20"/>
      <c r="AC3778" s="20"/>
      <c r="AG3778" s="29"/>
    </row>
    <row r="3779" spans="2:33">
      <c r="B3779" s="29"/>
      <c r="D3779" s="29"/>
      <c r="E3779" s="20"/>
      <c r="F3779" s="20"/>
      <c r="AC3779" s="20"/>
      <c r="AG3779" s="29"/>
    </row>
    <row r="3780" spans="2:33">
      <c r="B3780" s="29"/>
      <c r="D3780" s="29"/>
      <c r="E3780" s="20"/>
      <c r="F3780" s="20"/>
      <c r="AC3780" s="20"/>
      <c r="AG3780" s="29"/>
    </row>
    <row r="3781" spans="2:33">
      <c r="B3781" s="29"/>
      <c r="D3781" s="29"/>
      <c r="E3781" s="20"/>
      <c r="F3781" s="20"/>
      <c r="AC3781" s="20"/>
      <c r="AG3781" s="29"/>
    </row>
    <row r="3782" spans="2:33">
      <c r="B3782" s="29"/>
      <c r="D3782" s="29"/>
      <c r="E3782" s="20"/>
      <c r="F3782" s="20"/>
      <c r="AC3782" s="20"/>
      <c r="AG3782" s="29"/>
    </row>
    <row r="3783" spans="2:33">
      <c r="B3783" s="29"/>
      <c r="D3783" s="29"/>
      <c r="E3783" s="20"/>
      <c r="F3783" s="20"/>
      <c r="AC3783" s="20"/>
      <c r="AG3783" s="29"/>
    </row>
    <row r="3784" spans="2:33">
      <c r="B3784" s="29"/>
      <c r="D3784" s="29"/>
      <c r="E3784" s="20"/>
      <c r="F3784" s="20"/>
      <c r="AC3784" s="20"/>
      <c r="AG3784" s="29"/>
    </row>
    <row r="3785" spans="2:33">
      <c r="B3785" s="29"/>
      <c r="D3785" s="29"/>
      <c r="E3785" s="20"/>
      <c r="F3785" s="20"/>
      <c r="AC3785" s="20"/>
      <c r="AG3785" s="29"/>
    </row>
    <row r="3786" spans="2:33">
      <c r="B3786" s="29"/>
      <c r="D3786" s="29"/>
      <c r="E3786" s="20"/>
      <c r="F3786" s="20"/>
      <c r="AC3786" s="20"/>
      <c r="AG3786" s="29"/>
    </row>
    <row r="3787" spans="2:33">
      <c r="B3787" s="29"/>
      <c r="D3787" s="29"/>
      <c r="E3787" s="20"/>
      <c r="F3787" s="20"/>
      <c r="AC3787" s="20"/>
      <c r="AG3787" s="29"/>
    </row>
    <row r="3788" spans="2:33">
      <c r="B3788" s="29"/>
      <c r="D3788" s="29"/>
      <c r="E3788" s="20"/>
      <c r="F3788" s="20"/>
      <c r="AC3788" s="20"/>
      <c r="AG3788" s="29"/>
    </row>
    <row r="3789" spans="2:33">
      <c r="B3789" s="29"/>
      <c r="D3789" s="29"/>
      <c r="E3789" s="20"/>
      <c r="F3789" s="20"/>
      <c r="AC3789" s="20"/>
      <c r="AG3789" s="29"/>
    </row>
    <row r="3790" spans="2:33">
      <c r="B3790" s="29"/>
      <c r="D3790" s="29"/>
      <c r="E3790" s="20"/>
      <c r="F3790" s="20"/>
      <c r="AC3790" s="20"/>
      <c r="AG3790" s="29"/>
    </row>
    <row r="3791" spans="2:33">
      <c r="B3791" s="29"/>
      <c r="D3791" s="29"/>
      <c r="E3791" s="20"/>
      <c r="F3791" s="20"/>
      <c r="AC3791" s="20"/>
      <c r="AG3791" s="29"/>
    </row>
    <row r="3792" spans="2:33">
      <c r="B3792" s="29"/>
      <c r="D3792" s="29"/>
      <c r="E3792" s="20"/>
      <c r="F3792" s="20"/>
      <c r="AC3792" s="20"/>
      <c r="AG3792" s="29"/>
    </row>
    <row r="3793" spans="2:33">
      <c r="B3793" s="29"/>
      <c r="D3793" s="29"/>
      <c r="E3793" s="20"/>
      <c r="F3793" s="20"/>
      <c r="AC3793" s="20"/>
      <c r="AG3793" s="29"/>
    </row>
    <row r="3794" spans="2:33">
      <c r="B3794" s="29"/>
      <c r="D3794" s="29"/>
      <c r="E3794" s="20"/>
      <c r="F3794" s="20"/>
      <c r="AC3794" s="20"/>
      <c r="AG3794" s="29"/>
    </row>
    <row r="3795" spans="2:33">
      <c r="B3795" s="29"/>
      <c r="D3795" s="29"/>
      <c r="E3795" s="20"/>
      <c r="F3795" s="20"/>
      <c r="AC3795" s="20"/>
      <c r="AG3795" s="29"/>
    </row>
    <row r="3796" spans="2:33">
      <c r="B3796" s="29"/>
      <c r="D3796" s="29"/>
      <c r="E3796" s="20"/>
      <c r="F3796" s="20"/>
      <c r="AC3796" s="20"/>
      <c r="AG3796" s="29"/>
    </row>
    <row r="3797" spans="2:33">
      <c r="B3797" s="29"/>
      <c r="D3797" s="29"/>
      <c r="E3797" s="20"/>
      <c r="F3797" s="20"/>
      <c r="AC3797" s="20"/>
      <c r="AG3797" s="29"/>
    </row>
    <row r="3798" spans="2:33">
      <c r="B3798" s="29"/>
      <c r="D3798" s="29"/>
      <c r="E3798" s="20"/>
      <c r="F3798" s="20"/>
      <c r="AC3798" s="20"/>
      <c r="AG3798" s="29"/>
    </row>
    <row r="3799" spans="2:33">
      <c r="B3799" s="29"/>
      <c r="D3799" s="29"/>
      <c r="E3799" s="20"/>
      <c r="F3799" s="20"/>
      <c r="AC3799" s="20"/>
      <c r="AG3799" s="29"/>
    </row>
    <row r="3800" spans="2:33">
      <c r="B3800" s="29"/>
      <c r="D3800" s="29"/>
      <c r="E3800" s="20"/>
      <c r="F3800" s="20"/>
      <c r="AC3800" s="20"/>
      <c r="AG3800" s="29"/>
    </row>
    <row r="3801" spans="2:33">
      <c r="B3801" s="29"/>
      <c r="D3801" s="29"/>
      <c r="E3801" s="20"/>
      <c r="F3801" s="20"/>
      <c r="AC3801" s="20"/>
      <c r="AG3801" s="29"/>
    </row>
    <row r="3802" spans="2:33">
      <c r="B3802" s="29"/>
      <c r="D3802" s="29"/>
      <c r="E3802" s="20"/>
      <c r="F3802" s="20"/>
      <c r="AC3802" s="20"/>
      <c r="AG3802" s="29"/>
    </row>
    <row r="3803" spans="2:33">
      <c r="B3803" s="29"/>
      <c r="D3803" s="29"/>
      <c r="E3803" s="20"/>
      <c r="F3803" s="20"/>
      <c r="AC3803" s="20"/>
      <c r="AG3803" s="29"/>
    </row>
    <row r="3804" spans="2:33">
      <c r="B3804" s="29"/>
      <c r="D3804" s="29"/>
      <c r="E3804" s="20"/>
      <c r="F3804" s="20"/>
      <c r="AC3804" s="20"/>
      <c r="AG3804" s="29"/>
    </row>
    <row r="3805" spans="2:33">
      <c r="B3805" s="29"/>
      <c r="D3805" s="29"/>
      <c r="E3805" s="20"/>
      <c r="F3805" s="20"/>
      <c r="AC3805" s="20"/>
      <c r="AG3805" s="29"/>
    </row>
    <row r="3806" spans="2:33">
      <c r="B3806" s="29"/>
      <c r="D3806" s="29"/>
      <c r="E3806" s="20"/>
      <c r="F3806" s="20"/>
      <c r="AC3806" s="20"/>
      <c r="AG3806" s="29"/>
    </row>
    <row r="3807" spans="2:33">
      <c r="B3807" s="29"/>
      <c r="D3807" s="29"/>
      <c r="E3807" s="20"/>
      <c r="F3807" s="20"/>
      <c r="AC3807" s="20"/>
      <c r="AG3807" s="29"/>
    </row>
    <row r="3808" spans="2:33">
      <c r="B3808" s="29"/>
      <c r="D3808" s="29"/>
      <c r="E3808" s="20"/>
      <c r="F3808" s="20"/>
      <c r="AC3808" s="20"/>
      <c r="AG3808" s="29"/>
    </row>
    <row r="3809" spans="2:33">
      <c r="B3809" s="29"/>
      <c r="D3809" s="29"/>
      <c r="E3809" s="20"/>
      <c r="F3809" s="20"/>
      <c r="AC3809" s="20"/>
      <c r="AG3809" s="29"/>
    </row>
    <row r="3810" spans="2:33">
      <c r="B3810" s="29"/>
      <c r="D3810" s="29"/>
      <c r="E3810" s="20"/>
      <c r="F3810" s="20"/>
      <c r="AC3810" s="20"/>
      <c r="AG3810" s="29"/>
    </row>
    <row r="3811" spans="2:33">
      <c r="B3811" s="29"/>
      <c r="D3811" s="29"/>
      <c r="E3811" s="20"/>
      <c r="F3811" s="20"/>
      <c r="AC3811" s="20"/>
      <c r="AG3811" s="29"/>
    </row>
    <row r="3812" spans="2:33">
      <c r="B3812" s="29"/>
      <c r="D3812" s="29"/>
      <c r="E3812" s="20"/>
      <c r="F3812" s="20"/>
      <c r="AC3812" s="20"/>
      <c r="AG3812" s="29"/>
    </row>
    <row r="3813" spans="2:33">
      <c r="B3813" s="29"/>
      <c r="D3813" s="29"/>
      <c r="E3813" s="20"/>
      <c r="F3813" s="20"/>
      <c r="AC3813" s="20"/>
      <c r="AG3813" s="29"/>
    </row>
    <row r="3814" spans="2:33">
      <c r="B3814" s="29"/>
      <c r="D3814" s="29"/>
      <c r="E3814" s="20"/>
      <c r="F3814" s="20"/>
      <c r="AC3814" s="20"/>
      <c r="AG3814" s="29"/>
    </row>
    <row r="3815" spans="2:33">
      <c r="B3815" s="29"/>
      <c r="D3815" s="29"/>
      <c r="E3815" s="20"/>
      <c r="F3815" s="20"/>
      <c r="AC3815" s="20"/>
      <c r="AG3815" s="29"/>
    </row>
    <row r="3816" spans="2:33">
      <c r="B3816" s="29"/>
      <c r="D3816" s="29"/>
      <c r="E3816" s="20"/>
      <c r="F3816" s="20"/>
      <c r="AC3816" s="20"/>
      <c r="AG3816" s="29"/>
    </row>
    <row r="3817" spans="2:33">
      <c r="B3817" s="29"/>
      <c r="D3817" s="29"/>
      <c r="E3817" s="20"/>
      <c r="F3817" s="20"/>
      <c r="AC3817" s="20"/>
      <c r="AG3817" s="29"/>
    </row>
    <row r="3818" spans="2:33">
      <c r="B3818" s="29"/>
      <c r="D3818" s="29"/>
      <c r="E3818" s="20"/>
      <c r="F3818" s="20"/>
      <c r="AC3818" s="20"/>
      <c r="AG3818" s="29"/>
    </row>
    <row r="3819" spans="2:33">
      <c r="B3819" s="29"/>
      <c r="D3819" s="29"/>
      <c r="E3819" s="20"/>
      <c r="F3819" s="20"/>
      <c r="AC3819" s="20"/>
      <c r="AG3819" s="29"/>
    </row>
    <row r="3820" spans="2:33">
      <c r="B3820" s="29"/>
      <c r="D3820" s="29"/>
      <c r="E3820" s="20"/>
      <c r="F3820" s="20"/>
      <c r="AC3820" s="20"/>
      <c r="AG3820" s="29"/>
    </row>
    <row r="3821" spans="2:33">
      <c r="B3821" s="29"/>
      <c r="D3821" s="29"/>
      <c r="E3821" s="20"/>
      <c r="F3821" s="20"/>
      <c r="AC3821" s="20"/>
      <c r="AG3821" s="29"/>
    </row>
    <row r="3822" spans="2:33">
      <c r="B3822" s="29"/>
      <c r="D3822" s="29"/>
      <c r="E3822" s="20"/>
      <c r="F3822" s="20"/>
      <c r="AC3822" s="20"/>
      <c r="AG3822" s="29"/>
    </row>
    <row r="3823" spans="2:33">
      <c r="B3823" s="29"/>
      <c r="D3823" s="29"/>
      <c r="E3823" s="20"/>
      <c r="F3823" s="20"/>
      <c r="AC3823" s="20"/>
      <c r="AG3823" s="29"/>
    </row>
    <row r="3824" spans="2:33">
      <c r="B3824" s="29"/>
      <c r="D3824" s="29"/>
      <c r="E3824" s="20"/>
      <c r="F3824" s="20"/>
      <c r="AC3824" s="20"/>
      <c r="AG3824" s="29"/>
    </row>
    <row r="3825" spans="2:33">
      <c r="B3825" s="29"/>
      <c r="D3825" s="29"/>
      <c r="E3825" s="20"/>
      <c r="F3825" s="20"/>
      <c r="AC3825" s="20"/>
      <c r="AG3825" s="29"/>
    </row>
    <row r="3826" spans="2:33">
      <c r="B3826" s="29"/>
      <c r="D3826" s="29"/>
      <c r="E3826" s="20"/>
      <c r="F3826" s="20"/>
      <c r="AC3826" s="20"/>
      <c r="AG3826" s="29"/>
    </row>
    <row r="3827" spans="2:33">
      <c r="B3827" s="29"/>
      <c r="D3827" s="29"/>
      <c r="E3827" s="20"/>
      <c r="F3827" s="20"/>
      <c r="AC3827" s="20"/>
      <c r="AG3827" s="29"/>
    </row>
    <row r="3828" spans="2:33">
      <c r="B3828" s="29"/>
      <c r="D3828" s="29"/>
      <c r="E3828" s="20"/>
      <c r="F3828" s="20"/>
      <c r="AC3828" s="20"/>
      <c r="AG3828" s="29"/>
    </row>
    <row r="3829" spans="2:33">
      <c r="B3829" s="29"/>
      <c r="D3829" s="29"/>
      <c r="E3829" s="20"/>
      <c r="F3829" s="20"/>
      <c r="AC3829" s="20"/>
      <c r="AG3829" s="29"/>
    </row>
    <row r="3830" spans="2:33">
      <c r="B3830" s="29"/>
      <c r="D3830" s="29"/>
      <c r="E3830" s="20"/>
      <c r="F3830" s="20"/>
      <c r="AC3830" s="20"/>
      <c r="AG3830" s="29"/>
    </row>
    <row r="3831" spans="2:33">
      <c r="B3831" s="29"/>
      <c r="D3831" s="29"/>
      <c r="E3831" s="20"/>
      <c r="F3831" s="20"/>
      <c r="AC3831" s="20"/>
      <c r="AG3831" s="29"/>
    </row>
    <row r="3832" spans="2:33">
      <c r="B3832" s="29"/>
      <c r="D3832" s="29"/>
      <c r="E3832" s="20"/>
      <c r="F3832" s="20"/>
      <c r="AC3832" s="20"/>
      <c r="AG3832" s="29"/>
    </row>
    <row r="3833" spans="2:33">
      <c r="B3833" s="29"/>
      <c r="D3833" s="29"/>
      <c r="E3833" s="20"/>
      <c r="F3833" s="20"/>
      <c r="AC3833" s="20"/>
      <c r="AG3833" s="29"/>
    </row>
    <row r="3834" spans="2:33">
      <c r="B3834" s="29"/>
      <c r="D3834" s="29"/>
      <c r="E3834" s="20"/>
      <c r="F3834" s="20"/>
      <c r="AC3834" s="20"/>
      <c r="AG3834" s="29"/>
    </row>
    <row r="3835" spans="2:33">
      <c r="B3835" s="29"/>
      <c r="D3835" s="29"/>
      <c r="E3835" s="20"/>
      <c r="F3835" s="20"/>
      <c r="AC3835" s="20"/>
      <c r="AG3835" s="29"/>
    </row>
    <row r="3836" spans="2:33">
      <c r="B3836" s="29"/>
      <c r="D3836" s="29"/>
      <c r="E3836" s="20"/>
      <c r="F3836" s="20"/>
      <c r="AC3836" s="20"/>
      <c r="AG3836" s="29"/>
    </row>
    <row r="3837" spans="2:33">
      <c r="B3837" s="29"/>
      <c r="D3837" s="29"/>
      <c r="E3837" s="20"/>
      <c r="F3837" s="20"/>
      <c r="AC3837" s="20"/>
      <c r="AG3837" s="29"/>
    </row>
    <row r="3838" spans="2:33">
      <c r="B3838" s="29"/>
      <c r="D3838" s="29"/>
      <c r="E3838" s="20"/>
      <c r="F3838" s="20"/>
      <c r="AC3838" s="20"/>
      <c r="AG3838" s="29"/>
    </row>
    <row r="3839" spans="2:33">
      <c r="B3839" s="29"/>
      <c r="D3839" s="29"/>
      <c r="E3839" s="20"/>
      <c r="F3839" s="20"/>
      <c r="AC3839" s="20"/>
      <c r="AG3839" s="29"/>
    </row>
    <row r="3840" spans="2:33">
      <c r="B3840" s="29"/>
      <c r="D3840" s="29"/>
      <c r="E3840" s="20"/>
      <c r="F3840" s="20"/>
      <c r="AC3840" s="20"/>
      <c r="AG3840" s="29"/>
    </row>
    <row r="3841" spans="2:33">
      <c r="B3841" s="29"/>
      <c r="D3841" s="29"/>
      <c r="E3841" s="20"/>
      <c r="F3841" s="20"/>
      <c r="AC3841" s="20"/>
      <c r="AG3841" s="29"/>
    </row>
    <row r="3842" spans="2:33">
      <c r="B3842" s="29"/>
      <c r="D3842" s="29"/>
      <c r="E3842" s="20"/>
      <c r="F3842" s="20"/>
      <c r="AC3842" s="20"/>
      <c r="AG3842" s="29"/>
    </row>
    <row r="3843" spans="2:33">
      <c r="B3843" s="29"/>
      <c r="D3843" s="29"/>
      <c r="E3843" s="20"/>
      <c r="F3843" s="20"/>
      <c r="AC3843" s="20"/>
      <c r="AG3843" s="29"/>
    </row>
    <row r="3844" spans="2:33">
      <c r="B3844" s="29"/>
      <c r="D3844" s="29"/>
      <c r="E3844" s="20"/>
      <c r="F3844" s="20"/>
      <c r="AC3844" s="20"/>
      <c r="AG3844" s="29"/>
    </row>
    <row r="3845" spans="2:33">
      <c r="B3845" s="29"/>
      <c r="D3845" s="29"/>
      <c r="E3845" s="20"/>
      <c r="F3845" s="20"/>
      <c r="AC3845" s="20"/>
      <c r="AG3845" s="29"/>
    </row>
    <row r="3846" spans="2:33">
      <c r="B3846" s="29"/>
      <c r="D3846" s="29"/>
      <c r="E3846" s="20"/>
      <c r="F3846" s="20"/>
      <c r="AC3846" s="20"/>
      <c r="AG3846" s="29"/>
    </row>
    <row r="3847" spans="2:33">
      <c r="B3847" s="29"/>
      <c r="D3847" s="29"/>
      <c r="E3847" s="20"/>
      <c r="F3847" s="20"/>
      <c r="AC3847" s="20"/>
      <c r="AG3847" s="29"/>
    </row>
    <row r="3848" spans="2:33">
      <c r="B3848" s="29"/>
      <c r="D3848" s="29"/>
      <c r="E3848" s="20"/>
      <c r="F3848" s="20"/>
      <c r="AC3848" s="20"/>
      <c r="AG3848" s="29"/>
    </row>
    <row r="3849" spans="2:33">
      <c r="B3849" s="29"/>
      <c r="D3849" s="29"/>
      <c r="E3849" s="20"/>
      <c r="F3849" s="20"/>
      <c r="AC3849" s="20"/>
      <c r="AG3849" s="29"/>
    </row>
    <row r="3850" spans="2:33">
      <c r="B3850" s="29"/>
      <c r="D3850" s="29"/>
      <c r="E3850" s="20"/>
      <c r="F3850" s="20"/>
      <c r="AC3850" s="20"/>
      <c r="AG3850" s="29"/>
    </row>
    <row r="3851" spans="2:33">
      <c r="B3851" s="29"/>
      <c r="D3851" s="29"/>
      <c r="E3851" s="20"/>
      <c r="F3851" s="20"/>
      <c r="AC3851" s="20"/>
      <c r="AG3851" s="29"/>
    </row>
    <row r="3852" spans="2:33">
      <c r="B3852" s="29"/>
      <c r="D3852" s="29"/>
      <c r="E3852" s="20"/>
      <c r="F3852" s="20"/>
      <c r="AC3852" s="20"/>
      <c r="AG3852" s="29"/>
    </row>
    <row r="3853" spans="2:33">
      <c r="B3853" s="29"/>
      <c r="D3853" s="29"/>
      <c r="E3853" s="20"/>
      <c r="F3853" s="20"/>
      <c r="AC3853" s="20"/>
      <c r="AG3853" s="29"/>
    </row>
    <row r="3854" spans="2:33">
      <c r="B3854" s="29"/>
      <c r="D3854" s="29"/>
      <c r="E3854" s="20"/>
      <c r="F3854" s="20"/>
      <c r="AC3854" s="20"/>
      <c r="AG3854" s="29"/>
    </row>
    <row r="3855" spans="2:33">
      <c r="B3855" s="29"/>
      <c r="D3855" s="29"/>
      <c r="E3855" s="20"/>
      <c r="F3855" s="20"/>
      <c r="AC3855" s="20"/>
      <c r="AG3855" s="29"/>
    </row>
    <row r="3856" spans="2:33">
      <c r="B3856" s="29"/>
      <c r="D3856" s="29"/>
      <c r="E3856" s="20"/>
      <c r="F3856" s="20"/>
      <c r="AC3856" s="20"/>
      <c r="AG3856" s="29"/>
    </row>
    <row r="3857" spans="2:33">
      <c r="B3857" s="29"/>
      <c r="D3857" s="29"/>
      <c r="E3857" s="20"/>
      <c r="F3857" s="20"/>
      <c r="AC3857" s="20"/>
      <c r="AG3857" s="29"/>
    </row>
    <row r="3858" spans="2:33">
      <c r="B3858" s="29"/>
      <c r="D3858" s="29"/>
      <c r="E3858" s="20"/>
      <c r="F3858" s="20"/>
      <c r="AC3858" s="20"/>
      <c r="AG3858" s="29"/>
    </row>
    <row r="3859" spans="2:33">
      <c r="B3859" s="29"/>
      <c r="D3859" s="29"/>
      <c r="E3859" s="20"/>
      <c r="F3859" s="20"/>
      <c r="AC3859" s="20"/>
      <c r="AG3859" s="29"/>
    </row>
    <row r="3860" spans="2:33">
      <c r="B3860" s="29"/>
      <c r="D3860" s="29"/>
      <c r="E3860" s="20"/>
      <c r="F3860" s="20"/>
      <c r="AC3860" s="20"/>
      <c r="AG3860" s="29"/>
    </row>
    <row r="3861" spans="2:33">
      <c r="B3861" s="29"/>
      <c r="D3861" s="29"/>
      <c r="E3861" s="20"/>
      <c r="F3861" s="20"/>
      <c r="AC3861" s="20"/>
      <c r="AG3861" s="29"/>
    </row>
    <row r="3862" spans="2:33">
      <c r="B3862" s="29"/>
      <c r="D3862" s="29"/>
      <c r="E3862" s="20"/>
      <c r="F3862" s="20"/>
      <c r="AC3862" s="20"/>
      <c r="AG3862" s="29"/>
    </row>
    <row r="3863" spans="2:33">
      <c r="B3863" s="29"/>
      <c r="D3863" s="29"/>
      <c r="E3863" s="20"/>
      <c r="F3863" s="20"/>
      <c r="AC3863" s="20"/>
      <c r="AG3863" s="29"/>
    </row>
    <row r="3864" spans="2:33">
      <c r="B3864" s="29"/>
      <c r="D3864" s="29"/>
      <c r="E3864" s="20"/>
      <c r="F3864" s="20"/>
      <c r="AC3864" s="20"/>
      <c r="AG3864" s="29"/>
    </row>
    <row r="3865" spans="2:33">
      <c r="B3865" s="29"/>
      <c r="D3865" s="29"/>
      <c r="E3865" s="20"/>
      <c r="F3865" s="20"/>
      <c r="AC3865" s="20"/>
      <c r="AG3865" s="29"/>
    </row>
    <row r="3866" spans="2:33">
      <c r="B3866" s="29"/>
      <c r="D3866" s="29"/>
      <c r="E3866" s="20"/>
      <c r="F3866" s="20"/>
      <c r="AC3866" s="20"/>
      <c r="AG3866" s="29"/>
    </row>
    <row r="3867" spans="2:33">
      <c r="B3867" s="29"/>
      <c r="D3867" s="29"/>
      <c r="E3867" s="20"/>
      <c r="F3867" s="20"/>
      <c r="AC3867" s="20"/>
      <c r="AG3867" s="29"/>
    </row>
    <row r="3868" spans="2:33">
      <c r="B3868" s="29"/>
      <c r="D3868" s="29"/>
      <c r="E3868" s="20"/>
      <c r="F3868" s="20"/>
      <c r="AC3868" s="20"/>
      <c r="AG3868" s="29"/>
    </row>
    <row r="3869" spans="2:33">
      <c r="B3869" s="29"/>
      <c r="D3869" s="29"/>
      <c r="E3869" s="20"/>
      <c r="F3869" s="20"/>
      <c r="AC3869" s="20"/>
      <c r="AG3869" s="29"/>
    </row>
    <row r="3870" spans="2:33">
      <c r="B3870" s="29"/>
      <c r="D3870" s="29"/>
      <c r="E3870" s="20"/>
      <c r="F3870" s="20"/>
      <c r="AC3870" s="20"/>
      <c r="AG3870" s="29"/>
    </row>
    <row r="3871" spans="2:33">
      <c r="B3871" s="29"/>
      <c r="D3871" s="29"/>
      <c r="E3871" s="20"/>
      <c r="F3871" s="20"/>
      <c r="AC3871" s="20"/>
      <c r="AG3871" s="29"/>
    </row>
    <row r="3872" spans="2:33">
      <c r="B3872" s="29"/>
      <c r="D3872" s="29"/>
      <c r="E3872" s="20"/>
      <c r="F3872" s="20"/>
      <c r="AC3872" s="20"/>
      <c r="AG3872" s="29"/>
    </row>
    <row r="3873" spans="2:33">
      <c r="B3873" s="29"/>
      <c r="D3873" s="29"/>
      <c r="E3873" s="20"/>
      <c r="F3873" s="20"/>
      <c r="AC3873" s="20"/>
      <c r="AG3873" s="29"/>
    </row>
    <row r="3874" spans="2:33">
      <c r="B3874" s="29"/>
      <c r="D3874" s="29"/>
      <c r="E3874" s="20"/>
      <c r="F3874" s="20"/>
      <c r="AC3874" s="20"/>
      <c r="AG3874" s="29"/>
    </row>
    <row r="3875" spans="2:33">
      <c r="B3875" s="29"/>
      <c r="D3875" s="29"/>
      <c r="E3875" s="20"/>
      <c r="F3875" s="20"/>
      <c r="AC3875" s="20"/>
      <c r="AG3875" s="29"/>
    </row>
    <row r="3876" spans="2:33">
      <c r="B3876" s="29"/>
      <c r="D3876" s="29"/>
      <c r="E3876" s="20"/>
      <c r="F3876" s="20"/>
      <c r="AC3876" s="20"/>
      <c r="AG3876" s="29"/>
    </row>
    <row r="3877" spans="2:33">
      <c r="B3877" s="29"/>
      <c r="D3877" s="29"/>
      <c r="E3877" s="20"/>
      <c r="F3877" s="20"/>
      <c r="AC3877" s="20"/>
      <c r="AG3877" s="29"/>
    </row>
    <row r="3878" spans="2:33">
      <c r="B3878" s="29"/>
      <c r="D3878" s="29"/>
      <c r="E3878" s="20"/>
      <c r="F3878" s="20"/>
      <c r="AC3878" s="20"/>
      <c r="AG3878" s="29"/>
    </row>
    <row r="3879" spans="2:33">
      <c r="B3879" s="29"/>
      <c r="D3879" s="29"/>
      <c r="E3879" s="20"/>
      <c r="F3879" s="20"/>
      <c r="AC3879" s="20"/>
      <c r="AG3879" s="29"/>
    </row>
    <row r="3880" spans="2:33">
      <c r="B3880" s="29"/>
      <c r="D3880" s="29"/>
      <c r="E3880" s="20"/>
      <c r="F3880" s="20"/>
      <c r="AC3880" s="20"/>
      <c r="AG3880" s="29"/>
    </row>
    <row r="3881" spans="2:33">
      <c r="B3881" s="29"/>
      <c r="D3881" s="29"/>
      <c r="E3881" s="20"/>
      <c r="F3881" s="20"/>
      <c r="AC3881" s="20"/>
      <c r="AG3881" s="29"/>
    </row>
    <row r="3882" spans="2:33">
      <c r="B3882" s="29"/>
      <c r="D3882" s="29"/>
      <c r="E3882" s="20"/>
      <c r="F3882" s="20"/>
      <c r="AC3882" s="20"/>
      <c r="AG3882" s="29"/>
    </row>
    <row r="3883" spans="2:33">
      <c r="B3883" s="29"/>
      <c r="D3883" s="29"/>
      <c r="E3883" s="20"/>
      <c r="F3883" s="20"/>
      <c r="AC3883" s="20"/>
      <c r="AG3883" s="29"/>
    </row>
    <row r="3884" spans="2:33">
      <c r="B3884" s="29"/>
      <c r="D3884" s="29"/>
      <c r="E3884" s="20"/>
      <c r="F3884" s="20"/>
      <c r="AC3884" s="20"/>
      <c r="AG3884" s="29"/>
    </row>
    <row r="3885" spans="2:33">
      <c r="B3885" s="29"/>
      <c r="D3885" s="29"/>
      <c r="E3885" s="20"/>
      <c r="F3885" s="20"/>
      <c r="AC3885" s="20"/>
      <c r="AG3885" s="29"/>
    </row>
    <row r="3886" spans="2:33">
      <c r="B3886" s="29"/>
      <c r="D3886" s="29"/>
      <c r="E3886" s="20"/>
      <c r="F3886" s="20"/>
      <c r="AC3886" s="20"/>
      <c r="AG3886" s="29"/>
    </row>
    <row r="3887" spans="2:33">
      <c r="B3887" s="29"/>
      <c r="D3887" s="29"/>
      <c r="E3887" s="20"/>
      <c r="F3887" s="20"/>
      <c r="AC3887" s="20"/>
      <c r="AG3887" s="29"/>
    </row>
    <row r="3888" spans="2:33">
      <c r="B3888" s="29"/>
      <c r="D3888" s="29"/>
      <c r="E3888" s="20"/>
      <c r="F3888" s="20"/>
      <c r="AC3888" s="20"/>
      <c r="AG3888" s="29"/>
    </row>
    <row r="3889" spans="2:33">
      <c r="B3889" s="29"/>
      <c r="D3889" s="29"/>
      <c r="E3889" s="20"/>
      <c r="F3889" s="20"/>
      <c r="AC3889" s="20"/>
      <c r="AG3889" s="29"/>
    </row>
    <row r="3890" spans="2:33">
      <c r="B3890" s="29"/>
      <c r="D3890" s="29"/>
      <c r="E3890" s="20"/>
      <c r="F3890" s="20"/>
      <c r="AC3890" s="20"/>
      <c r="AG3890" s="29"/>
    </row>
    <row r="3891" spans="2:33">
      <c r="B3891" s="29"/>
      <c r="D3891" s="29"/>
      <c r="E3891" s="20"/>
      <c r="F3891" s="20"/>
      <c r="AC3891" s="20"/>
      <c r="AG3891" s="29"/>
    </row>
    <row r="3892" spans="2:33">
      <c r="B3892" s="29"/>
      <c r="D3892" s="29"/>
      <c r="E3892" s="20"/>
      <c r="F3892" s="20"/>
      <c r="AC3892" s="20"/>
      <c r="AG3892" s="29"/>
    </row>
    <row r="3893" spans="2:33">
      <c r="B3893" s="29"/>
      <c r="D3893" s="29"/>
      <c r="E3893" s="20"/>
      <c r="F3893" s="20"/>
      <c r="AC3893" s="20"/>
      <c r="AG3893" s="29"/>
    </row>
    <row r="3894" spans="2:33">
      <c r="B3894" s="29"/>
      <c r="D3894" s="29"/>
      <c r="E3894" s="20"/>
      <c r="F3894" s="20"/>
      <c r="AC3894" s="20"/>
      <c r="AG3894" s="29"/>
    </row>
    <row r="3895" spans="2:33">
      <c r="B3895" s="29"/>
      <c r="D3895" s="29"/>
      <c r="E3895" s="20"/>
      <c r="F3895" s="20"/>
      <c r="AC3895" s="20"/>
      <c r="AG3895" s="29"/>
    </row>
    <row r="3896" spans="2:33">
      <c r="B3896" s="29"/>
      <c r="D3896" s="29"/>
      <c r="E3896" s="20"/>
      <c r="F3896" s="20"/>
      <c r="AC3896" s="20"/>
      <c r="AG3896" s="29"/>
    </row>
    <row r="3897" spans="2:33">
      <c r="B3897" s="29"/>
      <c r="D3897" s="29"/>
      <c r="E3897" s="20"/>
      <c r="F3897" s="20"/>
      <c r="AC3897" s="20"/>
      <c r="AG3897" s="29"/>
    </row>
    <row r="3898" spans="2:33">
      <c r="B3898" s="29"/>
      <c r="D3898" s="29"/>
      <c r="E3898" s="20"/>
      <c r="F3898" s="20"/>
      <c r="AC3898" s="20"/>
      <c r="AG3898" s="29"/>
    </row>
    <row r="3899" spans="2:33">
      <c r="B3899" s="29"/>
      <c r="D3899" s="29"/>
      <c r="E3899" s="20"/>
      <c r="F3899" s="20"/>
      <c r="AC3899" s="20"/>
      <c r="AG3899" s="29"/>
    </row>
    <row r="3900" spans="2:33">
      <c r="B3900" s="29"/>
      <c r="D3900" s="29"/>
      <c r="E3900" s="20"/>
      <c r="F3900" s="20"/>
      <c r="AC3900" s="20"/>
      <c r="AG3900" s="29"/>
    </row>
    <row r="3901" spans="2:33">
      <c r="B3901" s="29"/>
      <c r="D3901" s="29"/>
      <c r="E3901" s="20"/>
      <c r="F3901" s="20"/>
      <c r="AC3901" s="20"/>
      <c r="AG3901" s="29"/>
    </row>
    <row r="3902" spans="2:33">
      <c r="B3902" s="29"/>
      <c r="D3902" s="29"/>
      <c r="E3902" s="20"/>
      <c r="F3902" s="20"/>
      <c r="AC3902" s="20"/>
      <c r="AG3902" s="29"/>
    </row>
    <row r="3903" spans="2:33">
      <c r="B3903" s="29"/>
      <c r="D3903" s="29"/>
      <c r="E3903" s="20"/>
      <c r="F3903" s="20"/>
      <c r="AC3903" s="20"/>
      <c r="AG3903" s="29"/>
    </row>
    <row r="3904" spans="2:33">
      <c r="B3904" s="29"/>
      <c r="D3904" s="29"/>
      <c r="E3904" s="20"/>
      <c r="F3904" s="20"/>
      <c r="AC3904" s="20"/>
      <c r="AG3904" s="29"/>
    </row>
    <row r="3905" spans="2:33">
      <c r="B3905" s="29"/>
      <c r="D3905" s="29"/>
      <c r="E3905" s="20"/>
      <c r="F3905" s="20"/>
      <c r="AC3905" s="20"/>
      <c r="AG3905" s="29"/>
    </row>
    <row r="3906" spans="2:33">
      <c r="B3906" s="29"/>
      <c r="D3906" s="29"/>
      <c r="E3906" s="20"/>
      <c r="F3906" s="20"/>
      <c r="AC3906" s="20"/>
      <c r="AG3906" s="29"/>
    </row>
    <row r="3907" spans="2:33">
      <c r="B3907" s="29"/>
      <c r="D3907" s="29"/>
      <c r="E3907" s="20"/>
      <c r="F3907" s="20"/>
      <c r="AC3907" s="20"/>
      <c r="AG3907" s="29"/>
    </row>
    <row r="3908" spans="2:33">
      <c r="B3908" s="29"/>
      <c r="D3908" s="29"/>
      <c r="E3908" s="20"/>
      <c r="F3908" s="20"/>
      <c r="AC3908" s="20"/>
      <c r="AG3908" s="29"/>
    </row>
    <row r="3909" spans="2:33">
      <c r="B3909" s="29"/>
      <c r="D3909" s="29"/>
      <c r="E3909" s="20"/>
      <c r="F3909" s="20"/>
      <c r="AC3909" s="20"/>
      <c r="AG3909" s="29"/>
    </row>
    <row r="3910" spans="2:33">
      <c r="B3910" s="29"/>
      <c r="D3910" s="29"/>
      <c r="E3910" s="20"/>
      <c r="F3910" s="20"/>
      <c r="AC3910" s="20"/>
      <c r="AG3910" s="29"/>
    </row>
    <row r="3911" spans="2:33">
      <c r="B3911" s="29"/>
      <c r="D3911" s="29"/>
      <c r="E3911" s="20"/>
      <c r="F3911" s="20"/>
      <c r="AC3911" s="20"/>
      <c r="AG3911" s="29"/>
    </row>
    <row r="3912" spans="2:33">
      <c r="B3912" s="29"/>
      <c r="D3912" s="29"/>
      <c r="E3912" s="20"/>
      <c r="F3912" s="20"/>
      <c r="AC3912" s="20"/>
      <c r="AG3912" s="29"/>
    </row>
    <row r="3913" spans="2:33">
      <c r="B3913" s="29"/>
      <c r="D3913" s="29"/>
      <c r="E3913" s="20"/>
      <c r="F3913" s="20"/>
      <c r="AC3913" s="20"/>
      <c r="AG3913" s="29"/>
    </row>
    <row r="3914" spans="2:33">
      <c r="B3914" s="29"/>
      <c r="D3914" s="29"/>
      <c r="E3914" s="20"/>
      <c r="F3914" s="20"/>
      <c r="AC3914" s="20"/>
      <c r="AG3914" s="29"/>
    </row>
    <row r="3915" spans="2:33">
      <c r="B3915" s="29"/>
      <c r="D3915" s="29"/>
      <c r="E3915" s="20"/>
      <c r="F3915" s="20"/>
      <c r="AC3915" s="20"/>
      <c r="AG3915" s="29"/>
    </row>
    <row r="3916" spans="2:33">
      <c r="B3916" s="29"/>
      <c r="D3916" s="29"/>
      <c r="E3916" s="20"/>
      <c r="F3916" s="20"/>
      <c r="AC3916" s="20"/>
      <c r="AG3916" s="29"/>
    </row>
    <row r="3917" spans="2:33">
      <c r="B3917" s="29"/>
      <c r="D3917" s="29"/>
      <c r="E3917" s="20"/>
      <c r="F3917" s="20"/>
      <c r="AC3917" s="20"/>
      <c r="AG3917" s="29"/>
    </row>
    <row r="3918" spans="2:33">
      <c r="B3918" s="29"/>
      <c r="D3918" s="29"/>
      <c r="E3918" s="20"/>
      <c r="F3918" s="20"/>
      <c r="AC3918" s="20"/>
      <c r="AG3918" s="29"/>
    </row>
    <row r="3919" spans="2:33">
      <c r="B3919" s="29"/>
      <c r="D3919" s="29"/>
      <c r="E3919" s="20"/>
      <c r="F3919" s="20"/>
      <c r="AC3919" s="20"/>
      <c r="AG3919" s="29"/>
    </row>
    <row r="3920" spans="2:33">
      <c r="B3920" s="29"/>
      <c r="D3920" s="29"/>
      <c r="E3920" s="20"/>
      <c r="F3920" s="20"/>
      <c r="AC3920" s="20"/>
      <c r="AG3920" s="29"/>
    </row>
    <row r="3921" spans="2:33">
      <c r="B3921" s="29"/>
      <c r="D3921" s="29"/>
      <c r="E3921" s="20"/>
      <c r="F3921" s="20"/>
      <c r="AC3921" s="20"/>
      <c r="AG3921" s="29"/>
    </row>
    <row r="3922" spans="2:33">
      <c r="B3922" s="29"/>
      <c r="D3922" s="29"/>
      <c r="E3922" s="20"/>
      <c r="F3922" s="20"/>
      <c r="AC3922" s="20"/>
      <c r="AG3922" s="29"/>
    </row>
    <row r="3923" spans="2:33">
      <c r="B3923" s="29"/>
      <c r="D3923" s="29"/>
      <c r="E3923" s="20"/>
      <c r="F3923" s="20"/>
      <c r="AC3923" s="20"/>
      <c r="AG3923" s="29"/>
    </row>
    <row r="3924" spans="2:33">
      <c r="B3924" s="29"/>
      <c r="D3924" s="29"/>
      <c r="E3924" s="20"/>
      <c r="F3924" s="20"/>
      <c r="AC3924" s="20"/>
      <c r="AG3924" s="29"/>
    </row>
    <row r="3925" spans="2:33">
      <c r="B3925" s="29"/>
      <c r="D3925" s="29"/>
      <c r="E3925" s="20"/>
      <c r="F3925" s="20"/>
      <c r="AC3925" s="20"/>
      <c r="AG3925" s="29"/>
    </row>
    <row r="3926" spans="2:33">
      <c r="B3926" s="29"/>
      <c r="D3926" s="29"/>
      <c r="E3926" s="20"/>
      <c r="F3926" s="20"/>
      <c r="AC3926" s="20"/>
      <c r="AG3926" s="29"/>
    </row>
    <row r="3927" spans="2:33">
      <c r="B3927" s="29"/>
      <c r="D3927" s="29"/>
      <c r="E3927" s="20"/>
      <c r="F3927" s="20"/>
      <c r="AC3927" s="20"/>
      <c r="AG3927" s="29"/>
    </row>
    <row r="3928" spans="2:33">
      <c r="B3928" s="29"/>
      <c r="D3928" s="29"/>
      <c r="E3928" s="20"/>
      <c r="F3928" s="20"/>
      <c r="AC3928" s="20"/>
      <c r="AG3928" s="29"/>
    </row>
    <row r="3929" spans="2:33">
      <c r="B3929" s="29"/>
      <c r="D3929" s="29"/>
      <c r="E3929" s="20"/>
      <c r="F3929" s="20"/>
      <c r="AC3929" s="20"/>
      <c r="AG3929" s="29"/>
    </row>
    <row r="3930" spans="2:33">
      <c r="B3930" s="29"/>
      <c r="D3930" s="29"/>
      <c r="E3930" s="20"/>
      <c r="F3930" s="20"/>
      <c r="AC3930" s="20"/>
      <c r="AG3930" s="29"/>
    </row>
    <row r="3931" spans="2:33">
      <c r="B3931" s="29"/>
      <c r="D3931" s="29"/>
      <c r="E3931" s="20"/>
      <c r="F3931" s="20"/>
      <c r="AC3931" s="20"/>
      <c r="AG3931" s="29"/>
    </row>
    <row r="3932" spans="2:33">
      <c r="B3932" s="29"/>
      <c r="D3932" s="29"/>
      <c r="E3932" s="20"/>
      <c r="F3932" s="20"/>
      <c r="AC3932" s="20"/>
      <c r="AG3932" s="29"/>
    </row>
    <row r="3933" spans="2:33">
      <c r="B3933" s="29"/>
      <c r="D3933" s="29"/>
      <c r="E3933" s="20"/>
      <c r="F3933" s="20"/>
      <c r="AC3933" s="20"/>
      <c r="AG3933" s="29"/>
    </row>
    <row r="3934" spans="2:33">
      <c r="B3934" s="29"/>
      <c r="D3934" s="29"/>
      <c r="E3934" s="20"/>
      <c r="F3934" s="20"/>
      <c r="AC3934" s="20"/>
      <c r="AG3934" s="29"/>
    </row>
    <row r="3935" spans="2:33">
      <c r="B3935" s="29"/>
      <c r="D3935" s="29"/>
      <c r="E3935" s="20"/>
      <c r="F3935" s="20"/>
      <c r="AC3935" s="20"/>
      <c r="AG3935" s="29"/>
    </row>
    <row r="3936" spans="2:33">
      <c r="B3936" s="29"/>
      <c r="D3936" s="29"/>
      <c r="E3936" s="20"/>
      <c r="F3936" s="20"/>
      <c r="AC3936" s="20"/>
      <c r="AG3936" s="29"/>
    </row>
    <row r="3937" spans="2:33">
      <c r="B3937" s="29"/>
      <c r="D3937" s="29"/>
      <c r="E3937" s="20"/>
      <c r="F3937" s="20"/>
      <c r="AC3937" s="20"/>
      <c r="AG3937" s="29"/>
    </row>
    <row r="3938" spans="2:33">
      <c r="B3938" s="29"/>
      <c r="D3938" s="29"/>
      <c r="E3938" s="20"/>
      <c r="F3938" s="20"/>
      <c r="AC3938" s="20"/>
      <c r="AG3938" s="29"/>
    </row>
    <row r="3939" spans="2:33">
      <c r="B3939" s="29"/>
      <c r="D3939" s="29"/>
      <c r="E3939" s="20"/>
      <c r="F3939" s="20"/>
      <c r="AC3939" s="20"/>
      <c r="AG3939" s="29"/>
    </row>
    <row r="3940" spans="2:33">
      <c r="B3940" s="29"/>
      <c r="D3940" s="29"/>
      <c r="E3940" s="20"/>
      <c r="F3940" s="20"/>
      <c r="AC3940" s="20"/>
      <c r="AG3940" s="29"/>
    </row>
    <row r="3941" spans="2:33">
      <c r="B3941" s="29"/>
      <c r="D3941" s="29"/>
      <c r="E3941" s="20"/>
      <c r="F3941" s="20"/>
      <c r="AC3941" s="20"/>
      <c r="AG3941" s="29"/>
    </row>
    <row r="3942" spans="2:33">
      <c r="B3942" s="29"/>
      <c r="D3942" s="29"/>
      <c r="E3942" s="20"/>
      <c r="F3942" s="20"/>
      <c r="AC3942" s="20"/>
      <c r="AG3942" s="29"/>
    </row>
    <row r="3943" spans="2:33">
      <c r="B3943" s="29"/>
      <c r="D3943" s="29"/>
      <c r="E3943" s="20"/>
      <c r="F3943" s="20"/>
      <c r="AC3943" s="20"/>
      <c r="AG3943" s="29"/>
    </row>
    <row r="3944" spans="2:33">
      <c r="B3944" s="29"/>
      <c r="D3944" s="29"/>
      <c r="E3944" s="20"/>
      <c r="F3944" s="20"/>
      <c r="AC3944" s="20"/>
      <c r="AG3944" s="29"/>
    </row>
    <row r="3945" spans="2:33">
      <c r="B3945" s="29"/>
      <c r="D3945" s="29"/>
      <c r="E3945" s="20"/>
      <c r="F3945" s="20"/>
      <c r="AC3945" s="20"/>
      <c r="AG3945" s="29"/>
    </row>
    <row r="3946" spans="2:33">
      <c r="B3946" s="29"/>
      <c r="D3946" s="29"/>
      <c r="E3946" s="20"/>
      <c r="F3946" s="20"/>
      <c r="AC3946" s="20"/>
      <c r="AG3946" s="29"/>
    </row>
    <row r="3947" spans="2:33">
      <c r="B3947" s="29"/>
      <c r="D3947" s="29"/>
      <c r="E3947" s="20"/>
      <c r="F3947" s="20"/>
      <c r="AC3947" s="20"/>
      <c r="AG3947" s="29"/>
    </row>
    <row r="3948" spans="2:33">
      <c r="B3948" s="29"/>
      <c r="D3948" s="29"/>
      <c r="E3948" s="20"/>
      <c r="F3948" s="20"/>
      <c r="AC3948" s="20"/>
      <c r="AG3948" s="29"/>
    </row>
    <row r="3949" spans="2:33">
      <c r="B3949" s="29"/>
      <c r="D3949" s="29"/>
      <c r="E3949" s="20"/>
      <c r="F3949" s="20"/>
      <c r="AC3949" s="20"/>
      <c r="AG3949" s="29"/>
    </row>
    <row r="3950" spans="2:33">
      <c r="B3950" s="29"/>
      <c r="D3950" s="29"/>
      <c r="E3950" s="20"/>
      <c r="F3950" s="20"/>
      <c r="AC3950" s="20"/>
      <c r="AG3950" s="29"/>
    </row>
    <row r="3951" spans="2:33">
      <c r="B3951" s="29"/>
      <c r="D3951" s="29"/>
      <c r="E3951" s="20"/>
      <c r="F3951" s="20"/>
      <c r="AC3951" s="20"/>
      <c r="AG3951" s="29"/>
    </row>
    <row r="3952" spans="2:33">
      <c r="B3952" s="29"/>
      <c r="D3952" s="29"/>
      <c r="E3952" s="20"/>
      <c r="F3952" s="20"/>
      <c r="AC3952" s="20"/>
      <c r="AG3952" s="29"/>
    </row>
    <row r="3953" spans="2:33">
      <c r="B3953" s="29"/>
      <c r="D3953" s="29"/>
      <c r="E3953" s="20"/>
      <c r="F3953" s="20"/>
      <c r="AC3953" s="20"/>
      <c r="AG3953" s="29"/>
    </row>
    <row r="3954" spans="2:33">
      <c r="B3954" s="29"/>
      <c r="D3954" s="29"/>
      <c r="E3954" s="20"/>
      <c r="F3954" s="20"/>
      <c r="AC3954" s="20"/>
      <c r="AG3954" s="29"/>
    </row>
    <row r="3955" spans="2:33">
      <c r="B3955" s="29"/>
      <c r="D3955" s="29"/>
      <c r="E3955" s="20"/>
      <c r="F3955" s="20"/>
      <c r="AC3955" s="20"/>
      <c r="AG3955" s="29"/>
    </row>
    <row r="3956" spans="2:33">
      <c r="B3956" s="29"/>
      <c r="D3956" s="29"/>
      <c r="E3956" s="20"/>
      <c r="F3956" s="20"/>
      <c r="AC3956" s="20"/>
      <c r="AG3956" s="29"/>
    </row>
    <row r="3957" spans="2:33">
      <c r="B3957" s="29"/>
      <c r="D3957" s="29"/>
      <c r="E3957" s="20"/>
      <c r="F3957" s="20"/>
      <c r="AC3957" s="20"/>
      <c r="AG3957" s="29"/>
    </row>
    <row r="3958" spans="2:33">
      <c r="B3958" s="29"/>
      <c r="D3958" s="29"/>
      <c r="E3958" s="20"/>
      <c r="F3958" s="20"/>
      <c r="AC3958" s="20"/>
      <c r="AG3958" s="29"/>
    </row>
    <row r="3959" spans="2:33">
      <c r="B3959" s="29"/>
      <c r="D3959" s="29"/>
      <c r="E3959" s="20"/>
      <c r="F3959" s="20"/>
      <c r="AC3959" s="20"/>
      <c r="AG3959" s="29"/>
    </row>
    <row r="3960" spans="2:33">
      <c r="B3960" s="29"/>
      <c r="D3960" s="29"/>
      <c r="E3960" s="20"/>
      <c r="F3960" s="20"/>
      <c r="AC3960" s="20"/>
      <c r="AG3960" s="29"/>
    </row>
    <row r="3961" spans="2:33">
      <c r="B3961" s="29"/>
      <c r="D3961" s="29"/>
      <c r="E3961" s="20"/>
      <c r="F3961" s="20"/>
      <c r="AC3961" s="20"/>
      <c r="AG3961" s="29"/>
    </row>
    <row r="3962" spans="2:33">
      <c r="B3962" s="29"/>
      <c r="D3962" s="29"/>
      <c r="E3962" s="20"/>
      <c r="F3962" s="20"/>
      <c r="AC3962" s="20"/>
      <c r="AG3962" s="29"/>
    </row>
    <row r="3963" spans="2:33">
      <c r="B3963" s="29"/>
      <c r="D3963" s="29"/>
      <c r="E3963" s="20"/>
      <c r="F3963" s="20"/>
      <c r="AC3963" s="20"/>
      <c r="AG3963" s="29"/>
    </row>
    <row r="3964" spans="2:33">
      <c r="B3964" s="29"/>
      <c r="D3964" s="29"/>
      <c r="E3964" s="20"/>
      <c r="F3964" s="20"/>
      <c r="AC3964" s="20"/>
      <c r="AG3964" s="29"/>
    </row>
    <row r="3965" spans="2:33">
      <c r="B3965" s="29"/>
      <c r="D3965" s="29"/>
      <c r="E3965" s="20"/>
      <c r="F3965" s="20"/>
      <c r="AC3965" s="20"/>
      <c r="AG3965" s="29"/>
    </row>
    <row r="3966" spans="2:33">
      <c r="B3966" s="29"/>
      <c r="D3966" s="29"/>
      <c r="E3966" s="20"/>
      <c r="F3966" s="20"/>
      <c r="AC3966" s="20"/>
      <c r="AG3966" s="29"/>
    </row>
    <row r="3967" spans="2:33">
      <c r="B3967" s="29"/>
      <c r="D3967" s="29"/>
      <c r="E3967" s="20"/>
      <c r="F3967" s="20"/>
      <c r="AC3967" s="20"/>
      <c r="AG3967" s="29"/>
    </row>
    <row r="3968" spans="2:33">
      <c r="B3968" s="29"/>
      <c r="D3968" s="29"/>
      <c r="E3968" s="20"/>
      <c r="F3968" s="20"/>
      <c r="AC3968" s="20"/>
      <c r="AG3968" s="29"/>
    </row>
    <row r="3969" spans="2:33">
      <c r="B3969" s="29"/>
      <c r="D3969" s="29"/>
      <c r="E3969" s="20"/>
      <c r="F3969" s="20"/>
      <c r="AC3969" s="20"/>
      <c r="AG3969" s="29"/>
    </row>
    <row r="3970" spans="2:33">
      <c r="B3970" s="29"/>
      <c r="D3970" s="29"/>
      <c r="E3970" s="20"/>
      <c r="F3970" s="20"/>
      <c r="AC3970" s="20"/>
      <c r="AG3970" s="29"/>
    </row>
    <row r="3971" spans="2:33">
      <c r="B3971" s="29"/>
      <c r="D3971" s="29"/>
      <c r="E3971" s="20"/>
      <c r="F3971" s="20"/>
      <c r="AC3971" s="20"/>
      <c r="AG3971" s="29"/>
    </row>
    <row r="3972" spans="2:33">
      <c r="B3972" s="29"/>
      <c r="D3972" s="29"/>
      <c r="E3972" s="20"/>
      <c r="F3972" s="20"/>
      <c r="AC3972" s="20"/>
      <c r="AG3972" s="29"/>
    </row>
    <row r="3973" spans="2:33">
      <c r="B3973" s="29"/>
      <c r="D3973" s="29"/>
      <c r="E3973" s="20"/>
      <c r="F3973" s="20"/>
      <c r="AC3973" s="20"/>
      <c r="AG3973" s="29"/>
    </row>
    <row r="3974" spans="2:33">
      <c r="B3974" s="29"/>
      <c r="D3974" s="29"/>
      <c r="E3974" s="20"/>
      <c r="F3974" s="20"/>
      <c r="AC3974" s="20"/>
      <c r="AG3974" s="29"/>
    </row>
    <row r="3975" spans="2:33">
      <c r="B3975" s="29"/>
      <c r="D3975" s="29"/>
      <c r="E3975" s="20"/>
      <c r="F3975" s="20"/>
      <c r="AC3975" s="20"/>
      <c r="AG3975" s="29"/>
    </row>
    <row r="3976" spans="2:33">
      <c r="B3976" s="29"/>
      <c r="D3976" s="29"/>
      <c r="E3976" s="20"/>
      <c r="F3976" s="20"/>
      <c r="AC3976" s="20"/>
      <c r="AG3976" s="29"/>
    </row>
    <row r="3977" spans="2:33">
      <c r="B3977" s="29"/>
      <c r="D3977" s="29"/>
      <c r="E3977" s="20"/>
      <c r="F3977" s="20"/>
      <c r="AC3977" s="20"/>
      <c r="AG3977" s="29"/>
    </row>
    <row r="3978" spans="2:33">
      <c r="B3978" s="29"/>
      <c r="D3978" s="29"/>
      <c r="E3978" s="20"/>
      <c r="F3978" s="20"/>
      <c r="AC3978" s="20"/>
      <c r="AG3978" s="29"/>
    </row>
    <row r="3979" spans="2:33">
      <c r="B3979" s="29"/>
      <c r="D3979" s="29"/>
      <c r="E3979" s="20"/>
      <c r="F3979" s="20"/>
      <c r="AC3979" s="20"/>
      <c r="AG3979" s="29"/>
    </row>
    <row r="3980" spans="2:33">
      <c r="B3980" s="29"/>
      <c r="D3980" s="29"/>
      <c r="E3980" s="20"/>
      <c r="F3980" s="20"/>
      <c r="AC3980" s="20"/>
      <c r="AG3980" s="29"/>
    </row>
    <row r="3981" spans="2:33">
      <c r="B3981" s="29"/>
      <c r="D3981" s="29"/>
      <c r="E3981" s="20"/>
      <c r="F3981" s="20"/>
      <c r="AC3981" s="20"/>
      <c r="AG3981" s="29"/>
    </row>
    <row r="3982" spans="2:33">
      <c r="B3982" s="29"/>
      <c r="D3982" s="29"/>
      <c r="E3982" s="20"/>
      <c r="F3982" s="20"/>
      <c r="AC3982" s="20"/>
      <c r="AG3982" s="29"/>
    </row>
    <row r="3983" spans="2:33">
      <c r="B3983" s="29"/>
      <c r="D3983" s="29"/>
      <c r="E3983" s="20"/>
      <c r="F3983" s="20"/>
      <c r="AC3983" s="20"/>
      <c r="AG3983" s="29"/>
    </row>
    <row r="3984" spans="2:33">
      <c r="B3984" s="29"/>
      <c r="D3984" s="29"/>
      <c r="E3984" s="20"/>
      <c r="F3984" s="20"/>
      <c r="AC3984" s="20"/>
      <c r="AG3984" s="29"/>
    </row>
    <row r="3985" spans="2:33">
      <c r="B3985" s="29"/>
      <c r="D3985" s="29"/>
      <c r="E3985" s="20"/>
      <c r="F3985" s="20"/>
      <c r="AC3985" s="20"/>
      <c r="AG3985" s="29"/>
    </row>
    <row r="3986" spans="2:33">
      <c r="B3986" s="29"/>
      <c r="D3986" s="29"/>
      <c r="E3986" s="20"/>
      <c r="F3986" s="20"/>
      <c r="AC3986" s="20"/>
      <c r="AG3986" s="29"/>
    </row>
    <row r="3987" spans="2:33">
      <c r="B3987" s="29"/>
      <c r="D3987" s="29"/>
      <c r="E3987" s="20"/>
      <c r="F3987" s="20"/>
      <c r="AC3987" s="20"/>
      <c r="AG3987" s="29"/>
    </row>
    <row r="3988" spans="2:33">
      <c r="B3988" s="29"/>
      <c r="D3988" s="29"/>
      <c r="E3988" s="20"/>
      <c r="F3988" s="20"/>
      <c r="AC3988" s="20"/>
      <c r="AG3988" s="29"/>
    </row>
    <row r="3989" spans="2:33">
      <c r="B3989" s="29"/>
      <c r="D3989" s="29"/>
      <c r="E3989" s="20"/>
      <c r="F3989" s="20"/>
      <c r="AC3989" s="20"/>
      <c r="AG3989" s="29"/>
    </row>
    <row r="3990" spans="2:33">
      <c r="B3990" s="29"/>
      <c r="D3990" s="29"/>
      <c r="E3990" s="20"/>
      <c r="F3990" s="20"/>
      <c r="AC3990" s="20"/>
      <c r="AG3990" s="29"/>
    </row>
    <row r="3991" spans="2:33">
      <c r="B3991" s="29"/>
      <c r="D3991" s="29"/>
      <c r="E3991" s="20"/>
      <c r="F3991" s="20"/>
      <c r="AC3991" s="20"/>
      <c r="AG3991" s="29"/>
    </row>
    <row r="3992" spans="2:33">
      <c r="B3992" s="29"/>
      <c r="D3992" s="29"/>
      <c r="E3992" s="20"/>
      <c r="F3992" s="20"/>
      <c r="AC3992" s="20"/>
      <c r="AG3992" s="29"/>
    </row>
    <row r="3993" spans="2:33">
      <c r="B3993" s="29"/>
      <c r="D3993" s="29"/>
      <c r="E3993" s="20"/>
      <c r="F3993" s="20"/>
      <c r="AC3993" s="20"/>
      <c r="AG3993" s="29"/>
    </row>
    <row r="3994" spans="2:33">
      <c r="B3994" s="29"/>
      <c r="D3994" s="29"/>
      <c r="E3994" s="20"/>
      <c r="F3994" s="20"/>
      <c r="AC3994" s="20"/>
      <c r="AG3994" s="29"/>
    </row>
    <row r="3995" spans="2:33">
      <c r="B3995" s="29"/>
      <c r="D3995" s="29"/>
      <c r="E3995" s="20"/>
      <c r="F3995" s="20"/>
      <c r="AC3995" s="20"/>
      <c r="AG3995" s="29"/>
    </row>
    <row r="3996" spans="2:33">
      <c r="B3996" s="29"/>
      <c r="D3996" s="29"/>
      <c r="E3996" s="20"/>
      <c r="F3996" s="20"/>
      <c r="AC3996" s="20"/>
      <c r="AG3996" s="29"/>
    </row>
    <row r="3997" spans="2:33">
      <c r="B3997" s="29"/>
      <c r="D3997" s="29"/>
      <c r="E3997" s="20"/>
      <c r="F3997" s="20"/>
      <c r="AC3997" s="20"/>
      <c r="AG3997" s="29"/>
    </row>
    <row r="3998" spans="2:33">
      <c r="B3998" s="29"/>
      <c r="D3998" s="29"/>
      <c r="E3998" s="20"/>
      <c r="F3998" s="20"/>
      <c r="AC3998" s="20"/>
      <c r="AG3998" s="29"/>
    </row>
    <row r="3999" spans="2:33">
      <c r="B3999" s="29"/>
      <c r="D3999" s="29"/>
      <c r="E3999" s="20"/>
      <c r="F3999" s="20"/>
      <c r="AC3999" s="20"/>
      <c r="AG3999" s="29"/>
    </row>
    <row r="4000" spans="2:33">
      <c r="B4000" s="29"/>
      <c r="D4000" s="29"/>
      <c r="E4000" s="20"/>
      <c r="F4000" s="20"/>
      <c r="AC4000" s="20"/>
      <c r="AG4000" s="29"/>
    </row>
    <row r="4001" spans="2:33">
      <c r="B4001" s="29"/>
      <c r="D4001" s="29"/>
      <c r="E4001" s="20"/>
      <c r="F4001" s="20"/>
      <c r="AC4001" s="20"/>
      <c r="AG4001" s="29"/>
    </row>
    <row r="4002" spans="2:33">
      <c r="B4002" s="29"/>
      <c r="D4002" s="29"/>
      <c r="E4002" s="20"/>
      <c r="F4002" s="20"/>
      <c r="AC4002" s="20"/>
      <c r="AG4002" s="29"/>
    </row>
    <row r="4003" spans="2:33">
      <c r="B4003" s="29"/>
      <c r="D4003" s="29"/>
      <c r="E4003" s="20"/>
      <c r="F4003" s="20"/>
      <c r="AC4003" s="20"/>
      <c r="AG4003" s="29"/>
    </row>
    <row r="4004" spans="2:33">
      <c r="B4004" s="29"/>
      <c r="D4004" s="29"/>
      <c r="E4004" s="20"/>
      <c r="F4004" s="20"/>
      <c r="AC4004" s="20"/>
      <c r="AG4004" s="29"/>
    </row>
    <row r="4005" spans="2:33">
      <c r="B4005" s="29"/>
      <c r="D4005" s="29"/>
      <c r="E4005" s="20"/>
      <c r="F4005" s="20"/>
      <c r="AC4005" s="20"/>
      <c r="AG4005" s="29"/>
    </row>
    <row r="4006" spans="2:33">
      <c r="B4006" s="29"/>
      <c r="D4006" s="29"/>
      <c r="E4006" s="20"/>
      <c r="F4006" s="20"/>
      <c r="AC4006" s="20"/>
      <c r="AG4006" s="29"/>
    </row>
    <row r="4007" spans="2:33">
      <c r="B4007" s="29"/>
      <c r="D4007" s="29"/>
      <c r="E4007" s="20"/>
      <c r="F4007" s="20"/>
      <c r="AC4007" s="20"/>
      <c r="AG4007" s="29"/>
    </row>
    <row r="4008" spans="2:33">
      <c r="B4008" s="29"/>
      <c r="D4008" s="29"/>
      <c r="E4008" s="20"/>
      <c r="F4008" s="20"/>
      <c r="AC4008" s="20"/>
      <c r="AG4008" s="29"/>
    </row>
    <row r="4009" spans="2:33">
      <c r="B4009" s="29"/>
      <c r="D4009" s="29"/>
      <c r="E4009" s="20"/>
      <c r="F4009" s="20"/>
      <c r="AC4009" s="20"/>
      <c r="AG4009" s="29"/>
    </row>
    <row r="4010" spans="2:33">
      <c r="B4010" s="29"/>
      <c r="D4010" s="29"/>
      <c r="E4010" s="20"/>
      <c r="F4010" s="20"/>
      <c r="AC4010" s="20"/>
      <c r="AG4010" s="29"/>
    </row>
    <row r="4011" spans="2:33">
      <c r="B4011" s="29"/>
      <c r="D4011" s="29"/>
      <c r="E4011" s="20"/>
      <c r="F4011" s="20"/>
      <c r="AC4011" s="20"/>
      <c r="AG4011" s="29"/>
    </row>
    <row r="4012" spans="2:33">
      <c r="B4012" s="29"/>
      <c r="D4012" s="29"/>
      <c r="E4012" s="20"/>
      <c r="F4012" s="20"/>
      <c r="AC4012" s="20"/>
      <c r="AG4012" s="29"/>
    </row>
    <row r="4013" spans="2:33">
      <c r="B4013" s="29"/>
      <c r="D4013" s="29"/>
      <c r="E4013" s="20"/>
      <c r="F4013" s="20"/>
      <c r="AC4013" s="20"/>
      <c r="AG4013" s="29"/>
    </row>
    <row r="4014" spans="2:33">
      <c r="B4014" s="29"/>
      <c r="D4014" s="29"/>
      <c r="E4014" s="20"/>
      <c r="F4014" s="20"/>
      <c r="AC4014" s="20"/>
      <c r="AG4014" s="29"/>
    </row>
    <row r="4015" spans="2:33">
      <c r="B4015" s="29"/>
      <c r="D4015" s="29"/>
      <c r="E4015" s="20"/>
      <c r="F4015" s="20"/>
      <c r="AC4015" s="20"/>
      <c r="AG4015" s="29"/>
    </row>
    <row r="4016" spans="2:33">
      <c r="B4016" s="29"/>
      <c r="D4016" s="29"/>
      <c r="E4016" s="20"/>
      <c r="F4016" s="20"/>
      <c r="AC4016" s="20"/>
      <c r="AG4016" s="29"/>
    </row>
    <row r="4017" spans="2:33">
      <c r="B4017" s="29"/>
      <c r="D4017" s="29"/>
      <c r="E4017" s="20"/>
      <c r="F4017" s="20"/>
      <c r="AC4017" s="20"/>
      <c r="AG4017" s="29"/>
    </row>
    <row r="4018" spans="2:33">
      <c r="B4018" s="29"/>
      <c r="D4018" s="29"/>
      <c r="E4018" s="20"/>
      <c r="F4018" s="20"/>
      <c r="AC4018" s="20"/>
      <c r="AG4018" s="29"/>
    </row>
    <row r="4019" spans="2:33">
      <c r="B4019" s="29"/>
      <c r="D4019" s="29"/>
      <c r="E4019" s="20"/>
      <c r="F4019" s="20"/>
      <c r="AC4019" s="20"/>
      <c r="AG4019" s="29"/>
    </row>
    <row r="4020" spans="2:33">
      <c r="B4020" s="29"/>
      <c r="D4020" s="29"/>
      <c r="E4020" s="20"/>
      <c r="F4020" s="20"/>
      <c r="AC4020" s="20"/>
      <c r="AG4020" s="29"/>
    </row>
    <row r="4021" spans="2:33">
      <c r="B4021" s="29"/>
      <c r="D4021" s="29"/>
      <c r="E4021" s="20"/>
      <c r="F4021" s="20"/>
      <c r="AC4021" s="20"/>
      <c r="AG4021" s="29"/>
    </row>
    <row r="4022" spans="2:33">
      <c r="B4022" s="29"/>
      <c r="D4022" s="29"/>
      <c r="E4022" s="20"/>
      <c r="F4022" s="20"/>
      <c r="AC4022" s="20"/>
      <c r="AG4022" s="29"/>
    </row>
    <row r="4023" spans="2:33">
      <c r="B4023" s="29"/>
      <c r="D4023" s="29"/>
      <c r="E4023" s="20"/>
      <c r="F4023" s="20"/>
      <c r="AC4023" s="20"/>
      <c r="AG4023" s="29"/>
    </row>
    <row r="4024" spans="2:33">
      <c r="B4024" s="29"/>
      <c r="D4024" s="29"/>
      <c r="E4024" s="20"/>
      <c r="F4024" s="20"/>
      <c r="AC4024" s="20"/>
      <c r="AG4024" s="29"/>
    </row>
    <row r="4025" spans="2:33">
      <c r="B4025" s="29"/>
      <c r="D4025" s="29"/>
      <c r="E4025" s="20"/>
      <c r="F4025" s="20"/>
      <c r="AC4025" s="20"/>
      <c r="AG4025" s="29"/>
    </row>
    <row r="4026" spans="2:33">
      <c r="B4026" s="29"/>
      <c r="D4026" s="29"/>
      <c r="E4026" s="20"/>
      <c r="F4026" s="20"/>
      <c r="AC4026" s="20"/>
      <c r="AG4026" s="29"/>
    </row>
    <row r="4027" spans="2:33">
      <c r="B4027" s="29"/>
      <c r="D4027" s="29"/>
      <c r="E4027" s="20"/>
      <c r="F4027" s="20"/>
      <c r="AC4027" s="20"/>
      <c r="AG4027" s="29"/>
    </row>
    <row r="4028" spans="2:33">
      <c r="B4028" s="29"/>
      <c r="D4028" s="29"/>
      <c r="E4028" s="20"/>
      <c r="F4028" s="20"/>
      <c r="AC4028" s="20"/>
      <c r="AG4028" s="29"/>
    </row>
    <row r="4029" spans="2:33">
      <c r="B4029" s="29"/>
      <c r="D4029" s="29"/>
      <c r="E4029" s="20"/>
      <c r="F4029" s="20"/>
      <c r="AC4029" s="20"/>
      <c r="AG4029" s="29"/>
    </row>
    <row r="4030" spans="2:33">
      <c r="B4030" s="29"/>
      <c r="D4030" s="29"/>
      <c r="E4030" s="20"/>
      <c r="F4030" s="20"/>
      <c r="AC4030" s="20"/>
      <c r="AG4030" s="29"/>
    </row>
    <row r="4031" spans="2:33">
      <c r="B4031" s="29"/>
      <c r="D4031" s="29"/>
      <c r="E4031" s="20"/>
      <c r="F4031" s="20"/>
      <c r="AC4031" s="20"/>
      <c r="AG4031" s="29"/>
    </row>
    <row r="4032" spans="2:33">
      <c r="B4032" s="29"/>
      <c r="D4032" s="29"/>
      <c r="E4032" s="20"/>
      <c r="F4032" s="20"/>
      <c r="AC4032" s="20"/>
      <c r="AG4032" s="29"/>
    </row>
    <row r="4033" spans="2:33">
      <c r="B4033" s="29"/>
      <c r="D4033" s="29"/>
      <c r="E4033" s="20"/>
      <c r="F4033" s="20"/>
      <c r="AC4033" s="20"/>
      <c r="AG4033" s="29"/>
    </row>
    <row r="4034" spans="2:33">
      <c r="B4034" s="29"/>
      <c r="D4034" s="29"/>
      <c r="E4034" s="20"/>
      <c r="F4034" s="20"/>
      <c r="AC4034" s="20"/>
      <c r="AG4034" s="29"/>
    </row>
    <row r="4035" spans="2:33">
      <c r="B4035" s="29"/>
      <c r="D4035" s="29"/>
      <c r="E4035" s="20"/>
      <c r="F4035" s="20"/>
      <c r="AC4035" s="20"/>
      <c r="AG4035" s="29"/>
    </row>
    <row r="4036" spans="2:33">
      <c r="B4036" s="29"/>
      <c r="D4036" s="29"/>
      <c r="E4036" s="20"/>
      <c r="F4036" s="20"/>
      <c r="AC4036" s="20"/>
      <c r="AG4036" s="29"/>
    </row>
    <row r="4037" spans="2:33">
      <c r="B4037" s="29"/>
      <c r="D4037" s="29"/>
      <c r="E4037" s="20"/>
      <c r="F4037" s="20"/>
      <c r="AC4037" s="20"/>
      <c r="AG4037" s="29"/>
    </row>
    <row r="4038" spans="2:33">
      <c r="B4038" s="29"/>
      <c r="D4038" s="29"/>
      <c r="E4038" s="20"/>
      <c r="F4038" s="20"/>
      <c r="AC4038" s="20"/>
      <c r="AG4038" s="29"/>
    </row>
    <row r="4039" spans="2:33">
      <c r="B4039" s="29"/>
      <c r="D4039" s="29"/>
      <c r="E4039" s="20"/>
      <c r="F4039" s="20"/>
      <c r="AC4039" s="20"/>
      <c r="AG4039" s="29"/>
    </row>
    <row r="4040" spans="2:33">
      <c r="B4040" s="29"/>
      <c r="D4040" s="29"/>
      <c r="E4040" s="20"/>
      <c r="F4040" s="20"/>
      <c r="AC4040" s="20"/>
      <c r="AG4040" s="29"/>
    </row>
    <row r="4041" spans="2:33">
      <c r="B4041" s="29"/>
      <c r="D4041" s="29"/>
      <c r="E4041" s="20"/>
      <c r="F4041" s="20"/>
      <c r="AC4041" s="20"/>
      <c r="AG4041" s="29"/>
    </row>
    <row r="4042" spans="2:33">
      <c r="B4042" s="29"/>
      <c r="D4042" s="29"/>
      <c r="E4042" s="20"/>
      <c r="F4042" s="20"/>
      <c r="AC4042" s="20"/>
      <c r="AG4042" s="29"/>
    </row>
    <row r="4043" spans="2:33">
      <c r="B4043" s="29"/>
      <c r="D4043" s="29"/>
      <c r="E4043" s="20"/>
      <c r="F4043" s="20"/>
      <c r="AC4043" s="20"/>
      <c r="AG4043" s="29"/>
    </row>
    <row r="4044" spans="2:33">
      <c r="B4044" s="29"/>
      <c r="D4044" s="29"/>
      <c r="E4044" s="20"/>
      <c r="F4044" s="20"/>
      <c r="AC4044" s="20"/>
      <c r="AG4044" s="29"/>
    </row>
    <row r="4045" spans="2:33">
      <c r="B4045" s="29"/>
      <c r="D4045" s="29"/>
      <c r="E4045" s="20"/>
      <c r="F4045" s="20"/>
      <c r="AC4045" s="20"/>
      <c r="AG4045" s="29"/>
    </row>
    <row r="4046" spans="2:33">
      <c r="B4046" s="29"/>
      <c r="D4046" s="29"/>
      <c r="E4046" s="20"/>
      <c r="F4046" s="20"/>
      <c r="AC4046" s="20"/>
      <c r="AG4046" s="29"/>
    </row>
    <row r="4047" spans="2:33">
      <c r="B4047" s="29"/>
      <c r="D4047" s="29"/>
      <c r="E4047" s="20"/>
      <c r="F4047" s="20"/>
      <c r="AC4047" s="20"/>
      <c r="AG4047" s="29"/>
    </row>
    <row r="4048" spans="2:33">
      <c r="B4048" s="29"/>
      <c r="D4048" s="29"/>
      <c r="E4048" s="20"/>
      <c r="F4048" s="20"/>
      <c r="AC4048" s="20"/>
      <c r="AG4048" s="29"/>
    </row>
    <row r="4049" spans="2:33">
      <c r="B4049" s="29"/>
      <c r="D4049" s="29"/>
      <c r="E4049" s="20"/>
      <c r="F4049" s="20"/>
      <c r="AC4049" s="20"/>
      <c r="AG4049" s="29"/>
    </row>
    <row r="4050" spans="2:33">
      <c r="B4050" s="29"/>
      <c r="D4050" s="29"/>
      <c r="E4050" s="20"/>
      <c r="F4050" s="20"/>
      <c r="AC4050" s="20"/>
      <c r="AG4050" s="29"/>
    </row>
    <row r="4051" spans="2:33">
      <c r="B4051" s="29"/>
      <c r="D4051" s="29"/>
      <c r="E4051" s="20"/>
      <c r="F4051" s="20"/>
      <c r="AC4051" s="20"/>
      <c r="AG4051" s="29"/>
    </row>
    <row r="4052" spans="2:33">
      <c r="B4052" s="29"/>
      <c r="D4052" s="29"/>
      <c r="E4052" s="20"/>
      <c r="F4052" s="20"/>
      <c r="AC4052" s="20"/>
      <c r="AG4052" s="29"/>
    </row>
    <row r="4053" spans="2:33">
      <c r="B4053" s="29"/>
      <c r="D4053" s="29"/>
      <c r="E4053" s="20"/>
      <c r="F4053" s="20"/>
      <c r="AC4053" s="20"/>
      <c r="AG4053" s="29"/>
    </row>
    <row r="4054" spans="2:33">
      <c r="B4054" s="29"/>
      <c r="D4054" s="29"/>
      <c r="E4054" s="20"/>
      <c r="F4054" s="20"/>
      <c r="AC4054" s="20"/>
      <c r="AG4054" s="29"/>
    </row>
    <row r="4055" spans="2:33">
      <c r="B4055" s="29"/>
      <c r="D4055" s="29"/>
      <c r="E4055" s="20"/>
      <c r="F4055" s="20"/>
      <c r="AC4055" s="20"/>
      <c r="AG4055" s="29"/>
    </row>
    <row r="4056" spans="2:33">
      <c r="B4056" s="29"/>
      <c r="D4056" s="29"/>
      <c r="E4056" s="20"/>
      <c r="F4056" s="20"/>
      <c r="AC4056" s="20"/>
      <c r="AG4056" s="29"/>
    </row>
    <row r="4057" spans="2:33">
      <c r="B4057" s="29"/>
      <c r="D4057" s="29"/>
      <c r="E4057" s="20"/>
      <c r="F4057" s="20"/>
      <c r="AC4057" s="20"/>
      <c r="AG4057" s="29"/>
    </row>
    <row r="4058" spans="2:33">
      <c r="B4058" s="29"/>
      <c r="D4058" s="29"/>
      <c r="E4058" s="20"/>
      <c r="F4058" s="20"/>
      <c r="AC4058" s="20"/>
      <c r="AG4058" s="29"/>
    </row>
    <row r="4059" spans="2:33">
      <c r="B4059" s="29"/>
      <c r="D4059" s="29"/>
      <c r="E4059" s="20"/>
      <c r="F4059" s="20"/>
      <c r="AC4059" s="20"/>
      <c r="AG4059" s="29"/>
    </row>
    <row r="4060" spans="2:33">
      <c r="B4060" s="29"/>
      <c r="D4060" s="29"/>
      <c r="E4060" s="20"/>
      <c r="F4060" s="20"/>
      <c r="AC4060" s="20"/>
      <c r="AG4060" s="29"/>
    </row>
    <row r="4061" spans="2:33">
      <c r="B4061" s="29"/>
      <c r="D4061" s="29"/>
      <c r="E4061" s="20"/>
      <c r="F4061" s="20"/>
      <c r="AC4061" s="20"/>
      <c r="AG4061" s="29"/>
    </row>
    <row r="4062" spans="2:33">
      <c r="B4062" s="29"/>
      <c r="D4062" s="29"/>
      <c r="E4062" s="20"/>
      <c r="F4062" s="20"/>
      <c r="AC4062" s="20"/>
      <c r="AG4062" s="29"/>
    </row>
    <row r="4063" spans="2:33">
      <c r="B4063" s="29"/>
      <c r="D4063" s="29"/>
      <c r="E4063" s="20"/>
      <c r="F4063" s="20"/>
      <c r="AC4063" s="20"/>
      <c r="AG4063" s="29"/>
    </row>
    <row r="4064" spans="2:33">
      <c r="B4064" s="29"/>
      <c r="D4064" s="29"/>
      <c r="E4064" s="20"/>
      <c r="F4064" s="20"/>
      <c r="AC4064" s="20"/>
      <c r="AG4064" s="29"/>
    </row>
    <row r="4065" spans="2:33">
      <c r="B4065" s="29"/>
      <c r="D4065" s="29"/>
      <c r="E4065" s="20"/>
      <c r="F4065" s="20"/>
      <c r="AC4065" s="20"/>
      <c r="AG4065" s="29"/>
    </row>
    <row r="4066" spans="2:33">
      <c r="B4066" s="29"/>
      <c r="D4066" s="29"/>
      <c r="E4066" s="20"/>
      <c r="F4066" s="20"/>
      <c r="AC4066" s="20"/>
      <c r="AG4066" s="29"/>
    </row>
    <row r="4067" spans="2:33">
      <c r="B4067" s="29"/>
      <c r="D4067" s="29"/>
      <c r="E4067" s="20"/>
      <c r="F4067" s="20"/>
      <c r="AC4067" s="20"/>
      <c r="AG4067" s="29"/>
    </row>
    <row r="4068" spans="2:33">
      <c r="B4068" s="29"/>
      <c r="D4068" s="29"/>
      <c r="E4068" s="20"/>
      <c r="F4068" s="20"/>
      <c r="AC4068" s="20"/>
      <c r="AG4068" s="29"/>
    </row>
    <row r="4069" spans="2:33">
      <c r="B4069" s="29"/>
      <c r="D4069" s="29"/>
      <c r="E4069" s="20"/>
      <c r="F4069" s="20"/>
      <c r="AC4069" s="20"/>
      <c r="AG4069" s="29"/>
    </row>
    <row r="4070" spans="2:33">
      <c r="B4070" s="29"/>
      <c r="D4070" s="29"/>
      <c r="E4070" s="20"/>
      <c r="F4070" s="20"/>
      <c r="AC4070" s="20"/>
      <c r="AG4070" s="29"/>
    </row>
    <row r="4071" spans="2:33">
      <c r="B4071" s="29"/>
      <c r="D4071" s="29"/>
      <c r="E4071" s="20"/>
      <c r="F4071" s="20"/>
      <c r="AC4071" s="20"/>
      <c r="AG4071" s="29"/>
    </row>
    <row r="4072" spans="2:33">
      <c r="B4072" s="29"/>
      <c r="D4072" s="29"/>
      <c r="E4072" s="20"/>
      <c r="F4072" s="20"/>
      <c r="AC4072" s="20"/>
      <c r="AG4072" s="29"/>
    </row>
    <row r="4073" spans="2:33">
      <c r="B4073" s="29"/>
      <c r="D4073" s="29"/>
      <c r="E4073" s="20"/>
      <c r="F4073" s="20"/>
      <c r="AC4073" s="20"/>
      <c r="AG4073" s="29"/>
    </row>
    <row r="4074" spans="2:33">
      <c r="B4074" s="29"/>
      <c r="D4074" s="29"/>
      <c r="E4074" s="20"/>
      <c r="F4074" s="20"/>
      <c r="AC4074" s="20"/>
      <c r="AG4074" s="29"/>
    </row>
    <row r="4075" spans="2:33">
      <c r="B4075" s="29"/>
      <c r="D4075" s="29"/>
      <c r="E4075" s="20"/>
      <c r="F4075" s="20"/>
      <c r="AC4075" s="20"/>
      <c r="AG4075" s="29"/>
    </row>
    <row r="4076" spans="2:33">
      <c r="B4076" s="29"/>
      <c r="D4076" s="29"/>
      <c r="E4076" s="20"/>
      <c r="F4076" s="20"/>
      <c r="AC4076" s="20"/>
      <c r="AG4076" s="29"/>
    </row>
    <row r="4077" spans="2:33">
      <c r="B4077" s="29"/>
      <c r="D4077" s="29"/>
      <c r="E4077" s="20"/>
      <c r="F4077" s="20"/>
      <c r="AC4077" s="20"/>
      <c r="AG4077" s="29"/>
    </row>
    <row r="4078" spans="2:33">
      <c r="B4078" s="29"/>
      <c r="D4078" s="29"/>
      <c r="E4078" s="20"/>
      <c r="F4078" s="20"/>
      <c r="AC4078" s="20"/>
      <c r="AG4078" s="29"/>
    </row>
    <row r="4079" spans="2:33">
      <c r="B4079" s="29"/>
      <c r="D4079" s="29"/>
      <c r="E4079" s="20"/>
      <c r="F4079" s="20"/>
      <c r="AC4079" s="20"/>
      <c r="AG4079" s="29"/>
    </row>
    <row r="4080" spans="2:33">
      <c r="B4080" s="29"/>
      <c r="D4080" s="29"/>
      <c r="E4080" s="20"/>
      <c r="F4080" s="20"/>
      <c r="AC4080" s="20"/>
      <c r="AG4080" s="29"/>
    </row>
    <row r="4081" spans="2:33">
      <c r="B4081" s="29"/>
      <c r="D4081" s="29"/>
      <c r="E4081" s="20"/>
      <c r="F4081" s="20"/>
      <c r="AC4081" s="20"/>
      <c r="AG4081" s="29"/>
    </row>
    <row r="4082" spans="2:33">
      <c r="B4082" s="29"/>
      <c r="D4082" s="29"/>
      <c r="E4082" s="20"/>
      <c r="F4082" s="20"/>
      <c r="AC4082" s="20"/>
      <c r="AG4082" s="29"/>
    </row>
    <row r="4083" spans="2:33">
      <c r="B4083" s="29"/>
      <c r="D4083" s="29"/>
      <c r="E4083" s="20"/>
      <c r="F4083" s="20"/>
      <c r="AC4083" s="20"/>
      <c r="AG4083" s="29"/>
    </row>
    <row r="4084" spans="2:33">
      <c r="B4084" s="29"/>
      <c r="D4084" s="29"/>
      <c r="E4084" s="20"/>
      <c r="F4084" s="20"/>
      <c r="AC4084" s="20"/>
      <c r="AG4084" s="29"/>
    </row>
    <row r="4085" spans="2:33">
      <c r="B4085" s="29"/>
      <c r="D4085" s="29"/>
      <c r="E4085" s="20"/>
      <c r="F4085" s="20"/>
      <c r="AC4085" s="20"/>
      <c r="AG4085" s="29"/>
    </row>
    <row r="4086" spans="2:33">
      <c r="B4086" s="29"/>
      <c r="D4086" s="29"/>
      <c r="E4086" s="20"/>
      <c r="F4086" s="20"/>
      <c r="AC4086" s="20"/>
      <c r="AG4086" s="29"/>
    </row>
    <row r="4087" spans="2:33">
      <c r="B4087" s="29"/>
      <c r="D4087" s="29"/>
      <c r="E4087" s="20"/>
      <c r="F4087" s="20"/>
      <c r="AC4087" s="20"/>
      <c r="AG4087" s="29"/>
    </row>
    <row r="4088" spans="2:33">
      <c r="B4088" s="29"/>
      <c r="D4088" s="29"/>
      <c r="E4088" s="20"/>
      <c r="F4088" s="20"/>
      <c r="AC4088" s="20"/>
      <c r="AG4088" s="29"/>
    </row>
    <row r="4089" spans="2:33">
      <c r="B4089" s="29"/>
      <c r="D4089" s="29"/>
      <c r="E4089" s="20"/>
      <c r="F4089" s="20"/>
      <c r="AC4089" s="20"/>
      <c r="AG4089" s="29"/>
    </row>
    <row r="4090" spans="2:33">
      <c r="B4090" s="29"/>
      <c r="D4090" s="29"/>
      <c r="E4090" s="20"/>
      <c r="F4090" s="20"/>
      <c r="AC4090" s="20"/>
      <c r="AG4090" s="29"/>
    </row>
    <row r="4091" spans="2:33">
      <c r="B4091" s="29"/>
      <c r="D4091" s="29"/>
      <c r="E4091" s="20"/>
      <c r="F4091" s="20"/>
      <c r="AC4091" s="20"/>
      <c r="AG4091" s="29"/>
    </row>
    <row r="4092" spans="2:33">
      <c r="B4092" s="29"/>
      <c r="D4092" s="29"/>
      <c r="E4092" s="20"/>
      <c r="F4092" s="20"/>
      <c r="AC4092" s="20"/>
      <c r="AG4092" s="29"/>
    </row>
    <row r="4093" spans="2:33">
      <c r="B4093" s="29"/>
      <c r="D4093" s="29"/>
      <c r="E4093" s="20"/>
      <c r="F4093" s="20"/>
      <c r="AC4093" s="20"/>
      <c r="AG4093" s="29"/>
    </row>
    <row r="4094" spans="2:33">
      <c r="B4094" s="29"/>
      <c r="D4094" s="29"/>
      <c r="E4094" s="20"/>
      <c r="F4094" s="20"/>
      <c r="AC4094" s="20"/>
      <c r="AG4094" s="29"/>
    </row>
    <row r="4095" spans="2:33">
      <c r="B4095" s="29"/>
      <c r="D4095" s="29"/>
      <c r="E4095" s="20"/>
      <c r="F4095" s="20"/>
      <c r="AC4095" s="20"/>
      <c r="AG4095" s="29"/>
    </row>
    <row r="4096" spans="2:33">
      <c r="B4096" s="29"/>
      <c r="D4096" s="29"/>
      <c r="E4096" s="20"/>
      <c r="F4096" s="20"/>
      <c r="AC4096" s="20"/>
      <c r="AG4096" s="29"/>
    </row>
    <row r="4097" spans="2:33">
      <c r="B4097" s="29"/>
      <c r="D4097" s="29"/>
      <c r="E4097" s="20"/>
      <c r="F4097" s="20"/>
      <c r="AC4097" s="20"/>
      <c r="AG4097" s="29"/>
    </row>
    <row r="4098" spans="2:33">
      <c r="B4098" s="29"/>
      <c r="D4098" s="29"/>
      <c r="E4098" s="20"/>
      <c r="F4098" s="20"/>
      <c r="AC4098" s="20"/>
      <c r="AG4098" s="29"/>
    </row>
    <row r="4099" spans="2:33">
      <c r="B4099" s="29"/>
      <c r="D4099" s="29"/>
      <c r="E4099" s="20"/>
      <c r="F4099" s="20"/>
      <c r="AC4099" s="20"/>
      <c r="AG4099" s="29"/>
    </row>
    <row r="4100" spans="2:33">
      <c r="B4100" s="29"/>
      <c r="D4100" s="29"/>
      <c r="E4100" s="20"/>
      <c r="F4100" s="20"/>
      <c r="AC4100" s="20"/>
      <c r="AG4100" s="29"/>
    </row>
    <row r="4101" spans="2:33">
      <c r="B4101" s="29"/>
      <c r="D4101" s="29"/>
      <c r="E4101" s="20"/>
      <c r="F4101" s="20"/>
      <c r="AC4101" s="20"/>
      <c r="AG4101" s="29"/>
    </row>
    <row r="4102" spans="2:33">
      <c r="B4102" s="29"/>
      <c r="D4102" s="29"/>
      <c r="E4102" s="20"/>
      <c r="F4102" s="20"/>
      <c r="AC4102" s="20"/>
      <c r="AG4102" s="29"/>
    </row>
    <row r="4103" spans="2:33">
      <c r="B4103" s="29"/>
      <c r="D4103" s="29"/>
      <c r="E4103" s="20"/>
      <c r="F4103" s="20"/>
      <c r="AC4103" s="20"/>
      <c r="AG4103" s="29"/>
    </row>
    <row r="4104" spans="2:33">
      <c r="B4104" s="29"/>
      <c r="D4104" s="29"/>
      <c r="E4104" s="20"/>
      <c r="F4104" s="20"/>
      <c r="AC4104" s="20"/>
      <c r="AG4104" s="29"/>
    </row>
    <row r="4105" spans="2:33">
      <c r="B4105" s="29"/>
      <c r="D4105" s="29"/>
      <c r="E4105" s="20"/>
      <c r="F4105" s="20"/>
      <c r="AC4105" s="20"/>
      <c r="AG4105" s="29"/>
    </row>
    <row r="4106" spans="2:33">
      <c r="B4106" s="29"/>
      <c r="D4106" s="29"/>
      <c r="E4106" s="20"/>
      <c r="F4106" s="20"/>
      <c r="AC4106" s="20"/>
      <c r="AG4106" s="29"/>
    </row>
    <row r="4107" spans="2:33">
      <c r="B4107" s="29"/>
      <c r="D4107" s="29"/>
      <c r="E4107" s="20"/>
      <c r="F4107" s="20"/>
      <c r="AC4107" s="20"/>
      <c r="AG4107" s="29"/>
    </row>
    <row r="4108" spans="2:33">
      <c r="B4108" s="29"/>
      <c r="D4108" s="29"/>
      <c r="E4108" s="20"/>
      <c r="F4108" s="20"/>
      <c r="AC4108" s="20"/>
      <c r="AG4108" s="29"/>
    </row>
    <row r="4109" spans="2:33">
      <c r="B4109" s="29"/>
      <c r="D4109" s="29"/>
      <c r="E4109" s="20"/>
      <c r="F4109" s="20"/>
      <c r="AC4109" s="20"/>
      <c r="AG4109" s="29"/>
    </row>
    <row r="4110" spans="2:33">
      <c r="B4110" s="29"/>
      <c r="D4110" s="29"/>
      <c r="E4110" s="20"/>
      <c r="F4110" s="20"/>
      <c r="AC4110" s="20"/>
      <c r="AG4110" s="29"/>
    </row>
    <row r="4111" spans="2:33">
      <c r="B4111" s="29"/>
      <c r="D4111" s="29"/>
      <c r="E4111" s="20"/>
      <c r="F4111" s="20"/>
      <c r="AC4111" s="20"/>
      <c r="AG4111" s="29"/>
    </row>
    <row r="4112" spans="2:33">
      <c r="B4112" s="29"/>
      <c r="D4112" s="29"/>
      <c r="E4112" s="20"/>
      <c r="F4112" s="20"/>
      <c r="AC4112" s="20"/>
      <c r="AG4112" s="29"/>
    </row>
    <row r="4113" spans="2:33">
      <c r="B4113" s="29"/>
      <c r="D4113" s="29"/>
      <c r="E4113" s="20"/>
      <c r="F4113" s="20"/>
      <c r="AC4113" s="20"/>
      <c r="AG4113" s="29"/>
    </row>
    <row r="4114" spans="2:33">
      <c r="B4114" s="29"/>
      <c r="D4114" s="29"/>
      <c r="E4114" s="20"/>
      <c r="F4114" s="20"/>
      <c r="AC4114" s="20"/>
      <c r="AG4114" s="29"/>
    </row>
    <row r="4115" spans="2:33">
      <c r="B4115" s="29"/>
      <c r="D4115" s="29"/>
      <c r="E4115" s="20"/>
      <c r="F4115" s="20"/>
      <c r="AC4115" s="20"/>
      <c r="AG4115" s="29"/>
    </row>
    <row r="4116" spans="2:33">
      <c r="B4116" s="29"/>
      <c r="D4116" s="29"/>
      <c r="E4116" s="20"/>
      <c r="F4116" s="20"/>
      <c r="AC4116" s="20"/>
      <c r="AG4116" s="29"/>
    </row>
    <row r="4117" spans="2:33">
      <c r="B4117" s="29"/>
      <c r="D4117" s="29"/>
      <c r="E4117" s="20"/>
      <c r="F4117" s="20"/>
      <c r="AC4117" s="20"/>
      <c r="AG4117" s="29"/>
    </row>
    <row r="4118" spans="2:33">
      <c r="B4118" s="29"/>
      <c r="D4118" s="29"/>
      <c r="E4118" s="20"/>
      <c r="F4118" s="20"/>
      <c r="AC4118" s="20"/>
      <c r="AG4118" s="29"/>
    </row>
    <row r="4119" spans="2:33">
      <c r="B4119" s="29"/>
      <c r="D4119" s="29"/>
      <c r="E4119" s="20"/>
      <c r="F4119" s="20"/>
      <c r="AC4119" s="20"/>
      <c r="AG4119" s="29"/>
    </row>
    <row r="4120" spans="2:33">
      <c r="B4120" s="29"/>
      <c r="D4120" s="29"/>
      <c r="E4120" s="20"/>
      <c r="F4120" s="20"/>
      <c r="AC4120" s="20"/>
      <c r="AG4120" s="29"/>
    </row>
    <row r="4121" spans="2:33">
      <c r="B4121" s="29"/>
      <c r="D4121" s="29"/>
      <c r="E4121" s="20"/>
      <c r="F4121" s="20"/>
      <c r="AC4121" s="20"/>
      <c r="AG4121" s="29"/>
    </row>
    <row r="4122" spans="2:33">
      <c r="B4122" s="29"/>
      <c r="D4122" s="29"/>
      <c r="E4122" s="20"/>
      <c r="F4122" s="20"/>
      <c r="AC4122" s="20"/>
      <c r="AG4122" s="29"/>
    </row>
    <row r="4123" spans="2:33">
      <c r="B4123" s="29"/>
      <c r="D4123" s="29"/>
      <c r="E4123" s="20"/>
      <c r="F4123" s="20"/>
      <c r="AC4123" s="20"/>
      <c r="AG4123" s="29"/>
    </row>
    <row r="4124" spans="2:33">
      <c r="B4124" s="29"/>
      <c r="D4124" s="29"/>
      <c r="E4124" s="20"/>
      <c r="F4124" s="20"/>
      <c r="AC4124" s="20"/>
      <c r="AG4124" s="29"/>
    </row>
    <row r="4125" spans="2:33">
      <c r="B4125" s="29"/>
      <c r="D4125" s="29"/>
      <c r="E4125" s="20"/>
      <c r="F4125" s="20"/>
      <c r="AC4125" s="20"/>
      <c r="AG4125" s="29"/>
    </row>
    <row r="4126" spans="2:33">
      <c r="B4126" s="29"/>
      <c r="D4126" s="29"/>
      <c r="E4126" s="20"/>
      <c r="F4126" s="20"/>
      <c r="AC4126" s="20"/>
      <c r="AG4126" s="29"/>
    </row>
    <row r="4127" spans="2:33">
      <c r="B4127" s="29"/>
      <c r="D4127" s="29"/>
      <c r="E4127" s="20"/>
      <c r="F4127" s="20"/>
      <c r="AC4127" s="20"/>
      <c r="AG4127" s="29"/>
    </row>
    <row r="4128" spans="2:33">
      <c r="B4128" s="29"/>
      <c r="D4128" s="29"/>
      <c r="E4128" s="20"/>
      <c r="F4128" s="20"/>
      <c r="AC4128" s="20"/>
      <c r="AG4128" s="29"/>
    </row>
    <row r="4129" spans="2:33">
      <c r="B4129" s="29"/>
      <c r="D4129" s="29"/>
      <c r="E4129" s="20"/>
      <c r="F4129" s="20"/>
      <c r="AC4129" s="20"/>
      <c r="AG4129" s="29"/>
    </row>
    <row r="4130" spans="2:33">
      <c r="B4130" s="29"/>
      <c r="D4130" s="29"/>
      <c r="E4130" s="20"/>
      <c r="F4130" s="20"/>
      <c r="AC4130" s="20"/>
      <c r="AG4130" s="29"/>
    </row>
    <row r="4131" spans="2:33">
      <c r="B4131" s="29"/>
      <c r="D4131" s="29"/>
      <c r="E4131" s="20"/>
      <c r="F4131" s="20"/>
      <c r="AC4131" s="20"/>
      <c r="AG4131" s="29"/>
    </row>
    <row r="4132" spans="2:33">
      <c r="B4132" s="29"/>
      <c r="D4132" s="29"/>
      <c r="E4132" s="20"/>
      <c r="F4132" s="20"/>
      <c r="AC4132" s="20"/>
      <c r="AG4132" s="29"/>
    </row>
    <row r="4133" spans="2:33">
      <c r="B4133" s="29"/>
      <c r="D4133" s="29"/>
      <c r="E4133" s="20"/>
      <c r="F4133" s="20"/>
      <c r="AC4133" s="20"/>
      <c r="AG4133" s="29"/>
    </row>
    <row r="4134" spans="2:33">
      <c r="B4134" s="29"/>
      <c r="D4134" s="29"/>
      <c r="E4134" s="20"/>
      <c r="F4134" s="20"/>
      <c r="AC4134" s="20"/>
      <c r="AG4134" s="29"/>
    </row>
    <row r="4135" spans="2:33">
      <c r="B4135" s="29"/>
      <c r="D4135" s="29"/>
      <c r="E4135" s="20"/>
      <c r="F4135" s="20"/>
      <c r="AC4135" s="20"/>
      <c r="AG4135" s="29"/>
    </row>
    <row r="4136" spans="2:33">
      <c r="B4136" s="29"/>
      <c r="D4136" s="29"/>
      <c r="E4136" s="20"/>
      <c r="F4136" s="20"/>
      <c r="AC4136" s="20"/>
      <c r="AG4136" s="29"/>
    </row>
    <row r="4137" spans="2:33">
      <c r="B4137" s="29"/>
      <c r="D4137" s="29"/>
      <c r="E4137" s="20"/>
      <c r="F4137" s="20"/>
      <c r="AC4137" s="20"/>
      <c r="AG4137" s="29"/>
    </row>
    <row r="4138" spans="2:33">
      <c r="B4138" s="29"/>
      <c r="D4138" s="29"/>
      <c r="E4138" s="20"/>
      <c r="F4138" s="20"/>
      <c r="AC4138" s="20"/>
      <c r="AG4138" s="29"/>
    </row>
    <row r="4139" spans="2:33">
      <c r="B4139" s="29"/>
      <c r="D4139" s="29"/>
      <c r="E4139" s="20"/>
      <c r="F4139" s="20"/>
      <c r="AC4139" s="20"/>
      <c r="AG4139" s="29"/>
    </row>
    <row r="4140" spans="2:33">
      <c r="B4140" s="29"/>
      <c r="D4140" s="29"/>
      <c r="E4140" s="20"/>
      <c r="F4140" s="20"/>
      <c r="AC4140" s="20"/>
      <c r="AG4140" s="29"/>
    </row>
    <row r="4141" spans="2:33">
      <c r="B4141" s="29"/>
      <c r="D4141" s="29"/>
      <c r="E4141" s="20"/>
      <c r="F4141" s="20"/>
      <c r="AC4141" s="20"/>
      <c r="AG4141" s="29"/>
    </row>
    <row r="4142" spans="2:33">
      <c r="B4142" s="29"/>
      <c r="D4142" s="29"/>
      <c r="E4142" s="20"/>
      <c r="F4142" s="20"/>
      <c r="AC4142" s="20"/>
      <c r="AG4142" s="29"/>
    </row>
    <row r="4143" spans="2:33">
      <c r="B4143" s="29"/>
      <c r="D4143" s="29"/>
      <c r="E4143" s="20"/>
      <c r="F4143" s="20"/>
      <c r="AC4143" s="20"/>
      <c r="AG4143" s="29"/>
    </row>
    <row r="4144" spans="2:33">
      <c r="B4144" s="29"/>
      <c r="D4144" s="29"/>
      <c r="E4144" s="20"/>
      <c r="F4144" s="20"/>
      <c r="AC4144" s="20"/>
      <c r="AG4144" s="29"/>
    </row>
    <row r="4145" spans="2:33">
      <c r="B4145" s="29"/>
      <c r="D4145" s="29"/>
      <c r="E4145" s="20"/>
      <c r="F4145" s="20"/>
      <c r="AC4145" s="20"/>
      <c r="AG4145" s="29"/>
    </row>
    <row r="4146" spans="2:33">
      <c r="B4146" s="29"/>
      <c r="D4146" s="29"/>
      <c r="E4146" s="20"/>
      <c r="F4146" s="20"/>
      <c r="AC4146" s="20"/>
      <c r="AG4146" s="29"/>
    </row>
    <row r="4147" spans="2:33">
      <c r="B4147" s="29"/>
      <c r="D4147" s="29"/>
      <c r="E4147" s="20"/>
      <c r="F4147" s="20"/>
      <c r="AC4147" s="20"/>
      <c r="AG4147" s="29"/>
    </row>
    <row r="4148" spans="2:33">
      <c r="B4148" s="29"/>
      <c r="D4148" s="29"/>
      <c r="E4148" s="20"/>
      <c r="F4148" s="20"/>
      <c r="AC4148" s="20"/>
      <c r="AG4148" s="29"/>
    </row>
    <row r="4149" spans="2:33">
      <c r="B4149" s="29"/>
      <c r="D4149" s="29"/>
      <c r="E4149" s="20"/>
      <c r="F4149" s="20"/>
      <c r="AC4149" s="20"/>
      <c r="AG4149" s="29"/>
    </row>
    <row r="4150" spans="2:33">
      <c r="B4150" s="29"/>
      <c r="D4150" s="29"/>
      <c r="E4150" s="20"/>
      <c r="F4150" s="20"/>
      <c r="AC4150" s="20"/>
      <c r="AG4150" s="29"/>
    </row>
    <row r="4151" spans="2:33">
      <c r="B4151" s="29"/>
      <c r="D4151" s="29"/>
      <c r="E4151" s="20"/>
      <c r="F4151" s="20"/>
      <c r="AC4151" s="20"/>
      <c r="AG4151" s="29"/>
    </row>
    <row r="4152" spans="2:33">
      <c r="B4152" s="29"/>
      <c r="D4152" s="29"/>
      <c r="E4152" s="20"/>
      <c r="F4152" s="20"/>
      <c r="AC4152" s="20"/>
      <c r="AG4152" s="29"/>
    </row>
    <row r="4153" spans="2:33">
      <c r="B4153" s="29"/>
      <c r="D4153" s="29"/>
      <c r="E4153" s="20"/>
      <c r="F4153" s="20"/>
      <c r="AC4153" s="20"/>
      <c r="AG4153" s="29"/>
    </row>
    <row r="4154" spans="2:33">
      <c r="B4154" s="29"/>
      <c r="D4154" s="29"/>
      <c r="E4154" s="20"/>
      <c r="F4154" s="20"/>
      <c r="AC4154" s="20"/>
      <c r="AG4154" s="29"/>
    </row>
    <row r="4155" spans="2:33">
      <c r="B4155" s="29"/>
      <c r="D4155" s="29"/>
      <c r="E4155" s="20"/>
      <c r="F4155" s="20"/>
      <c r="AC4155" s="20"/>
      <c r="AG4155" s="29"/>
    </row>
    <row r="4156" spans="2:33">
      <c r="B4156" s="29"/>
      <c r="D4156" s="29"/>
      <c r="E4156" s="20"/>
      <c r="F4156" s="20"/>
      <c r="AC4156" s="20"/>
      <c r="AG4156" s="29"/>
    </row>
    <row r="4157" spans="2:33">
      <c r="B4157" s="29"/>
      <c r="D4157" s="29"/>
      <c r="E4157" s="20"/>
      <c r="F4157" s="20"/>
      <c r="AC4157" s="20"/>
      <c r="AG4157" s="29"/>
    </row>
    <row r="4158" spans="2:33">
      <c r="B4158" s="29"/>
      <c r="D4158" s="29"/>
      <c r="E4158" s="20"/>
      <c r="F4158" s="20"/>
      <c r="AC4158" s="20"/>
      <c r="AG4158" s="29"/>
    </row>
    <row r="4159" spans="2:33">
      <c r="B4159" s="29"/>
      <c r="D4159" s="29"/>
      <c r="E4159" s="20"/>
      <c r="F4159" s="20"/>
      <c r="AC4159" s="20"/>
      <c r="AG4159" s="29"/>
    </row>
    <row r="4160" spans="2:33">
      <c r="B4160" s="29"/>
      <c r="D4160" s="29"/>
      <c r="E4160" s="20"/>
      <c r="F4160" s="20"/>
      <c r="AC4160" s="20"/>
      <c r="AG4160" s="29"/>
    </row>
    <row r="4161" spans="2:33">
      <c r="B4161" s="29"/>
      <c r="D4161" s="29"/>
      <c r="E4161" s="20"/>
      <c r="F4161" s="20"/>
      <c r="AC4161" s="20"/>
      <c r="AG4161" s="29"/>
    </row>
    <row r="4162" spans="2:33">
      <c r="B4162" s="29"/>
      <c r="D4162" s="29"/>
      <c r="E4162" s="20"/>
      <c r="F4162" s="20"/>
      <c r="AC4162" s="20"/>
      <c r="AG4162" s="29"/>
    </row>
    <row r="4163" spans="2:33">
      <c r="B4163" s="29"/>
      <c r="D4163" s="29"/>
      <c r="E4163" s="20"/>
      <c r="F4163" s="20"/>
      <c r="AC4163" s="20"/>
      <c r="AG4163" s="29"/>
    </row>
    <row r="4164" spans="2:33">
      <c r="B4164" s="29"/>
      <c r="D4164" s="29"/>
      <c r="E4164" s="20"/>
      <c r="F4164" s="20"/>
      <c r="AC4164" s="20"/>
      <c r="AG4164" s="29"/>
    </row>
    <row r="4165" spans="2:33">
      <c r="B4165" s="29"/>
      <c r="D4165" s="29"/>
      <c r="E4165" s="20"/>
      <c r="F4165" s="20"/>
      <c r="AC4165" s="20"/>
      <c r="AG4165" s="29"/>
    </row>
    <row r="4166" spans="2:33">
      <c r="B4166" s="29"/>
      <c r="D4166" s="29"/>
      <c r="E4166" s="20"/>
      <c r="F4166" s="20"/>
      <c r="AC4166" s="20"/>
      <c r="AG4166" s="29"/>
    </row>
    <row r="4167" spans="2:33">
      <c r="B4167" s="29"/>
      <c r="D4167" s="29"/>
      <c r="E4167" s="20"/>
      <c r="F4167" s="20"/>
      <c r="AC4167" s="20"/>
      <c r="AG4167" s="29"/>
    </row>
    <row r="4168" spans="2:33">
      <c r="B4168" s="29"/>
      <c r="D4168" s="29"/>
      <c r="E4168" s="20"/>
      <c r="F4168" s="20"/>
      <c r="AC4168" s="20"/>
      <c r="AG4168" s="29"/>
    </row>
    <row r="4169" spans="2:33">
      <c r="B4169" s="29"/>
      <c r="D4169" s="29"/>
      <c r="E4169" s="20"/>
      <c r="F4169" s="20"/>
      <c r="AC4169" s="20"/>
      <c r="AG4169" s="29"/>
    </row>
    <row r="4170" spans="2:33">
      <c r="B4170" s="29"/>
      <c r="D4170" s="29"/>
      <c r="E4170" s="20"/>
      <c r="F4170" s="20"/>
      <c r="AC4170" s="20"/>
      <c r="AG4170" s="29"/>
    </row>
    <row r="4171" spans="2:33">
      <c r="B4171" s="29"/>
      <c r="D4171" s="29"/>
      <c r="E4171" s="20"/>
      <c r="F4171" s="20"/>
      <c r="AC4171" s="20"/>
      <c r="AG4171" s="29"/>
    </row>
    <row r="4172" spans="2:33">
      <c r="B4172" s="29"/>
      <c r="D4172" s="29"/>
      <c r="E4172" s="20"/>
      <c r="F4172" s="20"/>
      <c r="AC4172" s="20"/>
      <c r="AG4172" s="29"/>
    </row>
    <row r="4173" spans="2:33">
      <c r="B4173" s="29"/>
      <c r="D4173" s="29"/>
      <c r="E4173" s="20"/>
      <c r="F4173" s="20"/>
      <c r="AC4173" s="20"/>
      <c r="AG4173" s="29"/>
    </row>
    <row r="4174" spans="2:33">
      <c r="B4174" s="29"/>
      <c r="D4174" s="29"/>
      <c r="E4174" s="20"/>
      <c r="F4174" s="20"/>
      <c r="AC4174" s="20"/>
      <c r="AG4174" s="29"/>
    </row>
    <row r="4175" spans="2:33">
      <c r="B4175" s="29"/>
      <c r="D4175" s="29"/>
      <c r="E4175" s="20"/>
      <c r="F4175" s="20"/>
      <c r="AC4175" s="20"/>
      <c r="AG4175" s="29"/>
    </row>
    <row r="4176" spans="2:33">
      <c r="B4176" s="29"/>
      <c r="D4176" s="29"/>
      <c r="E4176" s="20"/>
      <c r="F4176" s="20"/>
      <c r="AC4176" s="20"/>
      <c r="AG4176" s="29"/>
    </row>
    <row r="4177" spans="2:33">
      <c r="B4177" s="29"/>
      <c r="D4177" s="29"/>
      <c r="E4177" s="20"/>
      <c r="F4177" s="20"/>
      <c r="AC4177" s="20"/>
      <c r="AG4177" s="29"/>
    </row>
    <row r="4178" spans="2:33">
      <c r="B4178" s="29"/>
      <c r="D4178" s="29"/>
      <c r="E4178" s="20"/>
      <c r="F4178" s="20"/>
      <c r="AC4178" s="20"/>
      <c r="AG4178" s="29"/>
    </row>
    <row r="4179" spans="2:33">
      <c r="B4179" s="29"/>
      <c r="D4179" s="29"/>
      <c r="E4179" s="20"/>
      <c r="F4179" s="20"/>
      <c r="AC4179" s="20"/>
      <c r="AG4179" s="29"/>
    </row>
    <row r="4180" spans="2:33">
      <c r="B4180" s="29"/>
      <c r="D4180" s="29"/>
      <c r="E4180" s="20"/>
      <c r="F4180" s="20"/>
      <c r="AC4180" s="20"/>
      <c r="AG4180" s="29"/>
    </row>
    <row r="4181" spans="2:33">
      <c r="B4181" s="29"/>
      <c r="D4181" s="29"/>
      <c r="E4181" s="20"/>
      <c r="F4181" s="20"/>
      <c r="AC4181" s="20"/>
      <c r="AG4181" s="29"/>
    </row>
    <row r="4182" spans="2:33">
      <c r="B4182" s="29"/>
      <c r="D4182" s="29"/>
      <c r="E4182" s="20"/>
      <c r="F4182" s="20"/>
      <c r="AC4182" s="20"/>
      <c r="AG4182" s="29"/>
    </row>
    <row r="4183" spans="2:33">
      <c r="B4183" s="29"/>
      <c r="D4183" s="29"/>
      <c r="E4183" s="20"/>
      <c r="F4183" s="20"/>
      <c r="AC4183" s="20"/>
      <c r="AG4183" s="29"/>
    </row>
    <row r="4184" spans="2:33">
      <c r="B4184" s="29"/>
      <c r="D4184" s="29"/>
      <c r="E4184" s="20"/>
      <c r="F4184" s="20"/>
      <c r="AC4184" s="20"/>
      <c r="AG4184" s="29"/>
    </row>
    <row r="4185" spans="2:33">
      <c r="B4185" s="29"/>
      <c r="D4185" s="29"/>
      <c r="E4185" s="20"/>
      <c r="F4185" s="20"/>
      <c r="AC4185" s="20"/>
      <c r="AG4185" s="29"/>
    </row>
    <row r="4186" spans="2:33">
      <c r="B4186" s="29"/>
      <c r="D4186" s="29"/>
      <c r="E4186" s="20"/>
      <c r="F4186" s="20"/>
      <c r="AC4186" s="20"/>
      <c r="AG4186" s="29"/>
    </row>
    <row r="4187" spans="2:33">
      <c r="B4187" s="29"/>
      <c r="D4187" s="29"/>
      <c r="E4187" s="20"/>
      <c r="F4187" s="20"/>
      <c r="AC4187" s="20"/>
      <c r="AG4187" s="29"/>
    </row>
    <row r="4188" spans="2:33">
      <c r="B4188" s="29"/>
      <c r="D4188" s="29"/>
      <c r="E4188" s="20"/>
      <c r="F4188" s="20"/>
      <c r="AC4188" s="20"/>
      <c r="AG4188" s="29"/>
    </row>
    <row r="4189" spans="2:33">
      <c r="B4189" s="29"/>
      <c r="D4189" s="29"/>
      <c r="E4189" s="20"/>
      <c r="F4189" s="20"/>
      <c r="AC4189" s="20"/>
      <c r="AG4189" s="29"/>
    </row>
    <row r="4190" spans="2:33">
      <c r="B4190" s="29"/>
      <c r="D4190" s="29"/>
      <c r="E4190" s="20"/>
      <c r="F4190" s="20"/>
      <c r="AC4190" s="20"/>
      <c r="AG4190" s="29"/>
    </row>
    <row r="4191" spans="2:33">
      <c r="B4191" s="29"/>
      <c r="D4191" s="29"/>
      <c r="E4191" s="20"/>
      <c r="F4191" s="20"/>
      <c r="AC4191" s="20"/>
      <c r="AG4191" s="29"/>
    </row>
    <row r="4192" spans="2:33">
      <c r="B4192" s="29"/>
      <c r="D4192" s="29"/>
      <c r="E4192" s="20"/>
      <c r="F4192" s="20"/>
      <c r="AC4192" s="20"/>
      <c r="AG4192" s="29"/>
    </row>
    <row r="4193" spans="2:33">
      <c r="B4193" s="29"/>
      <c r="D4193" s="29"/>
      <c r="E4193" s="20"/>
      <c r="F4193" s="20"/>
      <c r="AC4193" s="20"/>
      <c r="AG4193" s="29"/>
    </row>
    <row r="4194" spans="2:33">
      <c r="B4194" s="29"/>
      <c r="D4194" s="29"/>
      <c r="E4194" s="20"/>
      <c r="F4194" s="20"/>
      <c r="AC4194" s="20"/>
      <c r="AG4194" s="29"/>
    </row>
    <row r="4195" spans="2:33">
      <c r="B4195" s="29"/>
      <c r="D4195" s="29"/>
      <c r="E4195" s="20"/>
      <c r="F4195" s="20"/>
      <c r="AC4195" s="20"/>
      <c r="AG4195" s="29"/>
    </row>
    <row r="4196" spans="2:33">
      <c r="B4196" s="29"/>
      <c r="D4196" s="29"/>
      <c r="E4196" s="20"/>
      <c r="F4196" s="20"/>
      <c r="AC4196" s="20"/>
      <c r="AG4196" s="29"/>
    </row>
    <row r="4197" spans="2:33">
      <c r="B4197" s="29"/>
      <c r="D4197" s="29"/>
      <c r="E4197" s="20"/>
      <c r="F4197" s="20"/>
      <c r="AC4197" s="20"/>
      <c r="AG4197" s="29"/>
    </row>
    <row r="4198" spans="2:33">
      <c r="B4198" s="29"/>
      <c r="D4198" s="29"/>
      <c r="E4198" s="20"/>
      <c r="F4198" s="20"/>
      <c r="AC4198" s="20"/>
      <c r="AG4198" s="29"/>
    </row>
    <row r="4199" spans="2:33">
      <c r="B4199" s="29"/>
      <c r="D4199" s="29"/>
      <c r="E4199" s="20"/>
      <c r="F4199" s="20"/>
      <c r="AC4199" s="20"/>
      <c r="AG4199" s="29"/>
    </row>
    <row r="4200" spans="2:33">
      <c r="B4200" s="29"/>
      <c r="D4200" s="29"/>
      <c r="E4200" s="20"/>
      <c r="F4200" s="20"/>
      <c r="AC4200" s="20"/>
      <c r="AG4200" s="29"/>
    </row>
    <row r="4201" spans="2:33">
      <c r="B4201" s="29"/>
      <c r="D4201" s="29"/>
      <c r="E4201" s="20"/>
      <c r="F4201" s="20"/>
      <c r="AC4201" s="20"/>
      <c r="AG4201" s="29"/>
    </row>
    <row r="4202" spans="2:33">
      <c r="B4202" s="29"/>
      <c r="D4202" s="29"/>
      <c r="E4202" s="20"/>
      <c r="F4202" s="20"/>
      <c r="AC4202" s="20"/>
      <c r="AG4202" s="29"/>
    </row>
    <row r="4203" spans="2:33">
      <c r="B4203" s="29"/>
      <c r="D4203" s="29"/>
      <c r="E4203" s="20"/>
      <c r="F4203" s="20"/>
      <c r="AC4203" s="20"/>
      <c r="AG4203" s="29"/>
    </row>
    <row r="4204" spans="2:33">
      <c r="B4204" s="29"/>
      <c r="D4204" s="29"/>
      <c r="E4204" s="20"/>
      <c r="F4204" s="20"/>
      <c r="AC4204" s="20"/>
      <c r="AG4204" s="29"/>
    </row>
    <row r="4205" spans="2:33">
      <c r="B4205" s="29"/>
      <c r="D4205" s="29"/>
      <c r="E4205" s="20"/>
      <c r="F4205" s="20"/>
      <c r="AC4205" s="20"/>
      <c r="AG4205" s="29"/>
    </row>
    <row r="4206" spans="2:33">
      <c r="B4206" s="29"/>
      <c r="D4206" s="29"/>
      <c r="E4206" s="20"/>
      <c r="F4206" s="20"/>
      <c r="AC4206" s="20"/>
      <c r="AG4206" s="29"/>
    </row>
    <row r="4207" spans="2:33">
      <c r="B4207" s="29"/>
      <c r="D4207" s="29"/>
      <c r="E4207" s="20"/>
      <c r="F4207" s="20"/>
      <c r="AC4207" s="20"/>
      <c r="AG4207" s="29"/>
    </row>
    <row r="4208" spans="2:33">
      <c r="B4208" s="29"/>
      <c r="D4208" s="29"/>
      <c r="E4208" s="20"/>
      <c r="F4208" s="20"/>
      <c r="AC4208" s="20"/>
      <c r="AG4208" s="29"/>
    </row>
    <row r="4209" spans="2:33">
      <c r="B4209" s="29"/>
      <c r="D4209" s="29"/>
      <c r="E4209" s="20"/>
      <c r="F4209" s="20"/>
      <c r="AC4209" s="20"/>
      <c r="AG4209" s="29"/>
    </row>
    <row r="4210" spans="2:33">
      <c r="B4210" s="29"/>
      <c r="D4210" s="29"/>
      <c r="E4210" s="20"/>
      <c r="F4210" s="20"/>
      <c r="AC4210" s="20"/>
      <c r="AG4210" s="29"/>
    </row>
    <row r="4211" spans="2:33">
      <c r="B4211" s="29"/>
      <c r="D4211" s="29"/>
      <c r="E4211" s="20"/>
      <c r="F4211" s="20"/>
      <c r="AC4211" s="20"/>
      <c r="AG4211" s="29"/>
    </row>
    <row r="4212" spans="2:33">
      <c r="B4212" s="29"/>
      <c r="D4212" s="29"/>
      <c r="E4212" s="20"/>
      <c r="F4212" s="20"/>
      <c r="AC4212" s="20"/>
      <c r="AG4212" s="29"/>
    </row>
    <row r="4213" spans="2:33">
      <c r="B4213" s="29"/>
      <c r="D4213" s="29"/>
      <c r="E4213" s="20"/>
      <c r="F4213" s="20"/>
      <c r="AC4213" s="20"/>
      <c r="AG4213" s="29"/>
    </row>
    <row r="4214" spans="2:33">
      <c r="B4214" s="29"/>
      <c r="D4214" s="29"/>
      <c r="E4214" s="20"/>
      <c r="F4214" s="20"/>
      <c r="AC4214" s="20"/>
      <c r="AG4214" s="29"/>
    </row>
    <row r="4215" spans="2:33">
      <c r="B4215" s="29"/>
      <c r="D4215" s="29"/>
      <c r="E4215" s="20"/>
      <c r="F4215" s="20"/>
      <c r="AC4215" s="20"/>
      <c r="AG4215" s="29"/>
    </row>
    <row r="4216" spans="2:33">
      <c r="B4216" s="29"/>
      <c r="D4216" s="29"/>
      <c r="E4216" s="20"/>
      <c r="F4216" s="20"/>
      <c r="AC4216" s="20"/>
      <c r="AG4216" s="29"/>
    </row>
    <row r="4217" spans="2:33">
      <c r="B4217" s="29"/>
      <c r="D4217" s="29"/>
      <c r="E4217" s="20"/>
      <c r="F4217" s="20"/>
      <c r="AC4217" s="20"/>
      <c r="AG4217" s="29"/>
    </row>
    <row r="4218" spans="2:33">
      <c r="B4218" s="29"/>
      <c r="D4218" s="29"/>
      <c r="E4218" s="20"/>
      <c r="F4218" s="20"/>
      <c r="AC4218" s="20"/>
      <c r="AG4218" s="29"/>
    </row>
    <row r="4219" spans="2:33">
      <c r="B4219" s="29"/>
      <c r="D4219" s="29"/>
      <c r="E4219" s="20"/>
      <c r="F4219" s="20"/>
      <c r="AC4219" s="20"/>
      <c r="AG4219" s="29"/>
    </row>
    <row r="4220" spans="2:33">
      <c r="B4220" s="29"/>
      <c r="D4220" s="29"/>
      <c r="E4220" s="20"/>
      <c r="F4220" s="20"/>
      <c r="AC4220" s="20"/>
      <c r="AG4220" s="29"/>
    </row>
    <row r="4221" spans="2:33">
      <c r="B4221" s="29"/>
      <c r="D4221" s="29"/>
      <c r="E4221" s="20"/>
      <c r="F4221" s="20"/>
      <c r="AC4221" s="20"/>
      <c r="AG4221" s="29"/>
    </row>
    <row r="4222" spans="2:33">
      <c r="B4222" s="29"/>
      <c r="D4222" s="29"/>
      <c r="E4222" s="20"/>
      <c r="F4222" s="20"/>
      <c r="AC4222" s="20"/>
      <c r="AG4222" s="29"/>
    </row>
    <row r="4223" spans="2:33">
      <c r="B4223" s="29"/>
      <c r="D4223" s="29"/>
      <c r="E4223" s="20"/>
      <c r="F4223" s="20"/>
      <c r="AC4223" s="20"/>
      <c r="AG4223" s="29"/>
    </row>
    <row r="4224" spans="2:33">
      <c r="B4224" s="29"/>
      <c r="D4224" s="29"/>
      <c r="E4224" s="20"/>
      <c r="F4224" s="20"/>
      <c r="AC4224" s="20"/>
      <c r="AG4224" s="29"/>
    </row>
    <row r="4225" spans="2:33">
      <c r="B4225" s="29"/>
      <c r="D4225" s="29"/>
      <c r="E4225" s="20"/>
      <c r="F4225" s="20"/>
      <c r="AC4225" s="20"/>
      <c r="AG4225" s="29"/>
    </row>
    <row r="4226" spans="2:33">
      <c r="B4226" s="29"/>
      <c r="D4226" s="29"/>
      <c r="E4226" s="20"/>
      <c r="F4226" s="20"/>
      <c r="AC4226" s="20"/>
      <c r="AG4226" s="29"/>
    </row>
    <row r="4227" spans="2:33">
      <c r="B4227" s="29"/>
      <c r="D4227" s="29"/>
      <c r="E4227" s="20"/>
      <c r="F4227" s="20"/>
      <c r="AC4227" s="20"/>
      <c r="AG4227" s="29"/>
    </row>
    <row r="4228" spans="2:33">
      <c r="B4228" s="29"/>
      <c r="D4228" s="29"/>
      <c r="E4228" s="20"/>
      <c r="F4228" s="20"/>
      <c r="AC4228" s="20"/>
      <c r="AG4228" s="29"/>
    </row>
    <row r="4229" spans="2:33">
      <c r="B4229" s="29"/>
      <c r="D4229" s="29"/>
      <c r="E4229" s="20"/>
      <c r="F4229" s="20"/>
      <c r="AC4229" s="20"/>
      <c r="AG4229" s="29"/>
    </row>
    <row r="4230" spans="2:33">
      <c r="B4230" s="29"/>
      <c r="D4230" s="29"/>
      <c r="E4230" s="20"/>
      <c r="F4230" s="20"/>
      <c r="AC4230" s="20"/>
      <c r="AG4230" s="29"/>
    </row>
    <row r="4231" spans="2:33">
      <c r="B4231" s="29"/>
      <c r="D4231" s="29"/>
      <c r="E4231" s="20"/>
      <c r="F4231" s="20"/>
      <c r="AC4231" s="20"/>
      <c r="AG4231" s="29"/>
    </row>
    <row r="4232" spans="2:33">
      <c r="B4232" s="29"/>
      <c r="D4232" s="29"/>
      <c r="E4232" s="20"/>
      <c r="F4232" s="20"/>
      <c r="AC4232" s="20"/>
      <c r="AG4232" s="29"/>
    </row>
    <row r="4233" spans="2:33">
      <c r="B4233" s="29"/>
      <c r="D4233" s="29"/>
      <c r="E4233" s="20"/>
      <c r="F4233" s="20"/>
      <c r="AC4233" s="20"/>
      <c r="AG4233" s="29"/>
    </row>
    <row r="4234" spans="2:33">
      <c r="B4234" s="29"/>
      <c r="D4234" s="29"/>
      <c r="E4234" s="20"/>
      <c r="F4234" s="20"/>
      <c r="AC4234" s="20"/>
      <c r="AG4234" s="29"/>
    </row>
    <row r="4235" spans="2:33">
      <c r="B4235" s="29"/>
      <c r="D4235" s="29"/>
      <c r="E4235" s="20"/>
      <c r="F4235" s="20"/>
      <c r="AC4235" s="20"/>
      <c r="AG4235" s="29"/>
    </row>
    <row r="4236" spans="2:33">
      <c r="B4236" s="29"/>
      <c r="D4236" s="29"/>
      <c r="E4236" s="20"/>
      <c r="F4236" s="20"/>
      <c r="AC4236" s="20"/>
      <c r="AG4236" s="29"/>
    </row>
    <row r="4237" spans="2:33">
      <c r="B4237" s="29"/>
      <c r="D4237" s="29"/>
      <c r="E4237" s="20"/>
      <c r="F4237" s="20"/>
      <c r="AC4237" s="20"/>
      <c r="AG4237" s="29"/>
    </row>
    <row r="4238" spans="2:33">
      <c r="B4238" s="29"/>
      <c r="D4238" s="29"/>
      <c r="E4238" s="20"/>
      <c r="F4238" s="20"/>
      <c r="AC4238" s="20"/>
      <c r="AG4238" s="29"/>
    </row>
    <row r="4239" spans="2:33">
      <c r="B4239" s="29"/>
      <c r="D4239" s="29"/>
      <c r="E4239" s="20"/>
      <c r="F4239" s="20"/>
      <c r="AC4239" s="20"/>
      <c r="AG4239" s="29"/>
    </row>
    <row r="4240" spans="2:33">
      <c r="B4240" s="29"/>
      <c r="D4240" s="29"/>
      <c r="E4240" s="20"/>
      <c r="F4240" s="20"/>
      <c r="AC4240" s="20"/>
      <c r="AG4240" s="29"/>
    </row>
    <row r="4241" spans="2:33">
      <c r="B4241" s="29"/>
      <c r="D4241" s="29"/>
      <c r="E4241" s="20"/>
      <c r="F4241" s="20"/>
      <c r="AC4241" s="20"/>
      <c r="AG4241" s="29"/>
    </row>
    <row r="4242" spans="2:33">
      <c r="B4242" s="29"/>
      <c r="D4242" s="29"/>
      <c r="E4242" s="20"/>
      <c r="F4242" s="20"/>
      <c r="AC4242" s="20"/>
      <c r="AG4242" s="29"/>
    </row>
    <row r="4243" spans="2:33">
      <c r="B4243" s="29"/>
      <c r="D4243" s="29"/>
      <c r="E4243" s="20"/>
      <c r="F4243" s="20"/>
      <c r="AC4243" s="20"/>
      <c r="AG4243" s="29"/>
    </row>
    <row r="4244" spans="2:33">
      <c r="B4244" s="29"/>
      <c r="D4244" s="29"/>
      <c r="E4244" s="20"/>
      <c r="F4244" s="20"/>
      <c r="AC4244" s="20"/>
      <c r="AG4244" s="29"/>
    </row>
    <row r="4245" spans="2:33">
      <c r="B4245" s="29"/>
      <c r="D4245" s="29"/>
      <c r="E4245" s="20"/>
      <c r="F4245" s="20"/>
      <c r="AC4245" s="20"/>
      <c r="AG4245" s="29"/>
    </row>
    <row r="4246" spans="2:33">
      <c r="B4246" s="29"/>
      <c r="D4246" s="29"/>
      <c r="E4246" s="20"/>
      <c r="F4246" s="20"/>
      <c r="AC4246" s="20"/>
      <c r="AG4246" s="29"/>
    </row>
    <row r="4247" spans="2:33">
      <c r="B4247" s="29"/>
      <c r="D4247" s="29"/>
      <c r="E4247" s="20"/>
      <c r="F4247" s="20"/>
      <c r="AC4247" s="20"/>
      <c r="AG4247" s="29"/>
    </row>
    <row r="4248" spans="2:33">
      <c r="B4248" s="29"/>
      <c r="D4248" s="29"/>
      <c r="E4248" s="20"/>
      <c r="F4248" s="20"/>
      <c r="AC4248" s="20"/>
      <c r="AG4248" s="29"/>
    </row>
    <row r="4249" spans="2:33">
      <c r="B4249" s="29"/>
      <c r="D4249" s="29"/>
      <c r="E4249" s="20"/>
      <c r="F4249" s="20"/>
      <c r="AC4249" s="20"/>
      <c r="AG4249" s="29"/>
    </row>
    <row r="4250" spans="2:33">
      <c r="B4250" s="29"/>
      <c r="D4250" s="29"/>
      <c r="E4250" s="20"/>
      <c r="F4250" s="20"/>
      <c r="AC4250" s="20"/>
      <c r="AG4250" s="29"/>
    </row>
    <row r="4251" spans="2:33">
      <c r="B4251" s="29"/>
      <c r="D4251" s="29"/>
      <c r="E4251" s="20"/>
      <c r="F4251" s="20"/>
      <c r="AC4251" s="20"/>
      <c r="AG4251" s="29"/>
    </row>
    <row r="4252" spans="2:33">
      <c r="B4252" s="29"/>
      <c r="D4252" s="29"/>
      <c r="E4252" s="20"/>
      <c r="F4252" s="20"/>
      <c r="AC4252" s="20"/>
      <c r="AG4252" s="29"/>
    </row>
    <row r="4253" spans="2:33">
      <c r="B4253" s="29"/>
      <c r="D4253" s="29"/>
      <c r="E4253" s="20"/>
      <c r="F4253" s="20"/>
      <c r="AC4253" s="20"/>
      <c r="AG4253" s="29"/>
    </row>
    <row r="4254" spans="2:33">
      <c r="B4254" s="29"/>
      <c r="D4254" s="29"/>
      <c r="E4254" s="20"/>
      <c r="F4254" s="20"/>
      <c r="AC4254" s="20"/>
      <c r="AG4254" s="29"/>
    </row>
    <row r="4255" spans="2:33">
      <c r="B4255" s="29"/>
      <c r="D4255" s="29"/>
      <c r="E4255" s="20"/>
      <c r="F4255" s="20"/>
      <c r="AC4255" s="20"/>
      <c r="AG4255" s="29"/>
    </row>
    <row r="4256" spans="2:33">
      <c r="B4256" s="29"/>
      <c r="D4256" s="29"/>
      <c r="E4256" s="20"/>
      <c r="F4256" s="20"/>
      <c r="AC4256" s="20"/>
      <c r="AG4256" s="29"/>
    </row>
    <row r="4257" spans="2:33">
      <c r="B4257" s="29"/>
      <c r="D4257" s="29"/>
      <c r="E4257" s="20"/>
      <c r="F4257" s="20"/>
      <c r="AC4257" s="20"/>
      <c r="AG4257" s="29"/>
    </row>
    <row r="4258" spans="2:33">
      <c r="B4258" s="29"/>
      <c r="D4258" s="29"/>
      <c r="E4258" s="20"/>
      <c r="F4258" s="20"/>
      <c r="AC4258" s="20"/>
      <c r="AG4258" s="29"/>
    </row>
    <row r="4259" spans="2:33">
      <c r="B4259" s="29"/>
      <c r="D4259" s="29"/>
      <c r="E4259" s="20"/>
      <c r="F4259" s="20"/>
      <c r="AC4259" s="20"/>
      <c r="AG4259" s="29"/>
    </row>
    <row r="4260" spans="2:33">
      <c r="B4260" s="29"/>
      <c r="D4260" s="29"/>
      <c r="E4260" s="20"/>
      <c r="F4260" s="20"/>
      <c r="AC4260" s="20"/>
      <c r="AG4260" s="29"/>
    </row>
    <row r="4261" spans="2:33">
      <c r="B4261" s="29"/>
      <c r="D4261" s="29"/>
      <c r="E4261" s="20"/>
      <c r="F4261" s="20"/>
      <c r="AC4261" s="20"/>
      <c r="AG4261" s="29"/>
    </row>
    <row r="4262" spans="2:33">
      <c r="B4262" s="29"/>
      <c r="D4262" s="29"/>
      <c r="E4262" s="20"/>
      <c r="F4262" s="20"/>
      <c r="AC4262" s="20"/>
      <c r="AG4262" s="29"/>
    </row>
    <row r="4263" spans="2:33">
      <c r="B4263" s="29"/>
      <c r="D4263" s="29"/>
      <c r="E4263" s="20"/>
      <c r="F4263" s="20"/>
      <c r="AC4263" s="20"/>
      <c r="AG4263" s="29"/>
    </row>
    <row r="4264" spans="2:33">
      <c r="B4264" s="29"/>
      <c r="D4264" s="29"/>
      <c r="E4264" s="20"/>
      <c r="F4264" s="20"/>
      <c r="AC4264" s="20"/>
      <c r="AG4264" s="29"/>
    </row>
    <row r="4265" spans="2:33">
      <c r="B4265" s="29"/>
      <c r="D4265" s="29"/>
      <c r="E4265" s="20"/>
      <c r="F4265" s="20"/>
      <c r="AC4265" s="20"/>
      <c r="AG4265" s="29"/>
    </row>
    <row r="4266" spans="2:33">
      <c r="B4266" s="29"/>
      <c r="D4266" s="29"/>
      <c r="E4266" s="20"/>
      <c r="F4266" s="20"/>
      <c r="AC4266" s="20"/>
      <c r="AG4266" s="29"/>
    </row>
    <row r="4267" spans="2:33">
      <c r="B4267" s="29"/>
      <c r="D4267" s="29"/>
      <c r="E4267" s="20"/>
      <c r="F4267" s="20"/>
      <c r="AC4267" s="20"/>
      <c r="AG4267" s="29"/>
    </row>
    <row r="4268" spans="2:33">
      <c r="B4268" s="29"/>
      <c r="D4268" s="29"/>
      <c r="E4268" s="20"/>
      <c r="F4268" s="20"/>
      <c r="AC4268" s="20"/>
      <c r="AG4268" s="29"/>
    </row>
    <row r="4269" spans="2:33">
      <c r="B4269" s="29"/>
      <c r="D4269" s="29"/>
      <c r="E4269" s="20"/>
      <c r="F4269" s="20"/>
      <c r="AC4269" s="20"/>
      <c r="AG4269" s="29"/>
    </row>
    <row r="4270" spans="2:33">
      <c r="B4270" s="29"/>
      <c r="D4270" s="29"/>
      <c r="E4270" s="20"/>
      <c r="F4270" s="20"/>
      <c r="AC4270" s="20"/>
      <c r="AG4270" s="29"/>
    </row>
    <row r="4271" spans="2:33">
      <c r="B4271" s="29"/>
      <c r="D4271" s="29"/>
      <c r="E4271" s="20"/>
      <c r="F4271" s="20"/>
      <c r="AC4271" s="20"/>
      <c r="AG4271" s="29"/>
    </row>
    <row r="4272" spans="2:33">
      <c r="B4272" s="29"/>
      <c r="D4272" s="29"/>
      <c r="E4272" s="20"/>
      <c r="F4272" s="20"/>
      <c r="AC4272" s="20"/>
      <c r="AG4272" s="29"/>
    </row>
    <row r="4273" spans="2:33">
      <c r="B4273" s="29"/>
      <c r="D4273" s="29"/>
      <c r="E4273" s="20"/>
      <c r="F4273" s="20"/>
      <c r="AC4273" s="20"/>
      <c r="AG4273" s="29"/>
    </row>
    <row r="4274" spans="2:33">
      <c r="B4274" s="29"/>
      <c r="D4274" s="29"/>
      <c r="E4274" s="20"/>
      <c r="F4274" s="20"/>
      <c r="AC4274" s="20"/>
      <c r="AG4274" s="29"/>
    </row>
    <row r="4275" spans="2:33">
      <c r="B4275" s="29"/>
      <c r="D4275" s="29"/>
      <c r="E4275" s="20"/>
      <c r="F4275" s="20"/>
      <c r="AC4275" s="20"/>
      <c r="AG4275" s="29"/>
    </row>
    <row r="4276" spans="2:33">
      <c r="B4276" s="29"/>
      <c r="D4276" s="29"/>
      <c r="E4276" s="20"/>
      <c r="F4276" s="20"/>
      <c r="AC4276" s="20"/>
      <c r="AG4276" s="29"/>
    </row>
    <row r="4277" spans="2:33">
      <c r="B4277" s="29"/>
      <c r="D4277" s="29"/>
      <c r="E4277" s="20"/>
      <c r="F4277" s="20"/>
      <c r="AC4277" s="20"/>
      <c r="AG4277" s="29"/>
    </row>
    <row r="4278" spans="2:33">
      <c r="B4278" s="29"/>
      <c r="D4278" s="29"/>
      <c r="E4278" s="20"/>
      <c r="F4278" s="20"/>
      <c r="AC4278" s="20"/>
      <c r="AG4278" s="29"/>
    </row>
    <row r="4279" spans="2:33">
      <c r="B4279" s="29"/>
      <c r="D4279" s="29"/>
      <c r="E4279" s="20"/>
      <c r="F4279" s="20"/>
      <c r="AC4279" s="20"/>
      <c r="AG4279" s="29"/>
    </row>
    <row r="4280" spans="2:33">
      <c r="B4280" s="29"/>
      <c r="D4280" s="29"/>
      <c r="E4280" s="20"/>
      <c r="F4280" s="20"/>
      <c r="AC4280" s="20"/>
      <c r="AG4280" s="29"/>
    </row>
    <row r="4281" spans="2:33">
      <c r="B4281" s="29"/>
      <c r="D4281" s="29"/>
      <c r="E4281" s="20"/>
      <c r="F4281" s="20"/>
      <c r="AC4281" s="20"/>
      <c r="AG4281" s="29"/>
    </row>
    <row r="4282" spans="2:33">
      <c r="B4282" s="29"/>
      <c r="D4282" s="29"/>
      <c r="E4282" s="20"/>
      <c r="F4282" s="20"/>
      <c r="AC4282" s="20"/>
      <c r="AG4282" s="29"/>
    </row>
    <row r="4283" spans="2:33">
      <c r="B4283" s="29"/>
      <c r="D4283" s="29"/>
      <c r="E4283" s="20"/>
      <c r="F4283" s="20"/>
      <c r="AC4283" s="20"/>
      <c r="AG4283" s="29"/>
    </row>
    <row r="4284" spans="2:33">
      <c r="B4284" s="29"/>
      <c r="D4284" s="29"/>
      <c r="E4284" s="20"/>
      <c r="F4284" s="20"/>
      <c r="AC4284" s="20"/>
      <c r="AG4284" s="29"/>
    </row>
    <row r="4285" spans="2:33">
      <c r="B4285" s="29"/>
      <c r="D4285" s="29"/>
      <c r="E4285" s="20"/>
      <c r="F4285" s="20"/>
      <c r="AC4285" s="20"/>
      <c r="AG4285" s="29"/>
    </row>
    <row r="4286" spans="2:33">
      <c r="B4286" s="29"/>
      <c r="D4286" s="29"/>
      <c r="E4286" s="20"/>
      <c r="F4286" s="20"/>
      <c r="AC4286" s="20"/>
      <c r="AG4286" s="29"/>
    </row>
    <row r="4287" spans="2:33">
      <c r="B4287" s="29"/>
      <c r="D4287" s="29"/>
      <c r="E4287" s="20"/>
      <c r="F4287" s="20"/>
      <c r="AC4287" s="20"/>
      <c r="AG4287" s="29"/>
    </row>
    <row r="4288" spans="2:33">
      <c r="B4288" s="29"/>
      <c r="D4288" s="29"/>
      <c r="E4288" s="20"/>
      <c r="F4288" s="20"/>
      <c r="AC4288" s="20"/>
      <c r="AG4288" s="29"/>
    </row>
    <row r="4289" spans="2:33">
      <c r="B4289" s="29"/>
      <c r="D4289" s="29"/>
      <c r="E4289" s="20"/>
      <c r="F4289" s="20"/>
      <c r="AC4289" s="20"/>
      <c r="AG4289" s="29"/>
    </row>
    <row r="4290" spans="2:33">
      <c r="B4290" s="29"/>
      <c r="D4290" s="29"/>
      <c r="E4290" s="20"/>
      <c r="F4290" s="20"/>
      <c r="AC4290" s="20"/>
      <c r="AG4290" s="29"/>
    </row>
    <row r="4291" spans="2:33">
      <c r="B4291" s="29"/>
      <c r="D4291" s="29"/>
      <c r="E4291" s="20"/>
      <c r="F4291" s="20"/>
      <c r="AC4291" s="20"/>
      <c r="AG4291" s="29"/>
    </row>
    <row r="4292" spans="2:33">
      <c r="B4292" s="29"/>
      <c r="D4292" s="29"/>
      <c r="E4292" s="20"/>
      <c r="F4292" s="20"/>
      <c r="AC4292" s="20"/>
      <c r="AG4292" s="29"/>
    </row>
    <row r="4293" spans="2:33">
      <c r="B4293" s="29"/>
      <c r="D4293" s="29"/>
      <c r="E4293" s="20"/>
      <c r="F4293" s="20"/>
      <c r="AC4293" s="20"/>
      <c r="AG4293" s="29"/>
    </row>
    <row r="4294" spans="2:33">
      <c r="B4294" s="29"/>
      <c r="D4294" s="29"/>
      <c r="E4294" s="20"/>
      <c r="F4294" s="20"/>
      <c r="AC4294" s="20"/>
      <c r="AG4294" s="29"/>
    </row>
    <row r="4295" spans="2:33">
      <c r="B4295" s="29"/>
      <c r="D4295" s="29"/>
      <c r="E4295" s="20"/>
      <c r="F4295" s="20"/>
      <c r="AC4295" s="20"/>
      <c r="AG4295" s="29"/>
    </row>
    <row r="4296" spans="2:33">
      <c r="B4296" s="29"/>
      <c r="D4296" s="29"/>
      <c r="E4296" s="20"/>
      <c r="F4296" s="20"/>
      <c r="AC4296" s="20"/>
      <c r="AG4296" s="29"/>
    </row>
    <row r="4297" spans="2:33">
      <c r="B4297" s="29"/>
      <c r="D4297" s="29"/>
      <c r="E4297" s="20"/>
      <c r="F4297" s="20"/>
      <c r="AC4297" s="20"/>
      <c r="AG4297" s="29"/>
    </row>
    <row r="4298" spans="2:33">
      <c r="B4298" s="29"/>
      <c r="D4298" s="29"/>
      <c r="E4298" s="20"/>
      <c r="F4298" s="20"/>
      <c r="AC4298" s="20"/>
      <c r="AG4298" s="29"/>
    </row>
    <row r="4299" spans="2:33">
      <c r="B4299" s="29"/>
      <c r="D4299" s="29"/>
      <c r="E4299" s="20"/>
      <c r="F4299" s="20"/>
      <c r="AC4299" s="20"/>
      <c r="AG4299" s="29"/>
    </row>
    <row r="4300" spans="2:33">
      <c r="B4300" s="29"/>
      <c r="D4300" s="29"/>
      <c r="E4300" s="20"/>
      <c r="F4300" s="20"/>
      <c r="AC4300" s="20"/>
      <c r="AG4300" s="29"/>
    </row>
    <row r="4301" spans="2:33">
      <c r="B4301" s="29"/>
      <c r="D4301" s="29"/>
      <c r="E4301" s="20"/>
      <c r="F4301" s="20"/>
      <c r="AC4301" s="20"/>
      <c r="AG4301" s="29"/>
    </row>
    <row r="4302" spans="2:33">
      <c r="B4302" s="29"/>
      <c r="D4302" s="29"/>
      <c r="E4302" s="20"/>
      <c r="F4302" s="20"/>
      <c r="AC4302" s="20"/>
      <c r="AG4302" s="29"/>
    </row>
    <row r="4303" spans="2:33">
      <c r="B4303" s="29"/>
      <c r="D4303" s="29"/>
      <c r="E4303" s="20"/>
      <c r="F4303" s="20"/>
      <c r="AC4303" s="20"/>
      <c r="AG4303" s="29"/>
    </row>
    <row r="4304" spans="2:33">
      <c r="B4304" s="29"/>
      <c r="D4304" s="29"/>
      <c r="E4304" s="20"/>
      <c r="F4304" s="20"/>
      <c r="AC4304" s="20"/>
      <c r="AG4304" s="29"/>
    </row>
    <row r="4305" spans="2:33">
      <c r="B4305" s="29"/>
      <c r="D4305" s="29"/>
      <c r="E4305" s="20"/>
      <c r="F4305" s="20"/>
      <c r="AC4305" s="20"/>
      <c r="AG4305" s="29"/>
    </row>
    <row r="4306" spans="2:33">
      <c r="B4306" s="29"/>
      <c r="D4306" s="29"/>
      <c r="E4306" s="20"/>
      <c r="F4306" s="20"/>
      <c r="AC4306" s="20"/>
      <c r="AG4306" s="29"/>
    </row>
    <row r="4307" spans="2:33">
      <c r="B4307" s="29"/>
      <c r="D4307" s="29"/>
      <c r="E4307" s="20"/>
      <c r="F4307" s="20"/>
      <c r="AC4307" s="20"/>
      <c r="AG4307" s="29"/>
    </row>
    <row r="4308" spans="2:33">
      <c r="B4308" s="29"/>
      <c r="D4308" s="29"/>
      <c r="E4308" s="20"/>
      <c r="F4308" s="20"/>
      <c r="AC4308" s="20"/>
      <c r="AG4308" s="29"/>
    </row>
    <row r="4309" spans="2:33">
      <c r="B4309" s="29"/>
      <c r="D4309" s="29"/>
      <c r="E4309" s="20"/>
      <c r="F4309" s="20"/>
      <c r="AC4309" s="20"/>
      <c r="AG4309" s="29"/>
    </row>
    <row r="4310" spans="2:33">
      <c r="B4310" s="29"/>
      <c r="D4310" s="29"/>
      <c r="E4310" s="20"/>
      <c r="F4310" s="20"/>
      <c r="AC4310" s="20"/>
      <c r="AG4310" s="29"/>
    </row>
    <row r="4311" spans="2:33">
      <c r="B4311" s="29"/>
      <c r="D4311" s="29"/>
      <c r="E4311" s="20"/>
      <c r="F4311" s="20"/>
      <c r="AC4311" s="20"/>
      <c r="AG4311" s="29"/>
    </row>
    <row r="4312" spans="2:33">
      <c r="B4312" s="29"/>
      <c r="D4312" s="29"/>
      <c r="E4312" s="20"/>
      <c r="F4312" s="20"/>
      <c r="AC4312" s="20"/>
      <c r="AG4312" s="29"/>
    </row>
    <row r="4313" spans="2:33">
      <c r="B4313" s="29"/>
      <c r="D4313" s="29"/>
      <c r="E4313" s="20"/>
      <c r="F4313" s="20"/>
      <c r="AC4313" s="20"/>
      <c r="AG4313" s="29"/>
    </row>
    <row r="4314" spans="2:33">
      <c r="B4314" s="29"/>
      <c r="D4314" s="29"/>
      <c r="E4314" s="20"/>
      <c r="F4314" s="20"/>
      <c r="AC4314" s="20"/>
      <c r="AG4314" s="29"/>
    </row>
    <row r="4315" spans="2:33">
      <c r="B4315" s="29"/>
      <c r="D4315" s="29"/>
      <c r="E4315" s="20"/>
      <c r="F4315" s="20"/>
      <c r="AC4315" s="20"/>
      <c r="AG4315" s="29"/>
    </row>
    <row r="4316" spans="2:33">
      <c r="B4316" s="29"/>
      <c r="D4316" s="29"/>
      <c r="E4316" s="20"/>
      <c r="F4316" s="20"/>
      <c r="AC4316" s="20"/>
      <c r="AG4316" s="29"/>
    </row>
    <row r="4317" spans="2:33">
      <c r="B4317" s="29"/>
      <c r="D4317" s="29"/>
      <c r="E4317" s="20"/>
      <c r="F4317" s="20"/>
      <c r="AC4317" s="20"/>
      <c r="AG4317" s="29"/>
    </row>
    <row r="4318" spans="2:33">
      <c r="B4318" s="29"/>
      <c r="D4318" s="29"/>
      <c r="E4318" s="20"/>
      <c r="F4318" s="20"/>
      <c r="AC4318" s="20"/>
      <c r="AG4318" s="29"/>
    </row>
    <row r="4319" spans="2:33">
      <c r="B4319" s="29"/>
      <c r="D4319" s="29"/>
      <c r="E4319" s="20"/>
      <c r="F4319" s="20"/>
      <c r="AC4319" s="20"/>
      <c r="AG4319" s="29"/>
    </row>
    <row r="4320" spans="2:33">
      <c r="B4320" s="29"/>
      <c r="D4320" s="29"/>
      <c r="E4320" s="20"/>
      <c r="F4320" s="20"/>
      <c r="AC4320" s="20"/>
      <c r="AG4320" s="29"/>
    </row>
    <row r="4321" spans="2:33">
      <c r="B4321" s="29"/>
      <c r="D4321" s="29"/>
      <c r="E4321" s="20"/>
      <c r="F4321" s="20"/>
      <c r="AC4321" s="20"/>
      <c r="AG4321" s="29"/>
    </row>
    <row r="4322" spans="2:33">
      <c r="B4322" s="29"/>
      <c r="D4322" s="29"/>
      <c r="E4322" s="20"/>
      <c r="F4322" s="20"/>
      <c r="AC4322" s="20"/>
      <c r="AG4322" s="29"/>
    </row>
    <row r="4323" spans="2:33">
      <c r="B4323" s="29"/>
      <c r="D4323" s="29"/>
      <c r="E4323" s="20"/>
      <c r="F4323" s="20"/>
      <c r="AC4323" s="20"/>
      <c r="AG4323" s="29"/>
    </row>
    <row r="4324" spans="2:33">
      <c r="B4324" s="29"/>
      <c r="D4324" s="29"/>
      <c r="E4324" s="20"/>
      <c r="F4324" s="20"/>
      <c r="AC4324" s="20"/>
      <c r="AG4324" s="29"/>
    </row>
    <row r="4325" spans="2:33">
      <c r="B4325" s="29"/>
      <c r="D4325" s="29"/>
      <c r="E4325" s="20"/>
      <c r="F4325" s="20"/>
      <c r="AC4325" s="20"/>
      <c r="AG4325" s="29"/>
    </row>
    <row r="4326" spans="2:33">
      <c r="B4326" s="29"/>
      <c r="D4326" s="29"/>
      <c r="E4326" s="20"/>
      <c r="F4326" s="20"/>
      <c r="AC4326" s="20"/>
      <c r="AG4326" s="29"/>
    </row>
    <row r="4327" spans="2:33">
      <c r="B4327" s="29"/>
      <c r="D4327" s="29"/>
      <c r="E4327" s="20"/>
      <c r="F4327" s="20"/>
      <c r="AC4327" s="20"/>
      <c r="AG4327" s="29"/>
    </row>
    <row r="4328" spans="2:33">
      <c r="B4328" s="29"/>
      <c r="D4328" s="29"/>
      <c r="E4328" s="20"/>
      <c r="F4328" s="20"/>
      <c r="AC4328" s="20"/>
      <c r="AG4328" s="29"/>
    </row>
    <row r="4329" spans="2:33">
      <c r="B4329" s="29"/>
      <c r="D4329" s="29"/>
      <c r="E4329" s="20"/>
      <c r="F4329" s="20"/>
      <c r="AC4329" s="20"/>
      <c r="AG4329" s="29"/>
    </row>
    <row r="4330" spans="2:33">
      <c r="B4330" s="29"/>
      <c r="D4330" s="29"/>
      <c r="E4330" s="20"/>
      <c r="F4330" s="20"/>
      <c r="AC4330" s="20"/>
      <c r="AG4330" s="29"/>
    </row>
    <row r="4331" spans="2:33">
      <c r="B4331" s="29"/>
      <c r="D4331" s="29"/>
      <c r="E4331" s="20"/>
      <c r="F4331" s="20"/>
      <c r="AC4331" s="20"/>
      <c r="AG4331" s="29"/>
    </row>
    <row r="4332" spans="2:33">
      <c r="B4332" s="29"/>
      <c r="D4332" s="29"/>
      <c r="E4332" s="20"/>
      <c r="F4332" s="20"/>
      <c r="AC4332" s="20"/>
      <c r="AG4332" s="29"/>
    </row>
    <row r="4333" spans="2:33">
      <c r="B4333" s="29"/>
      <c r="D4333" s="29"/>
      <c r="E4333" s="20"/>
      <c r="F4333" s="20"/>
      <c r="AC4333" s="20"/>
      <c r="AG4333" s="29"/>
    </row>
    <row r="4334" spans="2:33">
      <c r="B4334" s="29"/>
      <c r="D4334" s="29"/>
      <c r="E4334" s="20"/>
      <c r="F4334" s="20"/>
      <c r="AC4334" s="20"/>
      <c r="AG4334" s="29"/>
    </row>
    <row r="4335" spans="2:33">
      <c r="B4335" s="29"/>
      <c r="D4335" s="29"/>
      <c r="E4335" s="20"/>
      <c r="F4335" s="20"/>
      <c r="AC4335" s="20"/>
      <c r="AG4335" s="29"/>
    </row>
    <row r="4336" spans="2:33">
      <c r="B4336" s="29"/>
      <c r="D4336" s="29"/>
      <c r="E4336" s="20"/>
      <c r="F4336" s="20"/>
      <c r="AC4336" s="20"/>
      <c r="AG4336" s="29"/>
    </row>
    <row r="4337" spans="2:33">
      <c r="B4337" s="29"/>
      <c r="D4337" s="29"/>
      <c r="E4337" s="20"/>
      <c r="F4337" s="20"/>
      <c r="AC4337" s="20"/>
      <c r="AG4337" s="29"/>
    </row>
    <row r="4338" spans="2:33">
      <c r="B4338" s="29"/>
      <c r="D4338" s="29"/>
      <c r="E4338" s="20"/>
      <c r="F4338" s="20"/>
      <c r="AC4338" s="20"/>
      <c r="AG4338" s="29"/>
    </row>
    <row r="4339" spans="2:33">
      <c r="B4339" s="29"/>
      <c r="D4339" s="29"/>
      <c r="E4339" s="20"/>
      <c r="F4339" s="20"/>
      <c r="AC4339" s="20"/>
      <c r="AG4339" s="29"/>
    </row>
    <row r="4340" spans="2:33">
      <c r="B4340" s="29"/>
      <c r="D4340" s="29"/>
      <c r="E4340" s="20"/>
      <c r="F4340" s="20"/>
      <c r="AC4340" s="20"/>
      <c r="AG4340" s="29"/>
    </row>
    <row r="4341" spans="2:33">
      <c r="B4341" s="29"/>
      <c r="D4341" s="29"/>
      <c r="E4341" s="20"/>
      <c r="F4341" s="20"/>
      <c r="AC4341" s="20"/>
      <c r="AG4341" s="29"/>
    </row>
    <row r="4342" spans="2:33">
      <c r="B4342" s="29"/>
      <c r="D4342" s="29"/>
      <c r="E4342" s="20"/>
      <c r="F4342" s="20"/>
      <c r="AC4342" s="20"/>
      <c r="AG4342" s="29"/>
    </row>
    <row r="4343" spans="2:33">
      <c r="B4343" s="29"/>
      <c r="D4343" s="29"/>
      <c r="E4343" s="20"/>
      <c r="F4343" s="20"/>
      <c r="AC4343" s="20"/>
      <c r="AG4343" s="29"/>
    </row>
    <row r="4344" spans="2:33">
      <c r="B4344" s="29"/>
      <c r="D4344" s="29"/>
      <c r="E4344" s="20"/>
      <c r="F4344" s="20"/>
      <c r="AC4344" s="20"/>
      <c r="AG4344" s="29"/>
    </row>
    <row r="4345" spans="2:33">
      <c r="B4345" s="29"/>
      <c r="D4345" s="29"/>
      <c r="E4345" s="20"/>
      <c r="F4345" s="20"/>
      <c r="AC4345" s="20"/>
      <c r="AG4345" s="29"/>
    </row>
    <row r="4346" spans="2:33">
      <c r="B4346" s="29"/>
      <c r="D4346" s="29"/>
      <c r="E4346" s="20"/>
      <c r="F4346" s="20"/>
      <c r="AC4346" s="20"/>
      <c r="AG4346" s="29"/>
    </row>
    <row r="4347" spans="2:33">
      <c r="B4347" s="29"/>
      <c r="D4347" s="29"/>
      <c r="E4347" s="20"/>
      <c r="F4347" s="20"/>
      <c r="AC4347" s="20"/>
      <c r="AG4347" s="29"/>
    </row>
    <row r="4348" spans="2:33">
      <c r="B4348" s="29"/>
      <c r="D4348" s="29"/>
      <c r="E4348" s="20"/>
      <c r="F4348" s="20"/>
      <c r="AC4348" s="20"/>
      <c r="AG4348" s="29"/>
    </row>
    <row r="4349" spans="2:33">
      <c r="B4349" s="29"/>
      <c r="D4349" s="29"/>
      <c r="E4349" s="20"/>
      <c r="F4349" s="20"/>
      <c r="AC4349" s="20"/>
      <c r="AG4349" s="29"/>
    </row>
    <row r="4350" spans="2:33">
      <c r="B4350" s="29"/>
      <c r="D4350" s="29"/>
      <c r="E4350" s="20"/>
      <c r="F4350" s="20"/>
      <c r="AC4350" s="20"/>
      <c r="AG4350" s="29"/>
    </row>
    <row r="4351" spans="2:33">
      <c r="B4351" s="29"/>
      <c r="D4351" s="29"/>
      <c r="E4351" s="20"/>
      <c r="F4351" s="20"/>
      <c r="AC4351" s="20"/>
      <c r="AG4351" s="29"/>
    </row>
    <row r="4352" spans="2:33">
      <c r="B4352" s="29"/>
      <c r="D4352" s="29"/>
      <c r="E4352" s="20"/>
      <c r="F4352" s="20"/>
      <c r="AC4352" s="20"/>
      <c r="AG4352" s="29"/>
    </row>
    <row r="4353" spans="2:33">
      <c r="B4353" s="29"/>
      <c r="D4353" s="29"/>
      <c r="E4353" s="20"/>
      <c r="F4353" s="20"/>
      <c r="AC4353" s="20"/>
      <c r="AG4353" s="29"/>
    </row>
    <row r="4354" spans="2:33">
      <c r="B4354" s="29"/>
      <c r="D4354" s="29"/>
      <c r="E4354" s="20"/>
      <c r="F4354" s="20"/>
      <c r="AC4354" s="20"/>
      <c r="AG4354" s="29"/>
    </row>
    <row r="4355" spans="2:33">
      <c r="B4355" s="29"/>
      <c r="D4355" s="29"/>
      <c r="E4355" s="20"/>
      <c r="F4355" s="20"/>
      <c r="AC4355" s="20"/>
      <c r="AG4355" s="29"/>
    </row>
    <row r="4356" spans="2:33">
      <c r="B4356" s="29"/>
      <c r="D4356" s="29"/>
      <c r="E4356" s="20"/>
      <c r="F4356" s="20"/>
      <c r="AC4356" s="20"/>
      <c r="AG4356" s="29"/>
    </row>
    <row r="4357" spans="2:33">
      <c r="B4357" s="29"/>
      <c r="D4357" s="29"/>
      <c r="E4357" s="20"/>
      <c r="F4357" s="20"/>
      <c r="AC4357" s="20"/>
      <c r="AG4357" s="29"/>
    </row>
    <row r="4358" spans="2:33">
      <c r="B4358" s="29"/>
      <c r="D4358" s="29"/>
      <c r="E4358" s="20"/>
      <c r="F4358" s="20"/>
      <c r="AC4358" s="20"/>
      <c r="AG4358" s="29"/>
    </row>
    <row r="4359" spans="2:33">
      <c r="B4359" s="29"/>
      <c r="D4359" s="29"/>
      <c r="E4359" s="20"/>
      <c r="F4359" s="20"/>
      <c r="AC4359" s="20"/>
      <c r="AG4359" s="29"/>
    </row>
    <row r="4360" spans="2:33">
      <c r="B4360" s="29"/>
      <c r="D4360" s="29"/>
      <c r="E4360" s="20"/>
      <c r="F4360" s="20"/>
      <c r="AC4360" s="20"/>
      <c r="AG4360" s="29"/>
    </row>
    <row r="4361" spans="2:33">
      <c r="B4361" s="29"/>
      <c r="D4361" s="29"/>
      <c r="E4361" s="20"/>
      <c r="F4361" s="20"/>
      <c r="AC4361" s="20"/>
      <c r="AG4361" s="29"/>
    </row>
    <row r="4362" spans="2:33">
      <c r="B4362" s="29"/>
      <c r="D4362" s="29"/>
      <c r="E4362" s="20"/>
      <c r="F4362" s="20"/>
      <c r="AC4362" s="20"/>
      <c r="AG4362" s="29"/>
    </row>
    <row r="4363" spans="2:33">
      <c r="B4363" s="29"/>
      <c r="D4363" s="29"/>
      <c r="E4363" s="20"/>
      <c r="F4363" s="20"/>
      <c r="AC4363" s="20"/>
      <c r="AG4363" s="29"/>
    </row>
    <row r="4364" spans="2:33">
      <c r="B4364" s="29"/>
      <c r="D4364" s="29"/>
      <c r="E4364" s="20"/>
      <c r="F4364" s="20"/>
      <c r="AC4364" s="20"/>
      <c r="AG4364" s="29"/>
    </row>
    <row r="4365" spans="2:33">
      <c r="B4365" s="29"/>
      <c r="D4365" s="29"/>
      <c r="E4365" s="20"/>
      <c r="F4365" s="20"/>
      <c r="AC4365" s="20"/>
      <c r="AG4365" s="29"/>
    </row>
    <row r="4366" spans="2:33">
      <c r="B4366" s="29"/>
      <c r="D4366" s="29"/>
      <c r="E4366" s="20"/>
      <c r="F4366" s="20"/>
      <c r="AC4366" s="20"/>
      <c r="AG4366" s="29"/>
    </row>
    <row r="4367" spans="2:33">
      <c r="B4367" s="29"/>
      <c r="D4367" s="29"/>
      <c r="E4367" s="20"/>
      <c r="F4367" s="20"/>
      <c r="AC4367" s="20"/>
      <c r="AG4367" s="29"/>
    </row>
    <row r="4368" spans="2:33">
      <c r="B4368" s="29"/>
      <c r="D4368" s="29"/>
      <c r="E4368" s="20"/>
      <c r="F4368" s="20"/>
      <c r="AC4368" s="20"/>
      <c r="AG4368" s="29"/>
    </row>
    <row r="4369" spans="2:33">
      <c r="B4369" s="29"/>
      <c r="D4369" s="29"/>
      <c r="E4369" s="20"/>
      <c r="F4369" s="20"/>
      <c r="AC4369" s="20"/>
      <c r="AG4369" s="29"/>
    </row>
    <row r="4370" spans="2:33">
      <c r="B4370" s="29"/>
      <c r="D4370" s="29"/>
      <c r="E4370" s="20"/>
      <c r="F4370" s="20"/>
      <c r="AC4370" s="20"/>
      <c r="AG4370" s="29"/>
    </row>
    <row r="4371" spans="2:33">
      <c r="B4371" s="29"/>
      <c r="D4371" s="29"/>
      <c r="E4371" s="20"/>
      <c r="F4371" s="20"/>
      <c r="AC4371" s="20"/>
      <c r="AG4371" s="29"/>
    </row>
    <row r="4372" spans="2:33">
      <c r="B4372" s="29"/>
      <c r="D4372" s="29"/>
      <c r="E4372" s="20"/>
      <c r="F4372" s="20"/>
      <c r="AC4372" s="20"/>
      <c r="AG4372" s="29"/>
    </row>
    <row r="4373" spans="2:33">
      <c r="B4373" s="29"/>
      <c r="D4373" s="29"/>
      <c r="E4373" s="20"/>
      <c r="F4373" s="20"/>
      <c r="AC4373" s="20"/>
      <c r="AG4373" s="29"/>
    </row>
    <row r="4374" spans="2:33">
      <c r="B4374" s="29"/>
      <c r="D4374" s="29"/>
      <c r="E4374" s="20"/>
      <c r="F4374" s="20"/>
      <c r="AC4374" s="20"/>
      <c r="AG4374" s="29"/>
    </row>
    <row r="4375" spans="2:33">
      <c r="B4375" s="29"/>
      <c r="D4375" s="29"/>
      <c r="E4375" s="20"/>
      <c r="F4375" s="20"/>
      <c r="AC4375" s="20"/>
      <c r="AG4375" s="29"/>
    </row>
    <row r="4376" spans="2:33">
      <c r="B4376" s="29"/>
      <c r="D4376" s="29"/>
      <c r="E4376" s="20"/>
      <c r="F4376" s="20"/>
      <c r="AC4376" s="20"/>
      <c r="AG4376" s="29"/>
    </row>
    <row r="4377" spans="2:33">
      <c r="B4377" s="29"/>
      <c r="D4377" s="29"/>
      <c r="E4377" s="20"/>
      <c r="F4377" s="20"/>
      <c r="AC4377" s="20"/>
      <c r="AG4377" s="29"/>
    </row>
    <row r="4378" spans="2:33">
      <c r="B4378" s="29"/>
      <c r="D4378" s="29"/>
      <c r="E4378" s="20"/>
      <c r="F4378" s="20"/>
      <c r="AC4378" s="20"/>
      <c r="AG4378" s="29"/>
    </row>
    <row r="4379" spans="2:33">
      <c r="B4379" s="29"/>
      <c r="D4379" s="29"/>
      <c r="E4379" s="20"/>
      <c r="F4379" s="20"/>
      <c r="AC4379" s="20"/>
      <c r="AG4379" s="29"/>
    </row>
    <row r="4380" spans="2:33">
      <c r="B4380" s="29"/>
      <c r="D4380" s="29"/>
      <c r="E4380" s="20"/>
      <c r="F4380" s="20"/>
      <c r="AC4380" s="20"/>
      <c r="AG4380" s="29"/>
    </row>
    <row r="4381" spans="2:33">
      <c r="B4381" s="29"/>
      <c r="D4381" s="29"/>
      <c r="E4381" s="20"/>
      <c r="F4381" s="20"/>
      <c r="AC4381" s="20"/>
      <c r="AG4381" s="29"/>
    </row>
    <row r="4382" spans="2:33">
      <c r="B4382" s="29"/>
      <c r="D4382" s="29"/>
      <c r="E4382" s="20"/>
      <c r="F4382" s="20"/>
      <c r="AC4382" s="20"/>
      <c r="AG4382" s="29"/>
    </row>
    <row r="4383" spans="2:33">
      <c r="B4383" s="29"/>
      <c r="D4383" s="29"/>
      <c r="E4383" s="20"/>
      <c r="F4383" s="20"/>
      <c r="AC4383" s="20"/>
      <c r="AG4383" s="29"/>
    </row>
    <row r="4384" spans="2:33">
      <c r="B4384" s="29"/>
      <c r="D4384" s="29"/>
      <c r="E4384" s="20"/>
      <c r="F4384" s="20"/>
      <c r="AC4384" s="20"/>
      <c r="AG4384" s="29"/>
    </row>
    <row r="4385" spans="2:33">
      <c r="B4385" s="29"/>
      <c r="D4385" s="29"/>
      <c r="E4385" s="20"/>
      <c r="F4385" s="20"/>
      <c r="AC4385" s="20"/>
      <c r="AG4385" s="29"/>
    </row>
    <row r="4386" spans="2:33">
      <c r="B4386" s="29"/>
      <c r="D4386" s="29"/>
      <c r="E4386" s="20"/>
      <c r="F4386" s="20"/>
      <c r="AC4386" s="20"/>
      <c r="AG4386" s="29"/>
    </row>
    <row r="4387" spans="2:33">
      <c r="B4387" s="29"/>
      <c r="D4387" s="29"/>
      <c r="E4387" s="20"/>
      <c r="F4387" s="20"/>
      <c r="AC4387" s="20"/>
      <c r="AG4387" s="29"/>
    </row>
    <row r="4388" spans="2:33">
      <c r="B4388" s="29"/>
      <c r="D4388" s="29"/>
      <c r="E4388" s="20"/>
      <c r="F4388" s="20"/>
      <c r="AC4388" s="20"/>
      <c r="AG4388" s="29"/>
    </row>
    <row r="4389" spans="2:33">
      <c r="B4389" s="29"/>
      <c r="D4389" s="29"/>
      <c r="E4389" s="20"/>
      <c r="F4389" s="20"/>
      <c r="AC4389" s="20"/>
      <c r="AG4389" s="29"/>
    </row>
    <row r="4390" spans="2:33">
      <c r="B4390" s="29"/>
      <c r="D4390" s="29"/>
      <c r="E4390" s="20"/>
      <c r="F4390" s="20"/>
      <c r="AC4390" s="20"/>
      <c r="AG4390" s="29"/>
    </row>
    <row r="4391" spans="2:33">
      <c r="B4391" s="29"/>
      <c r="D4391" s="29"/>
      <c r="E4391" s="20"/>
      <c r="F4391" s="20"/>
      <c r="AC4391" s="20"/>
      <c r="AG4391" s="29"/>
    </row>
    <row r="4392" spans="2:33">
      <c r="B4392" s="29"/>
      <c r="D4392" s="29"/>
      <c r="E4392" s="20"/>
      <c r="F4392" s="20"/>
      <c r="AC4392" s="20"/>
      <c r="AG4392" s="29"/>
    </row>
    <row r="4393" spans="2:33">
      <c r="B4393" s="29"/>
      <c r="D4393" s="29"/>
      <c r="E4393" s="20"/>
      <c r="F4393" s="20"/>
      <c r="AC4393" s="20"/>
      <c r="AG4393" s="29"/>
    </row>
    <row r="4394" spans="2:33">
      <c r="B4394" s="29"/>
      <c r="D4394" s="29"/>
      <c r="E4394" s="20"/>
      <c r="F4394" s="20"/>
      <c r="AC4394" s="20"/>
      <c r="AG4394" s="29"/>
    </row>
    <row r="4395" spans="2:33">
      <c r="B4395" s="29"/>
      <c r="D4395" s="29"/>
      <c r="E4395" s="20"/>
      <c r="F4395" s="20"/>
      <c r="AC4395" s="20"/>
      <c r="AG4395" s="29"/>
    </row>
    <row r="4396" spans="2:33">
      <c r="B4396" s="29"/>
      <c r="D4396" s="29"/>
      <c r="E4396" s="20"/>
      <c r="F4396" s="20"/>
      <c r="AC4396" s="20"/>
      <c r="AG4396" s="29"/>
    </row>
    <row r="4397" spans="2:33">
      <c r="B4397" s="29"/>
      <c r="D4397" s="29"/>
      <c r="E4397" s="20"/>
      <c r="F4397" s="20"/>
      <c r="AC4397" s="20"/>
      <c r="AG4397" s="29"/>
    </row>
    <row r="4398" spans="2:33">
      <c r="B4398" s="29"/>
      <c r="D4398" s="29"/>
      <c r="E4398" s="20"/>
      <c r="F4398" s="20"/>
      <c r="AC4398" s="20"/>
      <c r="AG4398" s="29"/>
    </row>
    <row r="4399" spans="2:33">
      <c r="B4399" s="29"/>
      <c r="D4399" s="29"/>
      <c r="E4399" s="20"/>
      <c r="F4399" s="20"/>
      <c r="AC4399" s="20"/>
      <c r="AG4399" s="29"/>
    </row>
    <row r="4400" spans="2:33">
      <c r="B4400" s="29"/>
      <c r="D4400" s="29"/>
      <c r="E4400" s="20"/>
      <c r="F4400" s="20"/>
      <c r="AC4400" s="20"/>
      <c r="AG4400" s="29"/>
    </row>
    <row r="4401" spans="2:33">
      <c r="B4401" s="29"/>
      <c r="D4401" s="29"/>
      <c r="E4401" s="20"/>
      <c r="F4401" s="20"/>
      <c r="AC4401" s="20"/>
      <c r="AG4401" s="29"/>
    </row>
    <row r="4402" spans="2:33">
      <c r="B4402" s="29"/>
      <c r="D4402" s="29"/>
      <c r="E4402" s="20"/>
      <c r="F4402" s="20"/>
      <c r="AC4402" s="20"/>
      <c r="AG4402" s="29"/>
    </row>
    <row r="4403" spans="2:33">
      <c r="B4403" s="29"/>
      <c r="D4403" s="29"/>
      <c r="E4403" s="20"/>
      <c r="F4403" s="20"/>
      <c r="AC4403" s="20"/>
      <c r="AG4403" s="29"/>
    </row>
    <row r="4404" spans="2:33">
      <c r="B4404" s="29"/>
      <c r="D4404" s="29"/>
      <c r="E4404" s="20"/>
      <c r="F4404" s="20"/>
      <c r="AC4404" s="20"/>
      <c r="AG4404" s="29"/>
    </row>
    <row r="4405" spans="2:33">
      <c r="B4405" s="29"/>
      <c r="D4405" s="29"/>
      <c r="E4405" s="20"/>
      <c r="F4405" s="20"/>
      <c r="AC4405" s="20"/>
      <c r="AG4405" s="29"/>
    </row>
    <row r="4406" spans="2:33">
      <c r="B4406" s="29"/>
      <c r="D4406" s="29"/>
      <c r="E4406" s="20"/>
      <c r="F4406" s="20"/>
      <c r="AC4406" s="20"/>
      <c r="AG4406" s="29"/>
    </row>
    <row r="4407" spans="2:33">
      <c r="B4407" s="29"/>
      <c r="D4407" s="29"/>
      <c r="E4407" s="20"/>
      <c r="F4407" s="20"/>
      <c r="AC4407" s="20"/>
      <c r="AG4407" s="29"/>
    </row>
    <row r="4408" spans="2:33">
      <c r="B4408" s="29"/>
      <c r="D4408" s="29"/>
      <c r="E4408" s="20"/>
      <c r="F4408" s="20"/>
      <c r="AC4408" s="20"/>
      <c r="AG4408" s="29"/>
    </row>
    <row r="4409" spans="2:33">
      <c r="B4409" s="29"/>
      <c r="D4409" s="29"/>
      <c r="E4409" s="20"/>
      <c r="F4409" s="20"/>
      <c r="AC4409" s="20"/>
      <c r="AG4409" s="29"/>
    </row>
    <row r="4410" spans="2:33">
      <c r="B4410" s="29"/>
      <c r="D4410" s="29"/>
      <c r="E4410" s="20"/>
      <c r="F4410" s="20"/>
      <c r="AC4410" s="20"/>
      <c r="AG4410" s="29"/>
    </row>
    <row r="4411" spans="2:33">
      <c r="B4411" s="29"/>
      <c r="D4411" s="29"/>
      <c r="E4411" s="20"/>
      <c r="F4411" s="20"/>
      <c r="AC4411" s="20"/>
      <c r="AG4411" s="29"/>
    </row>
    <row r="4412" spans="2:33">
      <c r="B4412" s="29"/>
      <c r="D4412" s="29"/>
      <c r="E4412" s="20"/>
      <c r="F4412" s="20"/>
      <c r="AC4412" s="20"/>
      <c r="AG4412" s="29"/>
    </row>
    <row r="4413" spans="2:33">
      <c r="B4413" s="29"/>
      <c r="D4413" s="29"/>
      <c r="E4413" s="20"/>
      <c r="F4413" s="20"/>
      <c r="AC4413" s="20"/>
      <c r="AG4413" s="29"/>
    </row>
    <row r="4414" spans="2:33">
      <c r="B4414" s="29"/>
      <c r="D4414" s="29"/>
      <c r="E4414" s="20"/>
      <c r="F4414" s="20"/>
      <c r="AC4414" s="20"/>
      <c r="AG4414" s="29"/>
    </row>
    <row r="4415" spans="2:33">
      <c r="B4415" s="29"/>
      <c r="D4415" s="29"/>
      <c r="E4415" s="20"/>
      <c r="F4415" s="20"/>
      <c r="AC4415" s="20"/>
      <c r="AG4415" s="29"/>
    </row>
    <row r="4416" spans="2:33">
      <c r="B4416" s="29"/>
      <c r="D4416" s="29"/>
      <c r="E4416" s="20"/>
      <c r="F4416" s="20"/>
      <c r="AC4416" s="20"/>
      <c r="AG4416" s="29"/>
    </row>
    <row r="4417" spans="2:33">
      <c r="B4417" s="29"/>
      <c r="D4417" s="29"/>
      <c r="E4417" s="20"/>
      <c r="F4417" s="20"/>
      <c r="AC4417" s="20"/>
      <c r="AG4417" s="29"/>
    </row>
    <row r="4418" spans="2:33">
      <c r="B4418" s="29"/>
      <c r="D4418" s="29"/>
      <c r="E4418" s="20"/>
      <c r="F4418" s="20"/>
      <c r="AC4418" s="20"/>
      <c r="AG4418" s="29"/>
    </row>
    <row r="4419" spans="2:33">
      <c r="B4419" s="29"/>
      <c r="D4419" s="29"/>
      <c r="E4419" s="20"/>
      <c r="F4419" s="20"/>
      <c r="AC4419" s="20"/>
      <c r="AG4419" s="29"/>
    </row>
    <row r="4420" spans="2:33">
      <c r="B4420" s="29"/>
      <c r="D4420" s="29"/>
      <c r="E4420" s="20"/>
      <c r="F4420" s="20"/>
      <c r="AC4420" s="20"/>
      <c r="AG4420" s="29"/>
    </row>
    <row r="4421" spans="2:33">
      <c r="B4421" s="29"/>
      <c r="D4421" s="29"/>
      <c r="E4421" s="20"/>
      <c r="F4421" s="20"/>
      <c r="AC4421" s="20"/>
      <c r="AG4421" s="29"/>
    </row>
    <row r="4422" spans="2:33">
      <c r="B4422" s="29"/>
      <c r="D4422" s="29"/>
      <c r="E4422" s="20"/>
      <c r="F4422" s="20"/>
      <c r="AC4422" s="20"/>
      <c r="AG4422" s="29"/>
    </row>
    <row r="4423" spans="2:33">
      <c r="B4423" s="29"/>
      <c r="D4423" s="29"/>
      <c r="E4423" s="20"/>
      <c r="F4423" s="20"/>
      <c r="AC4423" s="20"/>
      <c r="AG4423" s="29"/>
    </row>
    <row r="4424" spans="2:33">
      <c r="B4424" s="29"/>
      <c r="D4424" s="29"/>
      <c r="E4424" s="20"/>
      <c r="F4424" s="20"/>
      <c r="AC4424" s="20"/>
      <c r="AG4424" s="29"/>
    </row>
    <row r="4425" spans="2:33">
      <c r="B4425" s="29"/>
      <c r="D4425" s="29"/>
      <c r="E4425" s="20"/>
      <c r="F4425" s="20"/>
      <c r="AC4425" s="20"/>
      <c r="AG4425" s="29"/>
    </row>
    <row r="4426" spans="2:33">
      <c r="B4426" s="29"/>
      <c r="D4426" s="29"/>
      <c r="E4426" s="20"/>
      <c r="F4426" s="20"/>
      <c r="AC4426" s="20"/>
      <c r="AG4426" s="29"/>
    </row>
    <row r="4427" spans="2:33">
      <c r="B4427" s="29"/>
      <c r="D4427" s="29"/>
      <c r="E4427" s="20"/>
      <c r="F4427" s="20"/>
      <c r="AC4427" s="20"/>
      <c r="AG4427" s="29"/>
    </row>
    <row r="4428" spans="2:33">
      <c r="B4428" s="29"/>
      <c r="D4428" s="29"/>
      <c r="E4428" s="20"/>
      <c r="F4428" s="20"/>
      <c r="AC4428" s="20"/>
      <c r="AG4428" s="29"/>
    </row>
    <row r="4429" spans="2:33">
      <c r="B4429" s="29"/>
      <c r="D4429" s="29"/>
      <c r="E4429" s="20"/>
      <c r="F4429" s="20"/>
      <c r="AC4429" s="20"/>
      <c r="AG4429" s="29"/>
    </row>
    <row r="4430" spans="2:33">
      <c r="B4430" s="29"/>
      <c r="D4430" s="29"/>
      <c r="E4430" s="20"/>
      <c r="F4430" s="20"/>
      <c r="AC4430" s="20"/>
      <c r="AG4430" s="29"/>
    </row>
    <row r="4431" spans="2:33">
      <c r="B4431" s="29"/>
      <c r="D4431" s="29"/>
      <c r="E4431" s="20"/>
      <c r="F4431" s="20"/>
      <c r="AC4431" s="20"/>
      <c r="AG4431" s="29"/>
    </row>
    <row r="4432" spans="2:33">
      <c r="B4432" s="29"/>
      <c r="D4432" s="29"/>
      <c r="E4432" s="20"/>
      <c r="F4432" s="20"/>
      <c r="AC4432" s="20"/>
      <c r="AG4432" s="29"/>
    </row>
    <row r="4433" spans="2:33">
      <c r="B4433" s="29"/>
      <c r="D4433" s="29"/>
      <c r="E4433" s="20"/>
      <c r="F4433" s="20"/>
      <c r="AC4433" s="20"/>
      <c r="AG4433" s="29"/>
    </row>
    <row r="4434" spans="2:33">
      <c r="B4434" s="29"/>
      <c r="D4434" s="29"/>
      <c r="E4434" s="20"/>
      <c r="F4434" s="20"/>
      <c r="AC4434" s="20"/>
      <c r="AG4434" s="29"/>
    </row>
    <row r="4435" spans="2:33">
      <c r="B4435" s="29"/>
      <c r="D4435" s="29"/>
      <c r="E4435" s="20"/>
      <c r="F4435" s="20"/>
      <c r="AC4435" s="20"/>
      <c r="AG4435" s="29"/>
    </row>
    <row r="4436" spans="2:33">
      <c r="B4436" s="29"/>
      <c r="D4436" s="29"/>
      <c r="E4436" s="20"/>
      <c r="F4436" s="20"/>
      <c r="AC4436" s="20"/>
      <c r="AG4436" s="29"/>
    </row>
    <row r="4437" spans="2:33">
      <c r="B4437" s="29"/>
      <c r="D4437" s="29"/>
      <c r="E4437" s="20"/>
      <c r="F4437" s="20"/>
      <c r="AC4437" s="20"/>
      <c r="AG4437" s="29"/>
    </row>
    <row r="4438" spans="2:33">
      <c r="B4438" s="29"/>
      <c r="D4438" s="29"/>
      <c r="E4438" s="20"/>
      <c r="F4438" s="20"/>
      <c r="AC4438" s="20"/>
      <c r="AG4438" s="29"/>
    </row>
    <row r="4439" spans="2:33">
      <c r="B4439" s="29"/>
      <c r="D4439" s="29"/>
      <c r="E4439" s="20"/>
      <c r="F4439" s="20"/>
      <c r="AC4439" s="20"/>
      <c r="AG4439" s="29"/>
    </row>
    <row r="4440" spans="2:33">
      <c r="B4440" s="29"/>
      <c r="D4440" s="29"/>
      <c r="E4440" s="20"/>
      <c r="F4440" s="20"/>
      <c r="AC4440" s="20"/>
      <c r="AG4440" s="29"/>
    </row>
    <row r="4441" spans="2:33">
      <c r="B4441" s="29"/>
      <c r="D4441" s="29"/>
      <c r="E4441" s="20"/>
      <c r="F4441" s="20"/>
      <c r="AC4441" s="20"/>
      <c r="AG4441" s="29"/>
    </row>
    <row r="4442" spans="2:33">
      <c r="B4442" s="29"/>
      <c r="D4442" s="29"/>
      <c r="E4442" s="20"/>
      <c r="F4442" s="20"/>
      <c r="AC4442" s="20"/>
      <c r="AG4442" s="29"/>
    </row>
    <row r="4443" spans="2:33">
      <c r="B4443" s="29"/>
      <c r="D4443" s="29"/>
      <c r="E4443" s="20"/>
      <c r="F4443" s="20"/>
      <c r="AC4443" s="20"/>
      <c r="AG4443" s="29"/>
    </row>
    <row r="4444" spans="2:33">
      <c r="B4444" s="29"/>
      <c r="D4444" s="29"/>
      <c r="E4444" s="20"/>
      <c r="F4444" s="20"/>
      <c r="AC4444" s="20"/>
      <c r="AG4444" s="29"/>
    </row>
    <row r="4445" spans="2:33">
      <c r="B4445" s="29"/>
      <c r="D4445" s="29"/>
      <c r="E4445" s="20"/>
      <c r="F4445" s="20"/>
      <c r="AC4445" s="20"/>
      <c r="AG4445" s="29"/>
    </row>
    <row r="4446" spans="2:33">
      <c r="B4446" s="29"/>
      <c r="D4446" s="29"/>
      <c r="E4446" s="20"/>
      <c r="F4446" s="20"/>
      <c r="AC4446" s="20"/>
      <c r="AG4446" s="29"/>
    </row>
    <row r="4447" spans="2:33">
      <c r="B4447" s="29"/>
      <c r="D4447" s="29"/>
      <c r="E4447" s="20"/>
      <c r="F4447" s="20"/>
      <c r="AC4447" s="20"/>
      <c r="AG4447" s="29"/>
    </row>
    <row r="4448" spans="2:33">
      <c r="B4448" s="29"/>
      <c r="D4448" s="29"/>
      <c r="E4448" s="20"/>
      <c r="F4448" s="20"/>
      <c r="AC4448" s="20"/>
      <c r="AG4448" s="29"/>
    </row>
    <row r="4449" spans="2:33">
      <c r="B4449" s="29"/>
      <c r="D4449" s="29"/>
      <c r="E4449" s="20"/>
      <c r="F4449" s="20"/>
      <c r="AC4449" s="20"/>
      <c r="AG4449" s="29"/>
    </row>
    <row r="4450" spans="2:33">
      <c r="B4450" s="29"/>
      <c r="D4450" s="29"/>
      <c r="E4450" s="20"/>
      <c r="F4450" s="20"/>
      <c r="AC4450" s="20"/>
      <c r="AG4450" s="29"/>
    </row>
    <row r="4451" spans="2:33">
      <c r="B4451" s="29"/>
      <c r="D4451" s="29"/>
      <c r="E4451" s="20"/>
      <c r="F4451" s="20"/>
      <c r="AC4451" s="20"/>
      <c r="AG4451" s="29"/>
    </row>
    <row r="4452" spans="2:33">
      <c r="B4452" s="29"/>
      <c r="D4452" s="29"/>
      <c r="E4452" s="20"/>
      <c r="F4452" s="20"/>
      <c r="AC4452" s="20"/>
      <c r="AG4452" s="29"/>
    </row>
    <row r="4453" spans="2:33">
      <c r="B4453" s="29"/>
      <c r="D4453" s="29"/>
      <c r="E4453" s="20"/>
      <c r="F4453" s="20"/>
      <c r="AC4453" s="20"/>
      <c r="AG4453" s="29"/>
    </row>
    <row r="4454" spans="2:33">
      <c r="B4454" s="29"/>
      <c r="D4454" s="29"/>
      <c r="E4454" s="20"/>
      <c r="F4454" s="20"/>
      <c r="AC4454" s="20"/>
      <c r="AG4454" s="29"/>
    </row>
    <row r="4455" spans="2:33">
      <c r="B4455" s="29"/>
      <c r="D4455" s="29"/>
      <c r="E4455" s="20"/>
      <c r="F4455" s="20"/>
      <c r="AC4455" s="20"/>
      <c r="AG4455" s="29"/>
    </row>
    <row r="4456" spans="2:33">
      <c r="B4456" s="29"/>
      <c r="D4456" s="29"/>
      <c r="E4456" s="20"/>
      <c r="F4456" s="20"/>
      <c r="AC4456" s="20"/>
      <c r="AG4456" s="29"/>
    </row>
    <row r="4457" spans="2:33">
      <c r="B4457" s="29"/>
      <c r="D4457" s="29"/>
      <c r="E4457" s="20"/>
      <c r="F4457" s="20"/>
      <c r="AC4457" s="20"/>
      <c r="AG4457" s="29"/>
    </row>
    <row r="4458" spans="2:33">
      <c r="B4458" s="29"/>
      <c r="D4458" s="29"/>
      <c r="E4458" s="20"/>
      <c r="F4458" s="20"/>
      <c r="AC4458" s="20"/>
      <c r="AG4458" s="29"/>
    </row>
    <row r="4459" spans="2:33">
      <c r="B4459" s="29"/>
      <c r="D4459" s="29"/>
      <c r="E4459" s="20"/>
      <c r="F4459" s="20"/>
      <c r="AC4459" s="20"/>
      <c r="AG4459" s="29"/>
    </row>
    <row r="4460" spans="2:33">
      <c r="B4460" s="29"/>
      <c r="D4460" s="29"/>
      <c r="E4460" s="20"/>
      <c r="F4460" s="20"/>
      <c r="AC4460" s="20"/>
      <c r="AG4460" s="29"/>
    </row>
    <row r="4461" spans="2:33">
      <c r="B4461" s="29"/>
      <c r="D4461" s="29"/>
      <c r="E4461" s="20"/>
      <c r="F4461" s="20"/>
      <c r="AC4461" s="20"/>
      <c r="AG4461" s="29"/>
    </row>
    <row r="4462" spans="2:33">
      <c r="B4462" s="29"/>
      <c r="D4462" s="29"/>
      <c r="E4462" s="20"/>
      <c r="F4462" s="20"/>
      <c r="AC4462" s="20"/>
      <c r="AG4462" s="29"/>
    </row>
    <row r="4463" spans="2:33">
      <c r="B4463" s="29"/>
      <c r="D4463" s="29"/>
      <c r="E4463" s="20"/>
      <c r="F4463" s="20"/>
      <c r="AC4463" s="20"/>
      <c r="AG4463" s="29"/>
    </row>
    <row r="4464" spans="2:33">
      <c r="B4464" s="29"/>
      <c r="D4464" s="29"/>
      <c r="E4464" s="20"/>
      <c r="F4464" s="20"/>
      <c r="AC4464" s="20"/>
      <c r="AG4464" s="29"/>
    </row>
    <row r="4465" spans="2:33">
      <c r="B4465" s="29"/>
      <c r="D4465" s="29"/>
      <c r="E4465" s="20"/>
      <c r="F4465" s="20"/>
      <c r="AC4465" s="20"/>
      <c r="AG4465" s="29"/>
    </row>
    <row r="4466" spans="2:33">
      <c r="B4466" s="29"/>
      <c r="D4466" s="29"/>
      <c r="E4466" s="20"/>
      <c r="F4466" s="20"/>
      <c r="AC4466" s="20"/>
      <c r="AG4466" s="29"/>
    </row>
    <row r="4467" spans="2:33">
      <c r="B4467" s="29"/>
      <c r="D4467" s="29"/>
      <c r="E4467" s="20"/>
      <c r="F4467" s="20"/>
      <c r="AC4467" s="20"/>
      <c r="AG4467" s="29"/>
    </row>
    <row r="4468" spans="2:33">
      <c r="B4468" s="29"/>
      <c r="D4468" s="29"/>
      <c r="E4468" s="20"/>
      <c r="F4468" s="20"/>
      <c r="AC4468" s="20"/>
      <c r="AG4468" s="29"/>
    </row>
    <row r="4469" spans="2:33">
      <c r="B4469" s="29"/>
      <c r="D4469" s="29"/>
      <c r="E4469" s="20"/>
      <c r="F4469" s="20"/>
      <c r="AC4469" s="20"/>
      <c r="AG4469" s="29"/>
    </row>
    <row r="4470" spans="2:33">
      <c r="B4470" s="29"/>
      <c r="D4470" s="29"/>
      <c r="E4470" s="20"/>
      <c r="F4470" s="20"/>
      <c r="AC4470" s="20"/>
      <c r="AG4470" s="29"/>
    </row>
    <row r="4471" spans="2:33">
      <c r="B4471" s="29"/>
      <c r="D4471" s="29"/>
      <c r="E4471" s="20"/>
      <c r="F4471" s="20"/>
      <c r="AC4471" s="20"/>
      <c r="AG4471" s="29"/>
    </row>
    <row r="4472" spans="2:33">
      <c r="B4472" s="29"/>
      <c r="D4472" s="29"/>
      <c r="E4472" s="20"/>
      <c r="F4472" s="20"/>
      <c r="AC4472" s="20"/>
      <c r="AG4472" s="29"/>
    </row>
    <row r="4473" spans="2:33">
      <c r="B4473" s="29"/>
      <c r="D4473" s="29"/>
      <c r="E4473" s="20"/>
      <c r="F4473" s="20"/>
      <c r="AC4473" s="20"/>
      <c r="AG4473" s="29"/>
    </row>
    <row r="4474" spans="2:33">
      <c r="B4474" s="29"/>
      <c r="D4474" s="29"/>
      <c r="E4474" s="20"/>
      <c r="F4474" s="20"/>
      <c r="AC4474" s="20"/>
      <c r="AG4474" s="29"/>
    </row>
    <row r="4475" spans="2:33">
      <c r="B4475" s="29"/>
      <c r="D4475" s="29"/>
      <c r="E4475" s="20"/>
      <c r="F4475" s="20"/>
      <c r="AC4475" s="20"/>
      <c r="AG4475" s="29"/>
    </row>
    <row r="4476" spans="2:33">
      <c r="B4476" s="29"/>
      <c r="D4476" s="29"/>
      <c r="E4476" s="20"/>
      <c r="F4476" s="20"/>
      <c r="AC4476" s="20"/>
      <c r="AG4476" s="29"/>
    </row>
    <row r="4477" spans="2:33">
      <c r="B4477" s="29"/>
      <c r="D4477" s="29"/>
      <c r="E4477" s="20"/>
      <c r="F4477" s="20"/>
      <c r="AC4477" s="20"/>
      <c r="AG4477" s="29"/>
    </row>
    <row r="4478" spans="2:33">
      <c r="B4478" s="29"/>
      <c r="D4478" s="29"/>
      <c r="E4478" s="20"/>
      <c r="F4478" s="20"/>
      <c r="AC4478" s="20"/>
      <c r="AG4478" s="29"/>
    </row>
    <row r="4479" spans="2:33">
      <c r="B4479" s="29"/>
      <c r="D4479" s="29"/>
      <c r="E4479" s="20"/>
      <c r="F4479" s="20"/>
      <c r="AC4479" s="20"/>
      <c r="AG4479" s="29"/>
    </row>
    <row r="4480" spans="2:33">
      <c r="B4480" s="29"/>
      <c r="D4480" s="29"/>
      <c r="E4480" s="20"/>
      <c r="F4480" s="20"/>
      <c r="AC4480" s="20"/>
      <c r="AG4480" s="29"/>
    </row>
    <row r="4481" spans="2:33">
      <c r="B4481" s="29"/>
      <c r="D4481" s="29"/>
      <c r="E4481" s="20"/>
      <c r="F4481" s="20"/>
      <c r="AC4481" s="20"/>
      <c r="AG4481" s="29"/>
    </row>
    <row r="4482" spans="2:33">
      <c r="B4482" s="29"/>
      <c r="D4482" s="29"/>
      <c r="E4482" s="20"/>
      <c r="F4482" s="20"/>
      <c r="AC4482" s="20"/>
      <c r="AG4482" s="29"/>
    </row>
    <row r="4483" spans="2:33">
      <c r="B4483" s="29"/>
      <c r="D4483" s="29"/>
      <c r="E4483" s="20"/>
      <c r="F4483" s="20"/>
      <c r="AC4483" s="20"/>
      <c r="AG4483" s="29"/>
    </row>
    <row r="4484" spans="2:33">
      <c r="B4484" s="29"/>
      <c r="D4484" s="29"/>
      <c r="E4484" s="20"/>
      <c r="F4484" s="20"/>
      <c r="AC4484" s="20"/>
      <c r="AG4484" s="29"/>
    </row>
    <row r="4485" spans="2:33">
      <c r="B4485" s="29"/>
      <c r="D4485" s="29"/>
      <c r="E4485" s="20"/>
      <c r="F4485" s="20"/>
      <c r="AC4485" s="20"/>
      <c r="AG4485" s="29"/>
    </row>
    <row r="4486" spans="2:33">
      <c r="B4486" s="29"/>
      <c r="D4486" s="29"/>
      <c r="E4486" s="20"/>
      <c r="F4486" s="20"/>
      <c r="AC4486" s="20"/>
      <c r="AG4486" s="29"/>
    </row>
    <row r="4487" spans="2:33">
      <c r="B4487" s="29"/>
      <c r="D4487" s="29"/>
      <c r="E4487" s="20"/>
      <c r="F4487" s="20"/>
      <c r="AC4487" s="20"/>
      <c r="AG4487" s="29"/>
    </row>
    <row r="4488" spans="2:33">
      <c r="B4488" s="29"/>
      <c r="D4488" s="29"/>
      <c r="E4488" s="20"/>
      <c r="F4488" s="20"/>
      <c r="AC4488" s="20"/>
      <c r="AG4488" s="29"/>
    </row>
    <row r="4489" spans="2:33">
      <c r="B4489" s="29"/>
      <c r="D4489" s="29"/>
      <c r="E4489" s="20"/>
      <c r="F4489" s="20"/>
      <c r="AC4489" s="20"/>
      <c r="AG4489" s="29"/>
    </row>
    <row r="4490" spans="2:33">
      <c r="B4490" s="29"/>
      <c r="D4490" s="29"/>
      <c r="E4490" s="20"/>
      <c r="F4490" s="20"/>
      <c r="AC4490" s="20"/>
      <c r="AG4490" s="29"/>
    </row>
    <row r="4491" spans="2:33">
      <c r="B4491" s="29"/>
      <c r="D4491" s="29"/>
      <c r="E4491" s="20"/>
      <c r="F4491" s="20"/>
      <c r="AC4491" s="20"/>
      <c r="AG4491" s="29"/>
    </row>
    <row r="4492" spans="2:33">
      <c r="B4492" s="29"/>
      <c r="D4492" s="29"/>
      <c r="E4492" s="20"/>
      <c r="F4492" s="20"/>
      <c r="AC4492" s="20"/>
      <c r="AG4492" s="29"/>
    </row>
    <row r="4493" spans="2:33">
      <c r="B4493" s="29"/>
      <c r="D4493" s="29"/>
      <c r="E4493" s="20"/>
      <c r="F4493" s="20"/>
      <c r="AC4493" s="20"/>
      <c r="AG4493" s="29"/>
    </row>
    <row r="4494" spans="2:33">
      <c r="B4494" s="29"/>
      <c r="D4494" s="29"/>
      <c r="E4494" s="20"/>
      <c r="F4494" s="20"/>
      <c r="AC4494" s="20"/>
      <c r="AG4494" s="29"/>
    </row>
    <row r="4495" spans="2:33">
      <c r="B4495" s="29"/>
      <c r="D4495" s="29"/>
      <c r="E4495" s="20"/>
      <c r="F4495" s="20"/>
      <c r="AC4495" s="20"/>
      <c r="AG4495" s="29"/>
    </row>
    <row r="4496" spans="2:33">
      <c r="B4496" s="29"/>
      <c r="D4496" s="29"/>
      <c r="E4496" s="20"/>
      <c r="F4496" s="20"/>
      <c r="AC4496" s="20"/>
      <c r="AG4496" s="29"/>
    </row>
    <row r="4497" spans="2:33">
      <c r="B4497" s="29"/>
      <c r="D4497" s="29"/>
      <c r="E4497" s="20"/>
      <c r="F4497" s="20"/>
      <c r="AC4497" s="20"/>
      <c r="AG4497" s="29"/>
    </row>
    <row r="4498" spans="2:33">
      <c r="B4498" s="29"/>
      <c r="D4498" s="29"/>
      <c r="E4498" s="20"/>
      <c r="F4498" s="20"/>
      <c r="AC4498" s="20"/>
      <c r="AG4498" s="29"/>
    </row>
    <row r="4499" spans="2:33">
      <c r="B4499" s="29"/>
      <c r="D4499" s="29"/>
      <c r="E4499" s="20"/>
      <c r="F4499" s="20"/>
      <c r="AC4499" s="20"/>
      <c r="AG4499" s="29"/>
    </row>
    <row r="4500" spans="2:33">
      <c r="B4500" s="29"/>
      <c r="D4500" s="29"/>
      <c r="E4500" s="20"/>
      <c r="F4500" s="20"/>
      <c r="AC4500" s="20"/>
      <c r="AG4500" s="29"/>
    </row>
    <row r="4501" spans="2:33">
      <c r="B4501" s="29"/>
      <c r="D4501" s="29"/>
      <c r="E4501" s="20"/>
      <c r="F4501" s="20"/>
      <c r="AC4501" s="20"/>
      <c r="AG4501" s="29"/>
    </row>
    <row r="4502" spans="2:33">
      <c r="B4502" s="29"/>
      <c r="D4502" s="29"/>
      <c r="E4502" s="20"/>
      <c r="F4502" s="20"/>
      <c r="AC4502" s="20"/>
      <c r="AG4502" s="29"/>
    </row>
    <row r="4503" spans="2:33">
      <c r="B4503" s="29"/>
      <c r="D4503" s="29"/>
      <c r="E4503" s="20"/>
      <c r="F4503" s="20"/>
      <c r="AC4503" s="20"/>
      <c r="AG4503" s="29"/>
    </row>
    <row r="4504" spans="2:33">
      <c r="B4504" s="29"/>
      <c r="D4504" s="29"/>
      <c r="E4504" s="20"/>
      <c r="F4504" s="20"/>
      <c r="AC4504" s="20"/>
      <c r="AG4504" s="29"/>
    </row>
    <row r="4505" spans="2:33">
      <c r="B4505" s="29"/>
      <c r="D4505" s="29"/>
      <c r="E4505" s="20"/>
      <c r="F4505" s="20"/>
      <c r="AC4505" s="20"/>
      <c r="AG4505" s="29"/>
    </row>
    <row r="4506" spans="2:33">
      <c r="B4506" s="29"/>
      <c r="D4506" s="29"/>
      <c r="E4506" s="20"/>
      <c r="F4506" s="20"/>
      <c r="AC4506" s="20"/>
      <c r="AG4506" s="29"/>
    </row>
    <row r="4507" spans="2:33">
      <c r="B4507" s="29"/>
      <c r="D4507" s="29"/>
      <c r="E4507" s="20"/>
      <c r="F4507" s="20"/>
      <c r="AC4507" s="20"/>
      <c r="AG4507" s="29"/>
    </row>
    <row r="4508" spans="2:33">
      <c r="B4508" s="29"/>
      <c r="D4508" s="29"/>
      <c r="E4508" s="20"/>
      <c r="F4508" s="20"/>
      <c r="AC4508" s="20"/>
      <c r="AG4508" s="29"/>
    </row>
    <row r="4509" spans="2:33">
      <c r="B4509" s="29"/>
      <c r="D4509" s="29"/>
      <c r="E4509" s="20"/>
      <c r="F4509" s="20"/>
      <c r="AC4509" s="20"/>
      <c r="AG4509" s="29"/>
    </row>
    <row r="4510" spans="2:33">
      <c r="B4510" s="29"/>
      <c r="D4510" s="29"/>
      <c r="E4510" s="20"/>
      <c r="F4510" s="20"/>
      <c r="AC4510" s="20"/>
      <c r="AG4510" s="29"/>
    </row>
    <row r="4511" spans="2:33">
      <c r="B4511" s="29"/>
      <c r="D4511" s="29"/>
      <c r="E4511" s="20"/>
      <c r="F4511" s="20"/>
      <c r="AC4511" s="20"/>
      <c r="AG4511" s="29"/>
    </row>
    <row r="4512" spans="2:33">
      <c r="B4512" s="29"/>
      <c r="D4512" s="29"/>
      <c r="E4512" s="20"/>
      <c r="F4512" s="20"/>
      <c r="AC4512" s="20"/>
      <c r="AG4512" s="29"/>
    </row>
    <row r="4513" spans="2:33">
      <c r="B4513" s="29"/>
      <c r="D4513" s="29"/>
      <c r="E4513" s="20"/>
      <c r="F4513" s="20"/>
      <c r="AC4513" s="20"/>
      <c r="AG4513" s="29"/>
    </row>
    <row r="4514" spans="2:33">
      <c r="B4514" s="29"/>
      <c r="D4514" s="29"/>
      <c r="E4514" s="20"/>
      <c r="F4514" s="20"/>
      <c r="AC4514" s="20"/>
      <c r="AG4514" s="29"/>
    </row>
    <row r="4515" spans="2:33">
      <c r="B4515" s="29"/>
      <c r="D4515" s="29"/>
      <c r="E4515" s="20"/>
      <c r="F4515" s="20"/>
      <c r="AC4515" s="20"/>
      <c r="AG4515" s="29"/>
    </row>
    <row r="4516" spans="2:33">
      <c r="B4516" s="29"/>
      <c r="D4516" s="29"/>
      <c r="E4516" s="20"/>
      <c r="F4516" s="20"/>
      <c r="AC4516" s="20"/>
      <c r="AG4516" s="29"/>
    </row>
    <row r="4517" spans="2:33">
      <c r="B4517" s="29"/>
      <c r="D4517" s="29"/>
      <c r="E4517" s="20"/>
      <c r="F4517" s="20"/>
      <c r="AC4517" s="20"/>
      <c r="AG4517" s="29"/>
    </row>
    <row r="4518" spans="2:33">
      <c r="B4518" s="29"/>
      <c r="D4518" s="29"/>
      <c r="E4518" s="20"/>
      <c r="F4518" s="20"/>
      <c r="AC4518" s="20"/>
      <c r="AG4518" s="29"/>
    </row>
    <row r="4519" spans="2:33">
      <c r="B4519" s="29"/>
      <c r="D4519" s="29"/>
      <c r="E4519" s="20"/>
      <c r="F4519" s="20"/>
      <c r="AC4519" s="20"/>
      <c r="AG4519" s="29"/>
    </row>
    <row r="4520" spans="2:33">
      <c r="B4520" s="29"/>
      <c r="D4520" s="29"/>
      <c r="E4520" s="20"/>
      <c r="F4520" s="20"/>
      <c r="AC4520" s="20"/>
      <c r="AG4520" s="29"/>
    </row>
    <row r="4521" spans="2:33">
      <c r="B4521" s="29"/>
      <c r="D4521" s="29"/>
      <c r="E4521" s="20"/>
      <c r="F4521" s="20"/>
      <c r="AC4521" s="20"/>
      <c r="AG4521" s="29"/>
    </row>
    <row r="4522" spans="2:33">
      <c r="B4522" s="29"/>
      <c r="D4522" s="29"/>
      <c r="E4522" s="20"/>
      <c r="F4522" s="20"/>
      <c r="AC4522" s="20"/>
      <c r="AG4522" s="29"/>
    </row>
    <row r="4523" spans="2:33">
      <c r="B4523" s="29"/>
      <c r="D4523" s="29"/>
      <c r="E4523" s="20"/>
      <c r="F4523" s="20"/>
      <c r="AC4523" s="20"/>
      <c r="AG4523" s="29"/>
    </row>
    <row r="4524" spans="2:33">
      <c r="B4524" s="29"/>
      <c r="D4524" s="29"/>
      <c r="E4524" s="20"/>
      <c r="F4524" s="20"/>
      <c r="AC4524" s="20"/>
      <c r="AG4524" s="29"/>
    </row>
    <row r="4525" spans="2:33">
      <c r="B4525" s="29"/>
      <c r="D4525" s="29"/>
      <c r="E4525" s="20"/>
      <c r="F4525" s="20"/>
      <c r="AC4525" s="20"/>
      <c r="AG4525" s="29"/>
    </row>
    <row r="4526" spans="2:33">
      <c r="B4526" s="29"/>
      <c r="D4526" s="29"/>
      <c r="E4526" s="20"/>
      <c r="F4526" s="20"/>
      <c r="AC4526" s="20"/>
      <c r="AG4526" s="29"/>
    </row>
    <row r="4527" spans="2:33">
      <c r="B4527" s="29"/>
      <c r="D4527" s="29"/>
      <c r="E4527" s="20"/>
      <c r="F4527" s="20"/>
      <c r="AC4527" s="20"/>
      <c r="AG4527" s="29"/>
    </row>
    <row r="4528" spans="2:33">
      <c r="B4528" s="29"/>
      <c r="D4528" s="29"/>
      <c r="E4528" s="20"/>
      <c r="F4528" s="20"/>
      <c r="AC4528" s="20"/>
      <c r="AG4528" s="29"/>
    </row>
    <row r="4529" spans="2:33">
      <c r="B4529" s="29"/>
      <c r="D4529" s="29"/>
      <c r="E4529" s="20"/>
      <c r="F4529" s="20"/>
      <c r="AC4529" s="20"/>
      <c r="AG4529" s="29"/>
    </row>
    <row r="4530" spans="2:33">
      <c r="B4530" s="29"/>
      <c r="D4530" s="29"/>
      <c r="E4530" s="20"/>
      <c r="F4530" s="20"/>
      <c r="AC4530" s="20"/>
      <c r="AG4530" s="29"/>
    </row>
    <row r="4531" spans="2:33">
      <c r="B4531" s="29"/>
      <c r="D4531" s="29"/>
      <c r="E4531" s="20"/>
      <c r="F4531" s="20"/>
      <c r="AC4531" s="20"/>
      <c r="AG4531" s="29"/>
    </row>
    <row r="4532" spans="2:33">
      <c r="B4532" s="29"/>
      <c r="D4532" s="29"/>
      <c r="E4532" s="20"/>
      <c r="F4532" s="20"/>
      <c r="AC4532" s="20"/>
      <c r="AG4532" s="29"/>
    </row>
    <row r="4533" spans="2:33">
      <c r="B4533" s="29"/>
      <c r="D4533" s="29"/>
      <c r="E4533" s="20"/>
      <c r="F4533" s="20"/>
      <c r="AC4533" s="20"/>
      <c r="AG4533" s="29"/>
    </row>
    <row r="4534" spans="2:33">
      <c r="B4534" s="29"/>
      <c r="D4534" s="29"/>
      <c r="E4534" s="20"/>
      <c r="F4534" s="20"/>
      <c r="AC4534" s="20"/>
      <c r="AG4534" s="29"/>
    </row>
    <row r="4535" spans="2:33">
      <c r="B4535" s="29"/>
      <c r="D4535" s="29"/>
      <c r="E4535" s="20"/>
      <c r="F4535" s="20"/>
      <c r="AC4535" s="20"/>
      <c r="AG4535" s="29"/>
    </row>
    <row r="4536" spans="2:33">
      <c r="B4536" s="29"/>
      <c r="D4536" s="29"/>
      <c r="E4536" s="20"/>
      <c r="F4536" s="20"/>
      <c r="AC4536" s="20"/>
      <c r="AG4536" s="29"/>
    </row>
    <row r="4537" spans="2:33">
      <c r="B4537" s="29"/>
      <c r="D4537" s="29"/>
      <c r="E4537" s="20"/>
      <c r="F4537" s="20"/>
      <c r="AC4537" s="20"/>
      <c r="AG4537" s="29"/>
    </row>
    <row r="4538" spans="2:33">
      <c r="B4538" s="29"/>
      <c r="D4538" s="29"/>
      <c r="E4538" s="20"/>
      <c r="F4538" s="20"/>
      <c r="AC4538" s="20"/>
      <c r="AG4538" s="29"/>
    </row>
    <row r="4539" spans="2:33">
      <c r="B4539" s="29"/>
      <c r="D4539" s="29"/>
      <c r="E4539" s="20"/>
      <c r="F4539" s="20"/>
      <c r="AC4539" s="20"/>
      <c r="AG4539" s="29"/>
    </row>
    <row r="4540" spans="2:33">
      <c r="B4540" s="29"/>
      <c r="D4540" s="29"/>
      <c r="E4540" s="20"/>
      <c r="F4540" s="20"/>
      <c r="AC4540" s="20"/>
      <c r="AG4540" s="29"/>
    </row>
    <row r="4541" spans="2:33">
      <c r="B4541" s="29"/>
      <c r="D4541" s="29"/>
      <c r="E4541" s="20"/>
      <c r="F4541" s="20"/>
      <c r="AC4541" s="20"/>
      <c r="AG4541" s="29"/>
    </row>
    <row r="4542" spans="2:33">
      <c r="B4542" s="29"/>
      <c r="D4542" s="29"/>
      <c r="E4542" s="20"/>
      <c r="F4542" s="20"/>
      <c r="AC4542" s="20"/>
      <c r="AG4542" s="29"/>
    </row>
    <row r="4543" spans="2:33">
      <c r="B4543" s="29"/>
      <c r="D4543" s="29"/>
      <c r="E4543" s="20"/>
      <c r="F4543" s="20"/>
      <c r="AC4543" s="20"/>
      <c r="AG4543" s="29"/>
    </row>
    <row r="4544" spans="2:33">
      <c r="B4544" s="29"/>
      <c r="D4544" s="29"/>
      <c r="E4544" s="20"/>
      <c r="F4544" s="20"/>
      <c r="AC4544" s="20"/>
      <c r="AG4544" s="29"/>
    </row>
    <row r="4545" spans="2:33">
      <c r="B4545" s="29"/>
      <c r="D4545" s="29"/>
      <c r="E4545" s="20"/>
      <c r="F4545" s="20"/>
      <c r="AC4545" s="20"/>
      <c r="AG4545" s="29"/>
    </row>
    <row r="4546" spans="2:33">
      <c r="B4546" s="29"/>
      <c r="D4546" s="29"/>
      <c r="E4546" s="20"/>
      <c r="F4546" s="20"/>
      <c r="AC4546" s="20"/>
      <c r="AG4546" s="29"/>
    </row>
    <row r="4547" spans="2:33">
      <c r="B4547" s="29"/>
      <c r="D4547" s="29"/>
      <c r="E4547" s="20"/>
      <c r="F4547" s="20"/>
      <c r="AC4547" s="20"/>
      <c r="AG4547" s="29"/>
    </row>
    <row r="4548" spans="2:33">
      <c r="B4548" s="29"/>
      <c r="D4548" s="29"/>
      <c r="E4548" s="20"/>
      <c r="F4548" s="20"/>
      <c r="AC4548" s="20"/>
      <c r="AG4548" s="29"/>
    </row>
    <row r="4549" spans="2:33">
      <c r="B4549" s="29"/>
      <c r="D4549" s="29"/>
      <c r="E4549" s="20"/>
      <c r="F4549" s="20"/>
      <c r="AC4549" s="20"/>
      <c r="AG4549" s="29"/>
    </row>
    <row r="4550" spans="2:33">
      <c r="B4550" s="29"/>
      <c r="D4550" s="29"/>
      <c r="E4550" s="20"/>
      <c r="F4550" s="20"/>
      <c r="AC4550" s="20"/>
      <c r="AG4550" s="29"/>
    </row>
    <row r="4551" spans="2:33">
      <c r="B4551" s="29"/>
      <c r="D4551" s="29"/>
      <c r="E4551" s="20"/>
      <c r="F4551" s="20"/>
      <c r="AC4551" s="20"/>
      <c r="AG4551" s="29"/>
    </row>
    <row r="4552" spans="2:33">
      <c r="B4552" s="29"/>
      <c r="D4552" s="29"/>
      <c r="E4552" s="20"/>
      <c r="F4552" s="20"/>
      <c r="AC4552" s="20"/>
      <c r="AG4552" s="29"/>
    </row>
    <row r="4553" spans="2:33">
      <c r="B4553" s="29"/>
      <c r="D4553" s="29"/>
      <c r="E4553" s="20"/>
      <c r="F4553" s="20"/>
      <c r="AC4553" s="20"/>
      <c r="AG4553" s="29"/>
    </row>
    <row r="4554" spans="2:33">
      <c r="B4554" s="29"/>
      <c r="D4554" s="29"/>
      <c r="E4554" s="20"/>
      <c r="F4554" s="20"/>
      <c r="AC4554" s="20"/>
      <c r="AG4554" s="29"/>
    </row>
    <row r="4555" spans="2:33">
      <c r="B4555" s="29"/>
      <c r="D4555" s="29"/>
      <c r="E4555" s="20"/>
      <c r="F4555" s="20"/>
      <c r="AC4555" s="20"/>
      <c r="AG4555" s="29"/>
    </row>
    <row r="4556" spans="2:33">
      <c r="B4556" s="29"/>
      <c r="D4556" s="29"/>
      <c r="E4556" s="20"/>
      <c r="F4556" s="20"/>
      <c r="AC4556" s="20"/>
      <c r="AG4556" s="29"/>
    </row>
    <row r="4557" spans="2:33">
      <c r="B4557" s="29"/>
      <c r="D4557" s="29"/>
      <c r="E4557" s="20"/>
      <c r="F4557" s="20"/>
      <c r="AC4557" s="20"/>
      <c r="AG4557" s="29"/>
    </row>
    <row r="4558" spans="2:33">
      <c r="B4558" s="29"/>
      <c r="D4558" s="29"/>
      <c r="E4558" s="20"/>
      <c r="F4558" s="20"/>
      <c r="AC4558" s="20"/>
      <c r="AG4558" s="29"/>
    </row>
    <row r="4559" spans="2:33">
      <c r="B4559" s="29"/>
      <c r="D4559" s="29"/>
      <c r="E4559" s="20"/>
      <c r="F4559" s="20"/>
      <c r="AC4559" s="20"/>
      <c r="AG4559" s="29"/>
    </row>
    <row r="4560" spans="2:33">
      <c r="B4560" s="29"/>
      <c r="D4560" s="29"/>
      <c r="E4560" s="20"/>
      <c r="F4560" s="20"/>
      <c r="AC4560" s="20"/>
      <c r="AG4560" s="29"/>
    </row>
    <row r="4561" spans="2:33">
      <c r="B4561" s="29"/>
      <c r="D4561" s="29"/>
      <c r="E4561" s="20"/>
      <c r="F4561" s="20"/>
      <c r="AC4561" s="20"/>
      <c r="AG4561" s="29"/>
    </row>
    <row r="4562" spans="2:33">
      <c r="B4562" s="29"/>
      <c r="D4562" s="29"/>
      <c r="E4562" s="20"/>
      <c r="F4562" s="20"/>
      <c r="AC4562" s="20"/>
      <c r="AG4562" s="29"/>
    </row>
    <row r="4563" spans="2:33">
      <c r="B4563" s="29"/>
      <c r="D4563" s="29"/>
      <c r="E4563" s="20"/>
      <c r="F4563" s="20"/>
      <c r="AC4563" s="20"/>
      <c r="AG4563" s="29"/>
    </row>
    <row r="4564" spans="2:33">
      <c r="B4564" s="29"/>
      <c r="D4564" s="29"/>
      <c r="E4564" s="20"/>
      <c r="F4564" s="20"/>
      <c r="AC4564" s="20"/>
      <c r="AG4564" s="29"/>
    </row>
    <row r="4565" spans="2:33">
      <c r="B4565" s="29"/>
      <c r="D4565" s="29"/>
      <c r="E4565" s="20"/>
      <c r="F4565" s="20"/>
      <c r="AC4565" s="20"/>
      <c r="AG4565" s="29"/>
    </row>
    <row r="4566" spans="2:33">
      <c r="B4566" s="29"/>
      <c r="D4566" s="29"/>
      <c r="E4566" s="20"/>
      <c r="F4566" s="20"/>
      <c r="AC4566" s="20"/>
      <c r="AG4566" s="29"/>
    </row>
    <row r="4567" spans="2:33">
      <c r="B4567" s="29"/>
      <c r="D4567" s="29"/>
      <c r="E4567" s="20"/>
      <c r="F4567" s="20"/>
      <c r="AC4567" s="20"/>
      <c r="AG4567" s="29"/>
    </row>
    <row r="4568" spans="2:33">
      <c r="B4568" s="29"/>
      <c r="D4568" s="29"/>
      <c r="E4568" s="20"/>
      <c r="F4568" s="20"/>
      <c r="AC4568" s="20"/>
      <c r="AG4568" s="29"/>
    </row>
    <row r="4569" spans="2:33">
      <c r="B4569" s="29"/>
      <c r="D4569" s="29"/>
      <c r="E4569" s="20"/>
      <c r="F4569" s="20"/>
      <c r="AC4569" s="20"/>
      <c r="AG4569" s="29"/>
    </row>
    <row r="4570" spans="2:33">
      <c r="B4570" s="29"/>
      <c r="D4570" s="29"/>
      <c r="E4570" s="20"/>
      <c r="F4570" s="20"/>
      <c r="AC4570" s="20"/>
      <c r="AG4570" s="29"/>
    </row>
    <row r="4571" spans="2:33">
      <c r="B4571" s="29"/>
      <c r="D4571" s="29"/>
      <c r="E4571" s="20"/>
      <c r="F4571" s="20"/>
      <c r="AC4571" s="20"/>
      <c r="AG4571" s="29"/>
    </row>
    <row r="4572" spans="2:33">
      <c r="B4572" s="29"/>
      <c r="D4572" s="29"/>
      <c r="E4572" s="20"/>
      <c r="F4572" s="20"/>
      <c r="AC4572" s="20"/>
      <c r="AG4572" s="29"/>
    </row>
    <row r="4573" spans="2:33">
      <c r="B4573" s="29"/>
      <c r="D4573" s="29"/>
      <c r="E4573" s="20"/>
      <c r="F4573" s="20"/>
      <c r="AC4573" s="20"/>
      <c r="AG4573" s="29"/>
    </row>
    <row r="4574" spans="2:33">
      <c r="B4574" s="29"/>
      <c r="D4574" s="29"/>
      <c r="E4574" s="20"/>
      <c r="F4574" s="20"/>
      <c r="AC4574" s="20"/>
      <c r="AG4574" s="29"/>
    </row>
    <row r="4575" spans="2:33">
      <c r="B4575" s="29"/>
      <c r="D4575" s="29"/>
      <c r="E4575" s="20"/>
      <c r="F4575" s="20"/>
      <c r="AC4575" s="20"/>
      <c r="AG4575" s="29"/>
    </row>
    <row r="4576" spans="2:33">
      <c r="B4576" s="29"/>
      <c r="D4576" s="29"/>
      <c r="E4576" s="20"/>
      <c r="F4576" s="20"/>
      <c r="AC4576" s="20"/>
      <c r="AG4576" s="29"/>
    </row>
    <row r="4577" spans="2:33">
      <c r="B4577" s="29"/>
      <c r="D4577" s="29"/>
      <c r="E4577" s="20"/>
      <c r="F4577" s="20"/>
      <c r="AC4577" s="20"/>
      <c r="AG4577" s="29"/>
    </row>
    <row r="4578" spans="2:33">
      <c r="B4578" s="29"/>
      <c r="D4578" s="29"/>
      <c r="E4578" s="20"/>
      <c r="F4578" s="20"/>
      <c r="AC4578" s="20"/>
      <c r="AG4578" s="29"/>
    </row>
    <row r="4579" spans="2:33">
      <c r="B4579" s="29"/>
      <c r="D4579" s="29"/>
      <c r="E4579" s="20"/>
      <c r="F4579" s="20"/>
      <c r="AC4579" s="20"/>
      <c r="AG4579" s="29"/>
    </row>
    <row r="4580" spans="2:33">
      <c r="B4580" s="29"/>
      <c r="D4580" s="29"/>
      <c r="E4580" s="20"/>
      <c r="F4580" s="20"/>
      <c r="AC4580" s="20"/>
      <c r="AG4580" s="29"/>
    </row>
    <row r="4581" spans="2:33">
      <c r="B4581" s="29"/>
      <c r="D4581" s="29"/>
      <c r="E4581" s="20"/>
      <c r="F4581" s="20"/>
      <c r="AC4581" s="20"/>
      <c r="AG4581" s="29"/>
    </row>
    <row r="4582" spans="2:33">
      <c r="B4582" s="29"/>
      <c r="D4582" s="29"/>
      <c r="E4582" s="20"/>
      <c r="F4582" s="20"/>
      <c r="AC4582" s="20"/>
      <c r="AG4582" s="29"/>
    </row>
    <row r="4583" spans="2:33">
      <c r="B4583" s="29"/>
      <c r="D4583" s="29"/>
      <c r="E4583" s="20"/>
      <c r="F4583" s="20"/>
      <c r="AC4583" s="20"/>
      <c r="AG4583" s="29"/>
    </row>
    <row r="4584" spans="2:33">
      <c r="B4584" s="29"/>
      <c r="D4584" s="29"/>
      <c r="E4584" s="20"/>
      <c r="F4584" s="20"/>
      <c r="AC4584" s="20"/>
      <c r="AG4584" s="29"/>
    </row>
    <row r="4585" spans="2:33">
      <c r="B4585" s="29"/>
      <c r="D4585" s="29"/>
      <c r="E4585" s="20"/>
      <c r="F4585" s="20"/>
      <c r="AC4585" s="20"/>
      <c r="AG4585" s="29"/>
    </row>
    <row r="4586" spans="2:33">
      <c r="B4586" s="29"/>
      <c r="D4586" s="29"/>
      <c r="E4586" s="20"/>
      <c r="F4586" s="20"/>
      <c r="AC4586" s="20"/>
      <c r="AG4586" s="29"/>
    </row>
    <row r="4587" spans="2:33">
      <c r="B4587" s="29"/>
      <c r="D4587" s="29"/>
      <c r="E4587" s="20"/>
      <c r="F4587" s="20"/>
      <c r="AC4587" s="20"/>
      <c r="AG4587" s="29"/>
    </row>
    <row r="4588" spans="2:33">
      <c r="B4588" s="29"/>
      <c r="D4588" s="29"/>
      <c r="E4588" s="20"/>
      <c r="F4588" s="20"/>
      <c r="AC4588" s="20"/>
      <c r="AG4588" s="29"/>
    </row>
    <row r="4589" spans="2:33">
      <c r="B4589" s="29"/>
      <c r="D4589" s="29"/>
      <c r="E4589" s="20"/>
      <c r="F4589" s="20"/>
      <c r="AC4589" s="20"/>
      <c r="AG4589" s="29"/>
    </row>
    <row r="4590" spans="2:33">
      <c r="B4590" s="29"/>
      <c r="D4590" s="29"/>
      <c r="E4590" s="20"/>
      <c r="F4590" s="20"/>
      <c r="AC4590" s="20"/>
      <c r="AG4590" s="29"/>
    </row>
    <row r="4591" spans="2:33">
      <c r="B4591" s="29"/>
      <c r="D4591" s="29"/>
      <c r="E4591" s="20"/>
      <c r="F4591" s="20"/>
      <c r="AC4591" s="20"/>
      <c r="AG4591" s="29"/>
    </row>
    <row r="4592" spans="2:33">
      <c r="B4592" s="29"/>
      <c r="D4592" s="29"/>
      <c r="E4592" s="20"/>
      <c r="F4592" s="20"/>
      <c r="AC4592" s="20"/>
      <c r="AG4592" s="29"/>
    </row>
    <row r="4593" spans="2:33">
      <c r="B4593" s="29"/>
      <c r="D4593" s="29"/>
      <c r="E4593" s="20"/>
      <c r="F4593" s="20"/>
      <c r="AC4593" s="20"/>
      <c r="AG4593" s="29"/>
    </row>
    <row r="4594" spans="2:33">
      <c r="B4594" s="29"/>
      <c r="D4594" s="29"/>
      <c r="E4594" s="20"/>
      <c r="F4594" s="20"/>
      <c r="AC4594" s="20"/>
      <c r="AG4594" s="29"/>
    </row>
    <row r="4595" spans="2:33">
      <c r="B4595" s="29"/>
      <c r="D4595" s="29"/>
      <c r="E4595" s="20"/>
      <c r="F4595" s="20"/>
      <c r="AC4595" s="20"/>
      <c r="AG4595" s="29"/>
    </row>
    <row r="4596" spans="2:33">
      <c r="B4596" s="29"/>
      <c r="D4596" s="29"/>
      <c r="E4596" s="20"/>
      <c r="F4596" s="20"/>
      <c r="AC4596" s="20"/>
      <c r="AG4596" s="29"/>
    </row>
    <row r="4597" spans="2:33">
      <c r="B4597" s="29"/>
      <c r="D4597" s="29"/>
      <c r="E4597" s="20"/>
      <c r="F4597" s="20"/>
      <c r="AC4597" s="20"/>
      <c r="AG4597" s="29"/>
    </row>
    <row r="4598" spans="2:33">
      <c r="B4598" s="29"/>
      <c r="D4598" s="29"/>
      <c r="E4598" s="20"/>
      <c r="F4598" s="20"/>
      <c r="AC4598" s="20"/>
      <c r="AG4598" s="29"/>
    </row>
    <row r="4599" spans="2:33">
      <c r="B4599" s="29"/>
      <c r="D4599" s="29"/>
      <c r="E4599" s="20"/>
      <c r="F4599" s="20"/>
      <c r="AC4599" s="20"/>
      <c r="AG4599" s="29"/>
    </row>
    <row r="4600" spans="2:33">
      <c r="B4600" s="29"/>
      <c r="D4600" s="29"/>
      <c r="E4600" s="20"/>
      <c r="F4600" s="20"/>
      <c r="AC4600" s="20"/>
      <c r="AG4600" s="29"/>
    </row>
    <row r="4601" spans="2:33">
      <c r="B4601" s="29"/>
      <c r="D4601" s="29"/>
      <c r="E4601" s="20"/>
      <c r="F4601" s="20"/>
      <c r="AC4601" s="20"/>
      <c r="AG4601" s="29"/>
    </row>
    <row r="4602" spans="2:33">
      <c r="B4602" s="29"/>
      <c r="D4602" s="29"/>
      <c r="E4602" s="20"/>
      <c r="F4602" s="20"/>
      <c r="AC4602" s="20"/>
      <c r="AG4602" s="29"/>
    </row>
    <row r="4603" spans="2:33">
      <c r="B4603" s="29"/>
      <c r="D4603" s="29"/>
      <c r="E4603" s="20"/>
      <c r="F4603" s="20"/>
      <c r="AC4603" s="20"/>
      <c r="AG4603" s="29"/>
    </row>
    <row r="4604" spans="2:33">
      <c r="B4604" s="29"/>
      <c r="D4604" s="29"/>
      <c r="E4604" s="20"/>
      <c r="F4604" s="20"/>
      <c r="AC4604" s="20"/>
      <c r="AG4604" s="29"/>
    </row>
    <row r="4605" spans="2:33">
      <c r="B4605" s="29"/>
      <c r="D4605" s="29"/>
      <c r="E4605" s="20"/>
      <c r="F4605" s="20"/>
      <c r="AC4605" s="20"/>
      <c r="AG4605" s="29"/>
    </row>
    <row r="4606" spans="2:33">
      <c r="B4606" s="29"/>
      <c r="D4606" s="29"/>
      <c r="E4606" s="20"/>
      <c r="F4606" s="20"/>
      <c r="AC4606" s="20"/>
      <c r="AG4606" s="29"/>
    </row>
    <row r="4607" spans="2:33">
      <c r="B4607" s="29"/>
      <c r="D4607" s="29"/>
      <c r="E4607" s="20"/>
      <c r="F4607" s="20"/>
      <c r="AC4607" s="20"/>
      <c r="AG4607" s="29"/>
    </row>
    <row r="4608" spans="2:33">
      <c r="B4608" s="29"/>
      <c r="D4608" s="29"/>
      <c r="E4608" s="20"/>
      <c r="F4608" s="20"/>
      <c r="AC4608" s="20"/>
      <c r="AG4608" s="29"/>
    </row>
    <row r="4609" spans="2:33">
      <c r="B4609" s="29"/>
      <c r="D4609" s="29"/>
      <c r="E4609" s="20"/>
      <c r="F4609" s="20"/>
      <c r="AC4609" s="20"/>
      <c r="AG4609" s="29"/>
    </row>
    <row r="4610" spans="2:33">
      <c r="B4610" s="29"/>
      <c r="D4610" s="29"/>
      <c r="E4610" s="20"/>
      <c r="F4610" s="20"/>
      <c r="AC4610" s="20"/>
      <c r="AG4610" s="29"/>
    </row>
    <row r="4611" spans="2:33">
      <c r="B4611" s="29"/>
      <c r="D4611" s="29"/>
      <c r="E4611" s="20"/>
      <c r="F4611" s="20"/>
      <c r="AC4611" s="20"/>
      <c r="AG4611" s="29"/>
    </row>
    <row r="4612" spans="2:33">
      <c r="B4612" s="29"/>
      <c r="D4612" s="29"/>
      <c r="E4612" s="20"/>
      <c r="F4612" s="20"/>
      <c r="AC4612" s="20"/>
      <c r="AG4612" s="29"/>
    </row>
    <row r="4613" spans="2:33">
      <c r="B4613" s="29"/>
      <c r="D4613" s="29"/>
      <c r="E4613" s="20"/>
      <c r="F4613" s="20"/>
      <c r="AC4613" s="20"/>
      <c r="AG4613" s="29"/>
    </row>
    <row r="4614" spans="2:33">
      <c r="B4614" s="29"/>
      <c r="D4614" s="29"/>
      <c r="E4614" s="20"/>
      <c r="F4614" s="20"/>
      <c r="AC4614" s="20"/>
      <c r="AG4614" s="29"/>
    </row>
    <row r="4615" spans="2:33">
      <c r="B4615" s="29"/>
      <c r="D4615" s="29"/>
      <c r="E4615" s="20"/>
      <c r="F4615" s="20"/>
      <c r="AC4615" s="20"/>
      <c r="AG4615" s="29"/>
    </row>
    <row r="4616" spans="2:33">
      <c r="B4616" s="29"/>
      <c r="D4616" s="29"/>
      <c r="E4616" s="20"/>
      <c r="F4616" s="20"/>
      <c r="AC4616" s="20"/>
      <c r="AG4616" s="29"/>
    </row>
    <row r="4617" spans="2:33">
      <c r="B4617" s="29"/>
      <c r="D4617" s="29"/>
      <c r="E4617" s="20"/>
      <c r="F4617" s="20"/>
      <c r="AC4617" s="20"/>
      <c r="AG4617" s="29"/>
    </row>
    <row r="4618" spans="2:33">
      <c r="B4618" s="29"/>
      <c r="D4618" s="29"/>
      <c r="E4618" s="20"/>
      <c r="F4618" s="20"/>
      <c r="AC4618" s="20"/>
      <c r="AG4618" s="29"/>
    </row>
    <row r="4619" spans="2:33">
      <c r="B4619" s="29"/>
      <c r="D4619" s="29"/>
      <c r="E4619" s="20"/>
      <c r="F4619" s="20"/>
      <c r="AC4619" s="20"/>
      <c r="AG4619" s="29"/>
    </row>
    <row r="4620" spans="2:33">
      <c r="B4620" s="29"/>
      <c r="D4620" s="29"/>
      <c r="E4620" s="20"/>
      <c r="F4620" s="20"/>
      <c r="AC4620" s="20"/>
      <c r="AG4620" s="29"/>
    </row>
    <row r="4621" spans="2:33">
      <c r="B4621" s="29"/>
      <c r="D4621" s="29"/>
      <c r="E4621" s="20"/>
      <c r="F4621" s="20"/>
      <c r="AC4621" s="20"/>
      <c r="AG4621" s="29"/>
    </row>
    <row r="4622" spans="2:33">
      <c r="B4622" s="29"/>
      <c r="D4622" s="29"/>
      <c r="E4622" s="20"/>
      <c r="F4622" s="20"/>
      <c r="AC4622" s="20"/>
      <c r="AG4622" s="29"/>
    </row>
    <row r="4623" spans="2:33">
      <c r="B4623" s="29"/>
      <c r="D4623" s="29"/>
      <c r="E4623" s="20"/>
      <c r="F4623" s="20"/>
      <c r="AC4623" s="20"/>
      <c r="AG4623" s="29"/>
    </row>
    <row r="4624" spans="2:33">
      <c r="B4624" s="29"/>
      <c r="D4624" s="29"/>
      <c r="E4624" s="20"/>
      <c r="F4624" s="20"/>
      <c r="AC4624" s="20"/>
      <c r="AG4624" s="29"/>
    </row>
    <row r="4625" spans="2:33">
      <c r="B4625" s="29"/>
      <c r="D4625" s="29"/>
      <c r="E4625" s="20"/>
      <c r="F4625" s="20"/>
      <c r="AC4625" s="20"/>
      <c r="AG4625" s="29"/>
    </row>
    <row r="4626" spans="2:33">
      <c r="B4626" s="29"/>
      <c r="D4626" s="29"/>
      <c r="E4626" s="20"/>
      <c r="F4626" s="20"/>
      <c r="AC4626" s="20"/>
      <c r="AG4626" s="29"/>
    </row>
    <row r="4627" spans="2:33">
      <c r="B4627" s="29"/>
      <c r="D4627" s="29"/>
      <c r="E4627" s="20"/>
      <c r="F4627" s="20"/>
      <c r="AC4627" s="20"/>
      <c r="AG4627" s="29"/>
    </row>
    <row r="4628" spans="2:33">
      <c r="B4628" s="29"/>
      <c r="D4628" s="29"/>
      <c r="E4628" s="20"/>
      <c r="F4628" s="20"/>
      <c r="AC4628" s="20"/>
      <c r="AG4628" s="29"/>
    </row>
    <row r="4629" spans="2:33">
      <c r="B4629" s="29"/>
      <c r="D4629" s="29"/>
      <c r="E4629" s="20"/>
      <c r="F4629" s="20"/>
      <c r="AC4629" s="20"/>
      <c r="AG4629" s="29"/>
    </row>
    <row r="4630" spans="2:33">
      <c r="B4630" s="29"/>
      <c r="D4630" s="29"/>
      <c r="E4630" s="20"/>
      <c r="F4630" s="20"/>
      <c r="AC4630" s="20"/>
      <c r="AG4630" s="29"/>
    </row>
    <row r="4631" spans="2:33">
      <c r="B4631" s="29"/>
      <c r="D4631" s="29"/>
      <c r="E4631" s="20"/>
      <c r="F4631" s="20"/>
      <c r="AC4631" s="20"/>
      <c r="AG4631" s="29"/>
    </row>
    <row r="4632" spans="2:33">
      <c r="B4632" s="29"/>
      <c r="D4632" s="29"/>
      <c r="E4632" s="20"/>
      <c r="F4632" s="20"/>
      <c r="AC4632" s="20"/>
      <c r="AG4632" s="29"/>
    </row>
    <row r="4633" spans="2:33">
      <c r="B4633" s="29"/>
      <c r="D4633" s="29"/>
      <c r="E4633" s="20"/>
      <c r="F4633" s="20"/>
      <c r="AC4633" s="20"/>
      <c r="AG4633" s="29"/>
    </row>
    <row r="4634" spans="2:33">
      <c r="B4634" s="29"/>
      <c r="D4634" s="29"/>
      <c r="E4634" s="20"/>
      <c r="F4634" s="20"/>
      <c r="AC4634" s="20"/>
      <c r="AG4634" s="29"/>
    </row>
    <row r="4635" spans="2:33">
      <c r="B4635" s="29"/>
      <c r="D4635" s="29"/>
      <c r="E4635" s="20"/>
      <c r="F4635" s="20"/>
      <c r="AC4635" s="20"/>
      <c r="AG4635" s="29"/>
    </row>
    <row r="4636" spans="2:33">
      <c r="B4636" s="29"/>
      <c r="D4636" s="29"/>
      <c r="E4636" s="20"/>
      <c r="F4636" s="20"/>
      <c r="AC4636" s="20"/>
      <c r="AG4636" s="29"/>
    </row>
    <row r="4637" spans="2:33">
      <c r="B4637" s="29"/>
      <c r="D4637" s="29"/>
      <c r="E4637" s="20"/>
      <c r="F4637" s="20"/>
      <c r="AC4637" s="20"/>
      <c r="AG4637" s="29"/>
    </row>
    <row r="4638" spans="2:33">
      <c r="B4638" s="29"/>
      <c r="D4638" s="29"/>
      <c r="E4638" s="20"/>
      <c r="F4638" s="20"/>
      <c r="AC4638" s="20"/>
      <c r="AG4638" s="29"/>
    </row>
    <row r="4639" spans="2:33">
      <c r="B4639" s="29"/>
      <c r="D4639" s="29"/>
      <c r="E4639" s="20"/>
      <c r="F4639" s="20"/>
      <c r="AC4639" s="20"/>
      <c r="AG4639" s="29"/>
    </row>
    <row r="4640" spans="2:33">
      <c r="B4640" s="29"/>
      <c r="D4640" s="29"/>
      <c r="E4640" s="20"/>
      <c r="F4640" s="20"/>
      <c r="AC4640" s="20"/>
      <c r="AG4640" s="29"/>
    </row>
    <row r="4641" spans="2:33">
      <c r="B4641" s="29"/>
      <c r="D4641" s="29"/>
      <c r="E4641" s="20"/>
      <c r="F4641" s="20"/>
      <c r="AC4641" s="20"/>
      <c r="AG4641" s="29"/>
    </row>
    <row r="4642" spans="2:33">
      <c r="B4642" s="29"/>
      <c r="D4642" s="29"/>
      <c r="E4642" s="20"/>
      <c r="F4642" s="20"/>
      <c r="AC4642" s="20"/>
      <c r="AG4642" s="29"/>
    </row>
    <row r="4643" spans="2:33">
      <c r="B4643" s="29"/>
      <c r="D4643" s="29"/>
      <c r="E4643" s="20"/>
      <c r="F4643" s="20"/>
      <c r="AC4643" s="20"/>
      <c r="AG4643" s="29"/>
    </row>
    <row r="4644" spans="2:33">
      <c r="B4644" s="29"/>
      <c r="D4644" s="29"/>
      <c r="E4644" s="20"/>
      <c r="F4644" s="20"/>
      <c r="AC4644" s="20"/>
      <c r="AG4644" s="29"/>
    </row>
    <row r="4645" spans="2:33">
      <c r="B4645" s="29"/>
      <c r="D4645" s="29"/>
      <c r="E4645" s="20"/>
      <c r="F4645" s="20"/>
      <c r="AC4645" s="20"/>
      <c r="AG4645" s="29"/>
    </row>
    <row r="4646" spans="2:33">
      <c r="B4646" s="29"/>
      <c r="D4646" s="29"/>
      <c r="E4646" s="20"/>
      <c r="F4646" s="20"/>
      <c r="AC4646" s="20"/>
      <c r="AG4646" s="29"/>
    </row>
    <row r="4647" spans="2:33">
      <c r="B4647" s="29"/>
      <c r="D4647" s="29"/>
      <c r="E4647" s="20"/>
      <c r="F4647" s="20"/>
      <c r="AC4647" s="20"/>
      <c r="AG4647" s="29"/>
    </row>
    <row r="4648" spans="2:33">
      <c r="B4648" s="29"/>
      <c r="D4648" s="29"/>
      <c r="E4648" s="20"/>
      <c r="F4648" s="20"/>
      <c r="AC4648" s="20"/>
      <c r="AG4648" s="29"/>
    </row>
    <row r="4649" spans="2:33">
      <c r="B4649" s="29"/>
      <c r="D4649" s="29"/>
      <c r="E4649" s="20"/>
      <c r="F4649" s="20"/>
      <c r="AC4649" s="20"/>
      <c r="AG4649" s="29"/>
    </row>
    <row r="4650" spans="2:33">
      <c r="B4650" s="29"/>
      <c r="D4650" s="29"/>
      <c r="E4650" s="20"/>
      <c r="F4650" s="20"/>
      <c r="AC4650" s="20"/>
      <c r="AG4650" s="29"/>
    </row>
    <row r="4651" spans="2:33">
      <c r="B4651" s="29"/>
      <c r="D4651" s="29"/>
      <c r="E4651" s="20"/>
      <c r="F4651" s="20"/>
      <c r="AC4651" s="20"/>
      <c r="AG4651" s="29"/>
    </row>
    <row r="4652" spans="2:33">
      <c r="B4652" s="29"/>
      <c r="D4652" s="29"/>
      <c r="E4652" s="20"/>
      <c r="F4652" s="20"/>
      <c r="AC4652" s="20"/>
      <c r="AG4652" s="29"/>
    </row>
    <row r="4653" spans="2:33">
      <c r="B4653" s="29"/>
      <c r="D4653" s="29"/>
      <c r="E4653" s="20"/>
      <c r="F4653" s="20"/>
      <c r="AC4653" s="20"/>
      <c r="AG4653" s="29"/>
    </row>
    <row r="4654" spans="2:33">
      <c r="B4654" s="29"/>
      <c r="D4654" s="29"/>
      <c r="E4654" s="20"/>
      <c r="F4654" s="20"/>
      <c r="AC4654" s="20"/>
      <c r="AG4654" s="29"/>
    </row>
    <row r="4655" spans="2:33">
      <c r="B4655" s="29"/>
      <c r="D4655" s="29"/>
      <c r="E4655" s="20"/>
      <c r="F4655" s="20"/>
      <c r="AC4655" s="20"/>
      <c r="AG4655" s="29"/>
    </row>
    <row r="4656" spans="2:33">
      <c r="B4656" s="29"/>
      <c r="D4656" s="29"/>
      <c r="E4656" s="20"/>
      <c r="F4656" s="20"/>
      <c r="AC4656" s="20"/>
      <c r="AG4656" s="29"/>
    </row>
    <row r="4657" spans="2:33">
      <c r="B4657" s="29"/>
      <c r="D4657" s="29"/>
      <c r="E4657" s="20"/>
      <c r="F4657" s="20"/>
      <c r="AC4657" s="20"/>
      <c r="AG4657" s="29"/>
    </row>
    <row r="4658" spans="2:33">
      <c r="B4658" s="29"/>
      <c r="D4658" s="29"/>
      <c r="E4658" s="20"/>
      <c r="F4658" s="20"/>
      <c r="AC4658" s="20"/>
      <c r="AG4658" s="29"/>
    </row>
    <row r="4659" spans="2:33">
      <c r="B4659" s="29"/>
      <c r="D4659" s="29"/>
      <c r="E4659" s="20"/>
      <c r="F4659" s="20"/>
      <c r="AC4659" s="20"/>
      <c r="AG4659" s="29"/>
    </row>
    <row r="4660" spans="2:33">
      <c r="B4660" s="29"/>
      <c r="D4660" s="29"/>
      <c r="E4660" s="20"/>
      <c r="F4660" s="20"/>
      <c r="AC4660" s="20"/>
      <c r="AG4660" s="29"/>
    </row>
    <row r="4661" spans="2:33">
      <c r="B4661" s="29"/>
      <c r="D4661" s="29"/>
      <c r="E4661" s="20"/>
      <c r="F4661" s="20"/>
      <c r="AC4661" s="20"/>
      <c r="AG4661" s="29"/>
    </row>
    <row r="4662" spans="2:33">
      <c r="B4662" s="29"/>
      <c r="D4662" s="29"/>
      <c r="E4662" s="20"/>
      <c r="F4662" s="20"/>
      <c r="AC4662" s="20"/>
      <c r="AG4662" s="29"/>
    </row>
    <row r="4663" spans="2:33">
      <c r="B4663" s="29"/>
      <c r="D4663" s="29"/>
      <c r="E4663" s="20"/>
      <c r="F4663" s="20"/>
      <c r="AC4663" s="20"/>
      <c r="AG4663" s="29"/>
    </row>
    <row r="4664" spans="2:33">
      <c r="B4664" s="29"/>
      <c r="D4664" s="29"/>
      <c r="E4664" s="20"/>
      <c r="F4664" s="20"/>
      <c r="AC4664" s="20"/>
      <c r="AG4664" s="29"/>
    </row>
    <row r="4665" spans="2:33">
      <c r="B4665" s="29"/>
      <c r="D4665" s="29"/>
      <c r="E4665" s="20"/>
      <c r="F4665" s="20"/>
      <c r="AC4665" s="20"/>
      <c r="AG4665" s="29"/>
    </row>
    <row r="4666" spans="2:33">
      <c r="B4666" s="29"/>
      <c r="D4666" s="29"/>
      <c r="E4666" s="20"/>
      <c r="F4666" s="20"/>
      <c r="AC4666" s="20"/>
      <c r="AG4666" s="29"/>
    </row>
    <row r="4667" spans="2:33">
      <c r="B4667" s="29"/>
      <c r="D4667" s="29"/>
      <c r="E4667" s="20"/>
      <c r="F4667" s="20"/>
      <c r="AC4667" s="20"/>
      <c r="AG4667" s="29"/>
    </row>
    <row r="4668" spans="2:33">
      <c r="B4668" s="29"/>
      <c r="D4668" s="29"/>
      <c r="E4668" s="20"/>
      <c r="F4668" s="20"/>
      <c r="AC4668" s="20"/>
      <c r="AG4668" s="29"/>
    </row>
    <row r="4669" spans="2:33">
      <c r="B4669" s="29"/>
      <c r="D4669" s="29"/>
      <c r="E4669" s="20"/>
      <c r="F4669" s="20"/>
      <c r="AC4669" s="20"/>
      <c r="AG4669" s="29"/>
    </row>
    <row r="4670" spans="2:33">
      <c r="B4670" s="29"/>
      <c r="D4670" s="29"/>
      <c r="E4670" s="20"/>
      <c r="F4670" s="20"/>
      <c r="AC4670" s="20"/>
      <c r="AG4670" s="29"/>
    </row>
    <row r="4671" spans="2:33">
      <c r="B4671" s="29"/>
      <c r="D4671" s="29"/>
      <c r="E4671" s="20"/>
      <c r="F4671" s="20"/>
      <c r="AC4671" s="20"/>
      <c r="AG4671" s="29"/>
    </row>
    <row r="4672" spans="2:33">
      <c r="B4672" s="29"/>
      <c r="D4672" s="29"/>
      <c r="E4672" s="20"/>
      <c r="F4672" s="20"/>
      <c r="AC4672" s="20"/>
      <c r="AG4672" s="29"/>
    </row>
    <row r="4673" spans="2:33">
      <c r="B4673" s="29"/>
      <c r="D4673" s="29"/>
      <c r="E4673" s="20"/>
      <c r="F4673" s="20"/>
      <c r="AC4673" s="20"/>
      <c r="AG4673" s="29"/>
    </row>
    <row r="4674" spans="2:33">
      <c r="B4674" s="29"/>
      <c r="D4674" s="29"/>
      <c r="E4674" s="20"/>
      <c r="F4674" s="20"/>
      <c r="AC4674" s="20"/>
      <c r="AG4674" s="29"/>
    </row>
    <row r="4675" spans="2:33">
      <c r="B4675" s="29"/>
      <c r="D4675" s="29"/>
      <c r="E4675" s="20"/>
      <c r="F4675" s="20"/>
      <c r="AC4675" s="20"/>
      <c r="AG4675" s="29"/>
    </row>
    <row r="4676" spans="2:33">
      <c r="B4676" s="29"/>
      <c r="D4676" s="29"/>
      <c r="E4676" s="20"/>
      <c r="F4676" s="20"/>
      <c r="AC4676" s="20"/>
      <c r="AG4676" s="29"/>
    </row>
    <row r="4677" spans="2:33">
      <c r="B4677" s="29"/>
      <c r="D4677" s="29"/>
      <c r="E4677" s="20"/>
      <c r="F4677" s="20"/>
      <c r="AC4677" s="20"/>
      <c r="AG4677" s="29"/>
    </row>
    <row r="4678" spans="2:33">
      <c r="B4678" s="29"/>
      <c r="D4678" s="29"/>
      <c r="E4678" s="20"/>
      <c r="F4678" s="20"/>
      <c r="AC4678" s="20"/>
      <c r="AG4678" s="29"/>
    </row>
    <row r="4679" spans="2:33">
      <c r="B4679" s="29"/>
      <c r="D4679" s="29"/>
      <c r="E4679" s="20"/>
      <c r="F4679" s="20"/>
      <c r="AC4679" s="20"/>
      <c r="AG4679" s="29"/>
    </row>
    <row r="4680" spans="2:33">
      <c r="B4680" s="29"/>
      <c r="D4680" s="29"/>
      <c r="E4680" s="20"/>
      <c r="F4680" s="20"/>
      <c r="AC4680" s="20"/>
      <c r="AG4680" s="29"/>
    </row>
    <row r="4681" spans="2:33">
      <c r="B4681" s="29"/>
      <c r="D4681" s="29"/>
      <c r="E4681" s="20"/>
      <c r="F4681" s="20"/>
      <c r="AC4681" s="20"/>
      <c r="AG4681" s="29"/>
    </row>
    <row r="4682" spans="2:33">
      <c r="B4682" s="29"/>
      <c r="D4682" s="29"/>
      <c r="E4682" s="20"/>
      <c r="F4682" s="20"/>
      <c r="AC4682" s="20"/>
      <c r="AG4682" s="29"/>
    </row>
    <row r="4683" spans="2:33">
      <c r="B4683" s="29"/>
      <c r="D4683" s="29"/>
      <c r="E4683" s="20"/>
      <c r="F4683" s="20"/>
      <c r="AC4683" s="20"/>
      <c r="AG4683" s="29"/>
    </row>
    <row r="4684" spans="2:33">
      <c r="B4684" s="29"/>
      <c r="D4684" s="29"/>
      <c r="E4684" s="20"/>
      <c r="F4684" s="20"/>
      <c r="AC4684" s="20"/>
      <c r="AG4684" s="29"/>
    </row>
    <row r="4685" spans="2:33">
      <c r="B4685" s="29"/>
      <c r="D4685" s="29"/>
      <c r="E4685" s="20"/>
      <c r="F4685" s="20"/>
      <c r="AC4685" s="20"/>
      <c r="AG4685" s="29"/>
    </row>
    <row r="4686" spans="2:33">
      <c r="B4686" s="29"/>
      <c r="D4686" s="29"/>
      <c r="E4686" s="20"/>
      <c r="F4686" s="20"/>
      <c r="AC4686" s="20"/>
      <c r="AG4686" s="29"/>
    </row>
    <row r="4687" spans="2:33">
      <c r="B4687" s="29"/>
      <c r="D4687" s="29"/>
      <c r="E4687" s="20"/>
      <c r="F4687" s="20"/>
      <c r="AC4687" s="20"/>
      <c r="AG4687" s="29"/>
    </row>
    <row r="4688" spans="2:33">
      <c r="B4688" s="29"/>
      <c r="D4688" s="29"/>
      <c r="E4688" s="20"/>
      <c r="F4688" s="20"/>
      <c r="AC4688" s="20"/>
      <c r="AG4688" s="29"/>
    </row>
    <row r="4689" spans="2:33">
      <c r="B4689" s="29"/>
      <c r="D4689" s="29"/>
      <c r="E4689" s="20"/>
      <c r="F4689" s="20"/>
      <c r="AC4689" s="20"/>
      <c r="AG4689" s="29"/>
    </row>
    <row r="4690" spans="2:33">
      <c r="B4690" s="29"/>
      <c r="D4690" s="29"/>
      <c r="E4690" s="20"/>
      <c r="F4690" s="20"/>
      <c r="AC4690" s="20"/>
      <c r="AG4690" s="29"/>
    </row>
    <row r="4691" spans="2:33">
      <c r="B4691" s="29"/>
      <c r="D4691" s="29"/>
      <c r="E4691" s="20"/>
      <c r="F4691" s="20"/>
      <c r="AC4691" s="20"/>
      <c r="AG4691" s="29"/>
    </row>
    <row r="4692" spans="2:33">
      <c r="B4692" s="29"/>
      <c r="D4692" s="29"/>
      <c r="E4692" s="20"/>
      <c r="F4692" s="20"/>
      <c r="AC4692" s="20"/>
      <c r="AG4692" s="29"/>
    </row>
    <row r="4693" spans="2:33">
      <c r="B4693" s="29"/>
      <c r="D4693" s="29"/>
      <c r="E4693" s="20"/>
      <c r="F4693" s="20"/>
      <c r="AC4693" s="20"/>
      <c r="AG4693" s="29"/>
    </row>
    <row r="4694" spans="2:33">
      <c r="B4694" s="29"/>
      <c r="D4694" s="29"/>
      <c r="E4694" s="20"/>
      <c r="F4694" s="20"/>
      <c r="AC4694" s="20"/>
      <c r="AG4694" s="29"/>
    </row>
    <row r="4695" spans="2:33">
      <c r="B4695" s="29"/>
      <c r="D4695" s="29"/>
      <c r="E4695" s="20"/>
      <c r="F4695" s="20"/>
      <c r="AC4695" s="20"/>
      <c r="AG4695" s="29"/>
    </row>
    <row r="4696" spans="2:33">
      <c r="B4696" s="29"/>
      <c r="D4696" s="29"/>
      <c r="E4696" s="20"/>
      <c r="F4696" s="20"/>
      <c r="AC4696" s="20"/>
      <c r="AG4696" s="29"/>
    </row>
    <row r="4697" spans="2:33">
      <c r="B4697" s="29"/>
      <c r="D4697" s="29"/>
      <c r="E4697" s="20"/>
      <c r="F4697" s="20"/>
      <c r="AC4697" s="20"/>
      <c r="AG4697" s="29"/>
    </row>
    <row r="4698" spans="2:33">
      <c r="B4698" s="29"/>
      <c r="D4698" s="29"/>
      <c r="E4698" s="20"/>
      <c r="F4698" s="20"/>
      <c r="AC4698" s="20"/>
      <c r="AG4698" s="29"/>
    </row>
    <row r="4699" spans="2:33">
      <c r="B4699" s="29"/>
      <c r="D4699" s="29"/>
      <c r="E4699" s="20"/>
      <c r="F4699" s="20"/>
      <c r="AC4699" s="20"/>
      <c r="AG4699" s="29"/>
    </row>
    <row r="4700" spans="2:33">
      <c r="B4700" s="29"/>
      <c r="D4700" s="29"/>
      <c r="E4700" s="20"/>
      <c r="F4700" s="20"/>
      <c r="AC4700" s="20"/>
      <c r="AG4700" s="29"/>
    </row>
    <row r="4701" spans="2:33">
      <c r="B4701" s="29"/>
      <c r="D4701" s="29"/>
      <c r="E4701" s="20"/>
      <c r="F4701" s="20"/>
      <c r="AC4701" s="20"/>
      <c r="AG4701" s="29"/>
    </row>
    <row r="4702" spans="2:33">
      <c r="B4702" s="29"/>
      <c r="D4702" s="29"/>
      <c r="E4702" s="20"/>
      <c r="F4702" s="20"/>
      <c r="AC4702" s="20"/>
      <c r="AG4702" s="29"/>
    </row>
    <row r="4703" spans="2:33">
      <c r="B4703" s="29"/>
      <c r="D4703" s="29"/>
      <c r="E4703" s="20"/>
      <c r="F4703" s="20"/>
      <c r="AC4703" s="20"/>
      <c r="AG4703" s="29"/>
    </row>
    <row r="4704" spans="2:33">
      <c r="B4704" s="29"/>
      <c r="D4704" s="29"/>
      <c r="E4704" s="20"/>
      <c r="F4704" s="20"/>
      <c r="AC4704" s="20"/>
      <c r="AG4704" s="29"/>
    </row>
    <row r="4705" spans="2:33">
      <c r="B4705" s="29"/>
      <c r="D4705" s="29"/>
      <c r="E4705" s="20"/>
      <c r="F4705" s="20"/>
      <c r="AC4705" s="20"/>
      <c r="AG4705" s="29"/>
    </row>
    <row r="4706" spans="2:33">
      <c r="B4706" s="29"/>
      <c r="D4706" s="29"/>
      <c r="E4706" s="20"/>
      <c r="F4706" s="20"/>
      <c r="AC4706" s="20"/>
      <c r="AG4706" s="29"/>
    </row>
    <row r="4707" spans="2:33">
      <c r="B4707" s="29"/>
      <c r="D4707" s="29"/>
      <c r="E4707" s="20"/>
      <c r="F4707" s="20"/>
      <c r="AC4707" s="20"/>
      <c r="AG4707" s="29"/>
    </row>
    <row r="4708" spans="2:33">
      <c r="B4708" s="29"/>
      <c r="D4708" s="29"/>
      <c r="E4708" s="20"/>
      <c r="F4708" s="20"/>
      <c r="AC4708" s="20"/>
      <c r="AG4708" s="29"/>
    </row>
    <row r="4709" spans="2:33">
      <c r="B4709" s="29"/>
      <c r="D4709" s="29"/>
      <c r="E4709" s="20"/>
      <c r="F4709" s="20"/>
      <c r="AC4709" s="20"/>
      <c r="AG4709" s="29"/>
    </row>
    <row r="4710" spans="2:33">
      <c r="B4710" s="29"/>
      <c r="D4710" s="29"/>
      <c r="E4710" s="20"/>
      <c r="F4710" s="20"/>
      <c r="AC4710" s="20"/>
      <c r="AG4710" s="29"/>
    </row>
    <row r="4711" spans="2:33">
      <c r="B4711" s="29"/>
      <c r="D4711" s="29"/>
      <c r="E4711" s="20"/>
      <c r="F4711" s="20"/>
      <c r="AC4711" s="20"/>
      <c r="AG4711" s="29"/>
    </row>
    <row r="4712" spans="2:33">
      <c r="B4712" s="29"/>
      <c r="D4712" s="29"/>
      <c r="E4712" s="20"/>
      <c r="F4712" s="20"/>
      <c r="AC4712" s="20"/>
      <c r="AG4712" s="29"/>
    </row>
    <row r="4713" spans="2:33">
      <c r="B4713" s="29"/>
      <c r="D4713" s="29"/>
      <c r="E4713" s="20"/>
      <c r="F4713" s="20"/>
      <c r="AC4713" s="20"/>
      <c r="AG4713" s="29"/>
    </row>
    <row r="4714" spans="2:33">
      <c r="B4714" s="29"/>
      <c r="D4714" s="29"/>
      <c r="E4714" s="20"/>
      <c r="F4714" s="20"/>
      <c r="AC4714" s="20"/>
      <c r="AG4714" s="29"/>
    </row>
    <row r="4715" spans="2:33">
      <c r="B4715" s="29"/>
      <c r="D4715" s="29"/>
      <c r="E4715" s="20"/>
      <c r="F4715" s="20"/>
      <c r="AC4715" s="20"/>
      <c r="AG4715" s="29"/>
    </row>
    <row r="4716" spans="2:33">
      <c r="B4716" s="29"/>
      <c r="D4716" s="29"/>
      <c r="E4716" s="20"/>
      <c r="F4716" s="20"/>
      <c r="AC4716" s="20"/>
      <c r="AG4716" s="29"/>
    </row>
    <row r="4717" spans="2:33">
      <c r="B4717" s="29"/>
      <c r="D4717" s="29"/>
      <c r="E4717" s="20"/>
      <c r="F4717" s="20"/>
      <c r="AC4717" s="20"/>
      <c r="AG4717" s="29"/>
    </row>
    <row r="4718" spans="2:33">
      <c r="B4718" s="29"/>
      <c r="D4718" s="29"/>
      <c r="E4718" s="20"/>
      <c r="F4718" s="20"/>
      <c r="AC4718" s="20"/>
      <c r="AG4718" s="29"/>
    </row>
    <row r="4719" spans="2:33">
      <c r="B4719" s="29"/>
      <c r="D4719" s="29"/>
      <c r="E4719" s="20"/>
      <c r="F4719" s="20"/>
      <c r="AC4719" s="20"/>
      <c r="AG4719" s="29"/>
    </row>
    <row r="4720" spans="2:33">
      <c r="B4720" s="29"/>
      <c r="D4720" s="29"/>
      <c r="E4720" s="20"/>
      <c r="F4720" s="20"/>
      <c r="AC4720" s="20"/>
      <c r="AG4720" s="29"/>
    </row>
    <row r="4721" spans="2:33">
      <c r="B4721" s="29"/>
      <c r="D4721" s="29"/>
      <c r="E4721" s="20"/>
      <c r="F4721" s="20"/>
      <c r="AC4721" s="20"/>
      <c r="AG4721" s="29"/>
    </row>
    <row r="4722" spans="2:33">
      <c r="B4722" s="29"/>
      <c r="D4722" s="29"/>
      <c r="E4722" s="20"/>
      <c r="F4722" s="20"/>
      <c r="AC4722" s="20"/>
      <c r="AG4722" s="29"/>
    </row>
    <row r="4723" spans="2:33">
      <c r="B4723" s="29"/>
      <c r="D4723" s="29"/>
      <c r="E4723" s="20"/>
      <c r="F4723" s="20"/>
      <c r="AC4723" s="20"/>
      <c r="AG4723" s="29"/>
    </row>
    <row r="4724" spans="2:33">
      <c r="B4724" s="29"/>
      <c r="D4724" s="29"/>
      <c r="E4724" s="20"/>
      <c r="F4724" s="20"/>
      <c r="AC4724" s="20"/>
      <c r="AG4724" s="29"/>
    </row>
    <row r="4725" spans="2:33">
      <c r="B4725" s="29"/>
      <c r="D4725" s="29"/>
      <c r="E4725" s="20"/>
      <c r="F4725" s="20"/>
      <c r="AC4725" s="20"/>
      <c r="AG4725" s="29"/>
    </row>
    <row r="4726" spans="2:33">
      <c r="B4726" s="29"/>
      <c r="D4726" s="29"/>
      <c r="E4726" s="20"/>
      <c r="F4726" s="20"/>
      <c r="AC4726" s="20"/>
      <c r="AG4726" s="29"/>
    </row>
    <row r="4727" spans="2:33">
      <c r="B4727" s="29"/>
      <c r="D4727" s="29"/>
      <c r="E4727" s="20"/>
      <c r="F4727" s="20"/>
      <c r="AC4727" s="20"/>
      <c r="AG4727" s="29"/>
    </row>
    <row r="4728" spans="2:33">
      <c r="B4728" s="29"/>
      <c r="D4728" s="29"/>
      <c r="E4728" s="20"/>
      <c r="F4728" s="20"/>
      <c r="AC4728" s="20"/>
      <c r="AG4728" s="29"/>
    </row>
    <row r="4729" spans="2:33">
      <c r="B4729" s="29"/>
      <c r="D4729" s="29"/>
      <c r="E4729" s="20"/>
      <c r="F4729" s="20"/>
      <c r="AC4729" s="20"/>
      <c r="AG4729" s="29"/>
    </row>
    <row r="4730" spans="2:33">
      <c r="B4730" s="29"/>
      <c r="D4730" s="29"/>
      <c r="E4730" s="20"/>
      <c r="F4730" s="20"/>
      <c r="AC4730" s="20"/>
      <c r="AG4730" s="29"/>
    </row>
    <row r="4731" spans="2:33">
      <c r="B4731" s="29"/>
      <c r="D4731" s="29"/>
      <c r="E4731" s="20"/>
      <c r="F4731" s="20"/>
      <c r="AC4731" s="20"/>
      <c r="AG4731" s="29"/>
    </row>
    <row r="4732" spans="2:33">
      <c r="B4732" s="29"/>
      <c r="D4732" s="29"/>
      <c r="E4732" s="20"/>
      <c r="F4732" s="20"/>
      <c r="AC4732" s="20"/>
      <c r="AG4732" s="29"/>
    </row>
    <row r="4733" spans="2:33">
      <c r="B4733" s="29"/>
      <c r="D4733" s="29"/>
      <c r="E4733" s="20"/>
      <c r="F4733" s="20"/>
      <c r="AC4733" s="20"/>
      <c r="AG4733" s="29"/>
    </row>
    <row r="4734" spans="2:33">
      <c r="B4734" s="29"/>
      <c r="D4734" s="29"/>
      <c r="E4734" s="20"/>
      <c r="F4734" s="20"/>
      <c r="AC4734" s="20"/>
      <c r="AG4734" s="29"/>
    </row>
    <row r="4735" spans="2:33">
      <c r="B4735" s="29"/>
      <c r="D4735" s="29"/>
      <c r="E4735" s="20"/>
      <c r="F4735" s="20"/>
      <c r="AC4735" s="20"/>
      <c r="AG4735" s="29"/>
    </row>
    <row r="4736" spans="2:33">
      <c r="B4736" s="29"/>
      <c r="D4736" s="29"/>
      <c r="E4736" s="20"/>
      <c r="F4736" s="20"/>
      <c r="AC4736" s="20"/>
      <c r="AG4736" s="29"/>
    </row>
    <row r="4737" spans="2:33">
      <c r="B4737" s="29"/>
      <c r="D4737" s="29"/>
      <c r="E4737" s="20"/>
      <c r="F4737" s="20"/>
      <c r="AC4737" s="20"/>
      <c r="AG4737" s="29"/>
    </row>
    <row r="4738" spans="2:33">
      <c r="B4738" s="29"/>
      <c r="D4738" s="29"/>
      <c r="E4738" s="20"/>
      <c r="F4738" s="20"/>
      <c r="AC4738" s="20"/>
      <c r="AG4738" s="29"/>
    </row>
    <row r="4739" spans="2:33">
      <c r="B4739" s="29"/>
      <c r="D4739" s="29"/>
      <c r="E4739" s="20"/>
      <c r="F4739" s="20"/>
      <c r="AC4739" s="20"/>
      <c r="AG4739" s="29"/>
    </row>
    <row r="4740" spans="2:33">
      <c r="B4740" s="29"/>
      <c r="D4740" s="29"/>
      <c r="E4740" s="20"/>
      <c r="F4740" s="20"/>
      <c r="AC4740" s="20"/>
      <c r="AG4740" s="29"/>
    </row>
    <row r="4741" spans="2:33">
      <c r="B4741" s="29"/>
      <c r="D4741" s="29"/>
      <c r="E4741" s="20"/>
      <c r="F4741" s="20"/>
      <c r="AC4741" s="20"/>
      <c r="AG4741" s="29"/>
    </row>
    <row r="4742" spans="2:33">
      <c r="B4742" s="29"/>
      <c r="D4742" s="29"/>
      <c r="E4742" s="20"/>
      <c r="F4742" s="20"/>
      <c r="AC4742" s="20"/>
      <c r="AG4742" s="29"/>
    </row>
    <row r="4743" spans="2:33">
      <c r="B4743" s="29"/>
      <c r="D4743" s="29"/>
      <c r="E4743" s="20"/>
      <c r="F4743" s="20"/>
      <c r="AC4743" s="20"/>
      <c r="AG4743" s="29"/>
    </row>
    <row r="4744" spans="2:33">
      <c r="B4744" s="29"/>
      <c r="D4744" s="29"/>
      <c r="E4744" s="20"/>
      <c r="F4744" s="20"/>
      <c r="AC4744" s="20"/>
      <c r="AG4744" s="29"/>
    </row>
    <row r="4745" spans="2:33">
      <c r="B4745" s="29"/>
      <c r="D4745" s="29"/>
      <c r="E4745" s="20"/>
      <c r="F4745" s="20"/>
      <c r="AC4745" s="20"/>
      <c r="AG4745" s="29"/>
    </row>
    <row r="4746" spans="2:33">
      <c r="B4746" s="29"/>
      <c r="D4746" s="29"/>
      <c r="E4746" s="20"/>
      <c r="F4746" s="20"/>
      <c r="AC4746" s="20"/>
      <c r="AG4746" s="29"/>
    </row>
    <row r="4747" spans="2:33">
      <c r="B4747" s="29"/>
      <c r="D4747" s="29"/>
      <c r="E4747" s="20"/>
      <c r="F4747" s="20"/>
      <c r="AC4747" s="20"/>
      <c r="AG4747" s="29"/>
    </row>
    <row r="4748" spans="2:33">
      <c r="B4748" s="29"/>
      <c r="D4748" s="29"/>
      <c r="E4748" s="20"/>
      <c r="F4748" s="20"/>
      <c r="AC4748" s="20"/>
      <c r="AG4748" s="29"/>
    </row>
    <row r="4749" spans="2:33">
      <c r="B4749" s="29"/>
      <c r="D4749" s="29"/>
      <c r="E4749" s="20"/>
      <c r="F4749" s="20"/>
      <c r="AC4749" s="20"/>
      <c r="AG4749" s="29"/>
    </row>
    <row r="4750" spans="2:33">
      <c r="B4750" s="29"/>
      <c r="D4750" s="29"/>
      <c r="E4750" s="20"/>
      <c r="F4750" s="20"/>
      <c r="AC4750" s="20"/>
      <c r="AG4750" s="29"/>
    </row>
    <row r="4751" spans="2:33">
      <c r="B4751" s="29"/>
      <c r="D4751" s="29"/>
      <c r="E4751" s="20"/>
      <c r="F4751" s="20"/>
      <c r="AC4751" s="20"/>
      <c r="AG4751" s="29"/>
    </row>
    <row r="4752" spans="2:33">
      <c r="B4752" s="29"/>
      <c r="D4752" s="29"/>
      <c r="E4752" s="20"/>
      <c r="F4752" s="20"/>
      <c r="AC4752" s="20"/>
      <c r="AG4752" s="29"/>
    </row>
    <row r="4753" spans="2:33">
      <c r="B4753" s="29"/>
      <c r="D4753" s="29"/>
      <c r="E4753" s="20"/>
      <c r="F4753" s="20"/>
      <c r="AC4753" s="20"/>
      <c r="AG4753" s="29"/>
    </row>
    <row r="4754" spans="2:33">
      <c r="B4754" s="29"/>
      <c r="D4754" s="29"/>
      <c r="E4754" s="20"/>
      <c r="F4754" s="20"/>
      <c r="AC4754" s="20"/>
      <c r="AG4754" s="29"/>
    </row>
    <row r="4755" spans="2:33">
      <c r="B4755" s="29"/>
      <c r="D4755" s="29"/>
      <c r="E4755" s="20"/>
      <c r="F4755" s="20"/>
      <c r="AC4755" s="20"/>
      <c r="AG4755" s="29"/>
    </row>
    <row r="4756" spans="2:33">
      <c r="B4756" s="29"/>
      <c r="D4756" s="29"/>
      <c r="E4756" s="20"/>
      <c r="F4756" s="20"/>
      <c r="AC4756" s="20"/>
      <c r="AG4756" s="29"/>
    </row>
    <row r="4757" spans="2:33">
      <c r="B4757" s="29"/>
      <c r="D4757" s="29"/>
      <c r="E4757" s="20"/>
      <c r="F4757" s="20"/>
      <c r="AC4757" s="20"/>
      <c r="AG4757" s="29"/>
    </row>
    <row r="4758" spans="2:33">
      <c r="B4758" s="29"/>
      <c r="D4758" s="29"/>
      <c r="E4758" s="20"/>
      <c r="F4758" s="20"/>
      <c r="AC4758" s="20"/>
      <c r="AG4758" s="29"/>
    </row>
    <row r="4759" spans="2:33">
      <c r="B4759" s="29"/>
      <c r="D4759" s="29"/>
      <c r="E4759" s="20"/>
      <c r="F4759" s="20"/>
      <c r="AC4759" s="20"/>
      <c r="AG4759" s="29"/>
    </row>
    <row r="4760" spans="2:33">
      <c r="B4760" s="29"/>
      <c r="D4760" s="29"/>
      <c r="E4760" s="20"/>
      <c r="F4760" s="20"/>
      <c r="AC4760" s="20"/>
      <c r="AG4760" s="29"/>
    </row>
    <row r="4761" spans="2:33">
      <c r="B4761" s="29"/>
      <c r="D4761" s="29"/>
      <c r="E4761" s="20"/>
      <c r="F4761" s="20"/>
      <c r="AC4761" s="20"/>
      <c r="AG4761" s="29"/>
    </row>
    <row r="4762" spans="2:33">
      <c r="B4762" s="29"/>
      <c r="D4762" s="29"/>
      <c r="E4762" s="20"/>
      <c r="F4762" s="20"/>
      <c r="AC4762" s="20"/>
      <c r="AG4762" s="29"/>
    </row>
    <row r="4763" spans="2:33">
      <c r="B4763" s="29"/>
      <c r="D4763" s="29"/>
      <c r="E4763" s="20"/>
      <c r="F4763" s="20"/>
      <c r="AC4763" s="20"/>
      <c r="AG4763" s="29"/>
    </row>
    <row r="4764" spans="2:33">
      <c r="B4764" s="29"/>
      <c r="D4764" s="29"/>
      <c r="E4764" s="20"/>
      <c r="F4764" s="20"/>
      <c r="AC4764" s="20"/>
      <c r="AG4764" s="29"/>
    </row>
    <row r="4765" spans="2:33">
      <c r="B4765" s="29"/>
      <c r="D4765" s="29"/>
      <c r="E4765" s="20"/>
      <c r="F4765" s="20"/>
      <c r="AC4765" s="20"/>
      <c r="AG4765" s="29"/>
    </row>
    <row r="4766" spans="2:33">
      <c r="B4766" s="29"/>
      <c r="D4766" s="29"/>
      <c r="E4766" s="20"/>
      <c r="F4766" s="20"/>
      <c r="AC4766" s="20"/>
      <c r="AG4766" s="29"/>
    </row>
    <row r="4767" spans="2:33">
      <c r="B4767" s="29"/>
      <c r="D4767" s="29"/>
      <c r="E4767" s="20"/>
      <c r="F4767" s="20"/>
      <c r="AC4767" s="20"/>
      <c r="AG4767" s="29"/>
    </row>
    <row r="4768" spans="2:33">
      <c r="B4768" s="29"/>
      <c r="D4768" s="29"/>
      <c r="E4768" s="20"/>
      <c r="F4768" s="20"/>
      <c r="AC4768" s="20"/>
      <c r="AG4768" s="29"/>
    </row>
    <row r="4769" spans="2:33">
      <c r="B4769" s="29"/>
      <c r="D4769" s="29"/>
      <c r="E4769" s="20"/>
      <c r="F4769" s="20"/>
      <c r="AC4769" s="20"/>
      <c r="AG4769" s="29"/>
    </row>
    <row r="4770" spans="2:33">
      <c r="B4770" s="29"/>
      <c r="D4770" s="29"/>
      <c r="E4770" s="20"/>
      <c r="F4770" s="20"/>
      <c r="AC4770" s="20"/>
      <c r="AG4770" s="29"/>
    </row>
    <row r="4771" spans="2:33">
      <c r="B4771" s="29"/>
      <c r="D4771" s="29"/>
      <c r="E4771" s="20"/>
      <c r="F4771" s="20"/>
      <c r="AC4771" s="20"/>
      <c r="AG4771" s="29"/>
    </row>
    <row r="4772" spans="2:33">
      <c r="B4772" s="29"/>
      <c r="D4772" s="29"/>
      <c r="E4772" s="20"/>
      <c r="F4772" s="20"/>
      <c r="AC4772" s="20"/>
      <c r="AG4772" s="29"/>
    </row>
    <row r="4773" spans="2:33">
      <c r="B4773" s="29"/>
      <c r="D4773" s="29"/>
      <c r="E4773" s="20"/>
      <c r="F4773" s="20"/>
      <c r="AC4773" s="20"/>
      <c r="AG4773" s="29"/>
    </row>
    <row r="4774" spans="2:33">
      <c r="B4774" s="29"/>
      <c r="D4774" s="29"/>
      <c r="E4774" s="20"/>
      <c r="F4774" s="20"/>
      <c r="AC4774" s="20"/>
      <c r="AG4774" s="29"/>
    </row>
    <row r="4775" spans="2:33">
      <c r="B4775" s="29"/>
      <c r="D4775" s="29"/>
      <c r="E4775" s="20"/>
      <c r="F4775" s="20"/>
      <c r="AC4775" s="20"/>
      <c r="AG4775" s="29"/>
    </row>
    <row r="4776" spans="2:33">
      <c r="B4776" s="29"/>
      <c r="D4776" s="29"/>
      <c r="E4776" s="20"/>
      <c r="F4776" s="20"/>
      <c r="AC4776" s="20"/>
      <c r="AG4776" s="29"/>
    </row>
    <row r="4777" spans="2:33">
      <c r="B4777" s="29"/>
      <c r="D4777" s="29"/>
      <c r="E4777" s="20"/>
      <c r="F4777" s="20"/>
      <c r="AC4777" s="20"/>
      <c r="AG4777" s="29"/>
    </row>
    <row r="4778" spans="2:33">
      <c r="B4778" s="29"/>
      <c r="D4778" s="29"/>
      <c r="E4778" s="20"/>
      <c r="F4778" s="20"/>
      <c r="AC4778" s="20"/>
      <c r="AG4778" s="29"/>
    </row>
    <row r="4779" spans="2:33">
      <c r="B4779" s="29"/>
      <c r="D4779" s="29"/>
      <c r="E4779" s="20"/>
      <c r="F4779" s="20"/>
      <c r="AC4779" s="20"/>
      <c r="AG4779" s="29"/>
    </row>
    <row r="4780" spans="2:33">
      <c r="B4780" s="29"/>
      <c r="D4780" s="29"/>
      <c r="E4780" s="20"/>
      <c r="F4780" s="20"/>
      <c r="AC4780" s="20"/>
      <c r="AG4780" s="29"/>
    </row>
    <row r="4781" spans="2:33">
      <c r="B4781" s="29"/>
      <c r="D4781" s="29"/>
      <c r="E4781" s="20"/>
      <c r="F4781" s="20"/>
      <c r="AC4781" s="20"/>
      <c r="AG4781" s="29"/>
    </row>
    <row r="4782" spans="2:33">
      <c r="B4782" s="29"/>
      <c r="D4782" s="29"/>
      <c r="E4782" s="20"/>
      <c r="F4782" s="20"/>
      <c r="AC4782" s="20"/>
      <c r="AG4782" s="29"/>
    </row>
    <row r="4783" spans="2:33">
      <c r="B4783" s="29"/>
      <c r="D4783" s="29"/>
      <c r="E4783" s="20"/>
      <c r="F4783" s="20"/>
      <c r="AC4783" s="20"/>
      <c r="AG4783" s="29"/>
    </row>
    <row r="4784" spans="2:33">
      <c r="B4784" s="29"/>
      <c r="D4784" s="29"/>
      <c r="E4784" s="20"/>
      <c r="F4784" s="20"/>
      <c r="AC4784" s="20"/>
      <c r="AG4784" s="29"/>
    </row>
    <row r="4785" spans="2:33">
      <c r="B4785" s="29"/>
      <c r="D4785" s="29"/>
      <c r="E4785" s="20"/>
      <c r="F4785" s="20"/>
      <c r="AC4785" s="20"/>
      <c r="AG4785" s="29"/>
    </row>
    <row r="4786" spans="2:33">
      <c r="B4786" s="29"/>
      <c r="D4786" s="29"/>
      <c r="E4786" s="20"/>
      <c r="F4786" s="20"/>
      <c r="AC4786" s="20"/>
      <c r="AG4786" s="29"/>
    </row>
    <row r="4787" spans="2:33">
      <c r="B4787" s="29"/>
      <c r="D4787" s="29"/>
      <c r="E4787" s="20"/>
      <c r="F4787" s="20"/>
      <c r="AC4787" s="20"/>
      <c r="AG4787" s="29"/>
    </row>
    <row r="4788" spans="2:33">
      <c r="B4788" s="29"/>
      <c r="D4788" s="29"/>
      <c r="E4788" s="20"/>
      <c r="F4788" s="20"/>
      <c r="AC4788" s="20"/>
      <c r="AG4788" s="29"/>
    </row>
    <row r="4789" spans="2:33">
      <c r="B4789" s="29"/>
      <c r="D4789" s="29"/>
      <c r="E4789" s="20"/>
      <c r="F4789" s="20"/>
      <c r="AC4789" s="20"/>
      <c r="AG4789" s="29"/>
    </row>
    <row r="4790" spans="2:33">
      <c r="B4790" s="29"/>
      <c r="D4790" s="29"/>
      <c r="E4790" s="20"/>
      <c r="F4790" s="20"/>
      <c r="AC4790" s="20"/>
      <c r="AG4790" s="29"/>
    </row>
    <row r="4791" spans="2:33">
      <c r="B4791" s="29"/>
      <c r="D4791" s="29"/>
      <c r="E4791" s="20"/>
      <c r="F4791" s="20"/>
      <c r="AC4791" s="20"/>
      <c r="AG4791" s="29"/>
    </row>
    <row r="4792" spans="2:33">
      <c r="B4792" s="29"/>
      <c r="D4792" s="29"/>
      <c r="E4792" s="20"/>
      <c r="F4792" s="20"/>
      <c r="AC4792" s="20"/>
      <c r="AG4792" s="29"/>
    </row>
    <row r="4793" spans="2:33">
      <c r="B4793" s="29"/>
      <c r="D4793" s="29"/>
      <c r="E4793" s="20"/>
      <c r="F4793" s="20"/>
      <c r="AC4793" s="20"/>
      <c r="AG4793" s="29"/>
    </row>
    <row r="4794" spans="2:33">
      <c r="B4794" s="29"/>
      <c r="D4794" s="29"/>
      <c r="E4794" s="20"/>
      <c r="F4794" s="20"/>
      <c r="AC4794" s="20"/>
      <c r="AG4794" s="29"/>
    </row>
    <row r="4795" spans="2:33">
      <c r="B4795" s="29"/>
      <c r="D4795" s="29"/>
      <c r="E4795" s="20"/>
      <c r="F4795" s="20"/>
      <c r="AC4795" s="20"/>
      <c r="AG4795" s="29"/>
    </row>
    <row r="4796" spans="2:33">
      <c r="B4796" s="29"/>
      <c r="D4796" s="29"/>
      <c r="E4796" s="20"/>
      <c r="F4796" s="20"/>
      <c r="AC4796" s="20"/>
      <c r="AG4796" s="29"/>
    </row>
    <row r="4797" spans="2:33">
      <c r="B4797" s="29"/>
      <c r="D4797" s="29"/>
      <c r="E4797" s="20"/>
      <c r="F4797" s="20"/>
      <c r="AC4797" s="20"/>
      <c r="AG4797" s="29"/>
    </row>
    <row r="4798" spans="2:33">
      <c r="B4798" s="29"/>
      <c r="D4798" s="29"/>
      <c r="E4798" s="20"/>
      <c r="F4798" s="20"/>
      <c r="AC4798" s="20"/>
      <c r="AG4798" s="29"/>
    </row>
    <row r="4799" spans="2:33">
      <c r="B4799" s="29"/>
      <c r="D4799" s="29"/>
      <c r="E4799" s="20"/>
      <c r="F4799" s="20"/>
      <c r="AC4799" s="20"/>
      <c r="AG4799" s="29"/>
    </row>
    <row r="4800" spans="2:33">
      <c r="B4800" s="29"/>
      <c r="D4800" s="29"/>
      <c r="E4800" s="20"/>
      <c r="F4800" s="20"/>
      <c r="AC4800" s="20"/>
      <c r="AG4800" s="29"/>
    </row>
    <row r="4801" spans="2:33">
      <c r="B4801" s="29"/>
      <c r="D4801" s="29"/>
      <c r="E4801" s="20"/>
      <c r="F4801" s="20"/>
      <c r="AC4801" s="20"/>
      <c r="AG4801" s="29"/>
    </row>
    <row r="4802" spans="2:33">
      <c r="B4802" s="29"/>
      <c r="D4802" s="29"/>
      <c r="E4802" s="20"/>
      <c r="F4802" s="20"/>
      <c r="AC4802" s="20"/>
      <c r="AG4802" s="29"/>
    </row>
    <row r="4803" spans="2:33">
      <c r="B4803" s="29"/>
      <c r="D4803" s="29"/>
      <c r="E4803" s="20"/>
      <c r="F4803" s="20"/>
      <c r="AC4803" s="20"/>
      <c r="AG4803" s="29"/>
    </row>
    <row r="4804" spans="2:33">
      <c r="B4804" s="29"/>
      <c r="D4804" s="29"/>
      <c r="E4804" s="20"/>
      <c r="F4804" s="20"/>
      <c r="AC4804" s="20"/>
      <c r="AG4804" s="29"/>
    </row>
    <row r="4805" spans="2:33">
      <c r="B4805" s="29"/>
      <c r="D4805" s="29"/>
      <c r="E4805" s="20"/>
      <c r="F4805" s="20"/>
      <c r="AC4805" s="20"/>
      <c r="AG4805" s="29"/>
    </row>
    <row r="4806" spans="2:33">
      <c r="B4806" s="29"/>
      <c r="D4806" s="29"/>
      <c r="E4806" s="20"/>
      <c r="F4806" s="20"/>
      <c r="AC4806" s="20"/>
      <c r="AG4806" s="29"/>
    </row>
    <row r="4807" spans="2:33">
      <c r="B4807" s="29"/>
      <c r="D4807" s="29"/>
      <c r="E4807" s="20"/>
      <c r="F4807" s="20"/>
      <c r="AC4807" s="20"/>
      <c r="AG4807" s="29"/>
    </row>
    <row r="4808" spans="2:33">
      <c r="B4808" s="29"/>
      <c r="D4808" s="29"/>
      <c r="E4808" s="20"/>
      <c r="F4808" s="20"/>
      <c r="AC4808" s="20"/>
      <c r="AG4808" s="29"/>
    </row>
    <row r="4809" spans="2:33">
      <c r="B4809" s="29"/>
      <c r="D4809" s="29"/>
      <c r="E4809" s="20"/>
      <c r="F4809" s="20"/>
      <c r="AC4809" s="20"/>
      <c r="AG4809" s="29"/>
    </row>
    <row r="4810" spans="2:33">
      <c r="B4810" s="29"/>
      <c r="D4810" s="29"/>
      <c r="E4810" s="20"/>
      <c r="F4810" s="20"/>
      <c r="AC4810" s="20"/>
      <c r="AG4810" s="29"/>
    </row>
    <row r="4811" spans="2:33">
      <c r="B4811" s="29"/>
      <c r="D4811" s="29"/>
      <c r="E4811" s="20"/>
      <c r="F4811" s="20"/>
      <c r="AC4811" s="20"/>
      <c r="AG4811" s="29"/>
    </row>
    <row r="4812" spans="2:33">
      <c r="B4812" s="29"/>
      <c r="D4812" s="29"/>
      <c r="E4812" s="20"/>
      <c r="F4812" s="20"/>
      <c r="AC4812" s="20"/>
      <c r="AG4812" s="29"/>
    </row>
    <row r="4813" spans="2:33">
      <c r="B4813" s="29"/>
      <c r="D4813" s="29"/>
      <c r="E4813" s="20"/>
      <c r="F4813" s="20"/>
      <c r="AC4813" s="20"/>
      <c r="AG4813" s="29"/>
    </row>
    <row r="4814" spans="2:33">
      <c r="B4814" s="29"/>
      <c r="D4814" s="29"/>
      <c r="E4814" s="20"/>
      <c r="F4814" s="20"/>
      <c r="AC4814" s="20"/>
      <c r="AG4814" s="29"/>
    </row>
    <row r="4815" spans="2:33">
      <c r="B4815" s="29"/>
      <c r="D4815" s="29"/>
      <c r="E4815" s="20"/>
      <c r="F4815" s="20"/>
      <c r="AC4815" s="20"/>
      <c r="AG4815" s="29"/>
    </row>
    <row r="4816" spans="2:33">
      <c r="B4816" s="29"/>
      <c r="D4816" s="29"/>
      <c r="E4816" s="20"/>
      <c r="F4816" s="20"/>
      <c r="AC4816" s="20"/>
      <c r="AG4816" s="29"/>
    </row>
    <row r="4817" spans="2:33">
      <c r="B4817" s="29"/>
      <c r="D4817" s="29"/>
      <c r="E4817" s="20"/>
      <c r="F4817" s="20"/>
      <c r="AC4817" s="20"/>
      <c r="AG4817" s="29"/>
    </row>
    <row r="4818" spans="2:33">
      <c r="B4818" s="29"/>
      <c r="D4818" s="29"/>
      <c r="E4818" s="20"/>
      <c r="F4818" s="20"/>
      <c r="AC4818" s="20"/>
      <c r="AG4818" s="29"/>
    </row>
    <row r="4819" spans="2:33">
      <c r="B4819" s="29"/>
      <c r="D4819" s="29"/>
      <c r="E4819" s="20"/>
      <c r="F4819" s="20"/>
      <c r="AC4819" s="20"/>
      <c r="AG4819" s="29"/>
    </row>
    <row r="4820" spans="2:33">
      <c r="B4820" s="29"/>
      <c r="D4820" s="29"/>
      <c r="E4820" s="20"/>
      <c r="F4820" s="20"/>
      <c r="AC4820" s="20"/>
      <c r="AG4820" s="29"/>
    </row>
    <row r="4821" spans="2:33">
      <c r="B4821" s="29"/>
      <c r="D4821" s="29"/>
      <c r="E4821" s="20"/>
      <c r="F4821" s="20"/>
      <c r="AC4821" s="20"/>
      <c r="AG4821" s="29"/>
    </row>
    <row r="4822" spans="2:33">
      <c r="B4822" s="29"/>
      <c r="D4822" s="29"/>
      <c r="E4822" s="20"/>
      <c r="F4822" s="20"/>
      <c r="AC4822" s="20"/>
      <c r="AG4822" s="29"/>
    </row>
    <row r="4823" spans="2:33">
      <c r="B4823" s="29"/>
      <c r="D4823" s="29"/>
      <c r="E4823" s="20"/>
      <c r="F4823" s="20"/>
      <c r="AC4823" s="20"/>
      <c r="AG4823" s="29"/>
    </row>
    <row r="4824" spans="2:33">
      <c r="B4824" s="29"/>
      <c r="D4824" s="29"/>
      <c r="E4824" s="20"/>
      <c r="F4824" s="20"/>
      <c r="AC4824" s="20"/>
      <c r="AG4824" s="29"/>
    </row>
    <row r="4825" spans="2:33">
      <c r="B4825" s="29"/>
      <c r="D4825" s="29"/>
      <c r="E4825" s="20"/>
      <c r="F4825" s="20"/>
      <c r="AC4825" s="20"/>
      <c r="AG4825" s="29"/>
    </row>
    <row r="4826" spans="2:33">
      <c r="B4826" s="29"/>
      <c r="D4826" s="29"/>
      <c r="E4826" s="20"/>
      <c r="F4826" s="20"/>
      <c r="AC4826" s="20"/>
      <c r="AG4826" s="29"/>
    </row>
    <row r="4827" spans="2:33">
      <c r="B4827" s="29"/>
      <c r="D4827" s="29"/>
      <c r="E4827" s="20"/>
      <c r="F4827" s="20"/>
      <c r="AC4827" s="20"/>
      <c r="AG4827" s="29"/>
    </row>
    <row r="4828" spans="2:33">
      <c r="B4828" s="29"/>
      <c r="D4828" s="29"/>
      <c r="E4828" s="20"/>
      <c r="F4828" s="20"/>
      <c r="AC4828" s="20"/>
      <c r="AG4828" s="29"/>
    </row>
    <row r="4829" spans="2:33">
      <c r="B4829" s="29"/>
      <c r="D4829" s="29"/>
      <c r="E4829" s="20"/>
      <c r="F4829" s="20"/>
      <c r="AC4829" s="20"/>
      <c r="AG4829" s="29"/>
    </row>
    <row r="4830" spans="2:33">
      <c r="B4830" s="29"/>
      <c r="D4830" s="29"/>
      <c r="E4830" s="20"/>
      <c r="F4830" s="20"/>
      <c r="AC4830" s="20"/>
      <c r="AG4830" s="29"/>
    </row>
    <row r="4831" spans="2:33">
      <c r="B4831" s="29"/>
      <c r="D4831" s="29"/>
      <c r="E4831" s="20"/>
      <c r="F4831" s="20"/>
      <c r="AC4831" s="20"/>
      <c r="AG4831" s="29"/>
    </row>
    <row r="4832" spans="2:33">
      <c r="B4832" s="29"/>
      <c r="D4832" s="29"/>
      <c r="E4832" s="20"/>
      <c r="F4832" s="20"/>
      <c r="AC4832" s="20"/>
      <c r="AG4832" s="29"/>
    </row>
    <row r="4833" spans="2:33">
      <c r="B4833" s="29"/>
      <c r="D4833" s="29"/>
      <c r="E4833" s="20"/>
      <c r="F4833" s="20"/>
      <c r="AC4833" s="20"/>
      <c r="AG4833" s="29"/>
    </row>
    <row r="4834" spans="2:33">
      <c r="B4834" s="29"/>
      <c r="D4834" s="29"/>
      <c r="E4834" s="20"/>
      <c r="F4834" s="20"/>
      <c r="AC4834" s="20"/>
      <c r="AG4834" s="29"/>
    </row>
    <row r="4835" spans="2:33">
      <c r="B4835" s="29"/>
      <c r="D4835" s="29"/>
      <c r="E4835" s="20"/>
      <c r="F4835" s="20"/>
      <c r="AC4835" s="20"/>
      <c r="AG4835" s="29"/>
    </row>
    <row r="4836" spans="2:33">
      <c r="B4836" s="29"/>
      <c r="D4836" s="29"/>
      <c r="E4836" s="20"/>
      <c r="F4836" s="20"/>
      <c r="AC4836" s="20"/>
      <c r="AG4836" s="29"/>
    </row>
    <row r="4837" spans="2:33">
      <c r="B4837" s="29"/>
      <c r="D4837" s="29"/>
      <c r="E4837" s="20"/>
      <c r="F4837" s="20"/>
      <c r="AC4837" s="20"/>
      <c r="AG4837" s="29"/>
    </row>
    <row r="4838" spans="2:33">
      <c r="B4838" s="29"/>
      <c r="D4838" s="29"/>
      <c r="E4838" s="20"/>
      <c r="F4838" s="20"/>
      <c r="AC4838" s="20"/>
      <c r="AG4838" s="29"/>
    </row>
    <row r="4839" spans="2:33">
      <c r="B4839" s="29"/>
      <c r="D4839" s="29"/>
      <c r="E4839" s="20"/>
      <c r="F4839" s="20"/>
      <c r="AC4839" s="20"/>
      <c r="AG4839" s="29"/>
    </row>
    <row r="4840" spans="2:33">
      <c r="B4840" s="29"/>
      <c r="D4840" s="29"/>
      <c r="E4840" s="20"/>
      <c r="F4840" s="20"/>
      <c r="AC4840" s="20"/>
      <c r="AG4840" s="29"/>
    </row>
    <row r="4841" spans="2:33">
      <c r="B4841" s="29"/>
      <c r="D4841" s="29"/>
      <c r="E4841" s="20"/>
      <c r="F4841" s="20"/>
      <c r="AC4841" s="20"/>
      <c r="AG4841" s="29"/>
    </row>
    <row r="4842" spans="2:33">
      <c r="B4842" s="29"/>
      <c r="D4842" s="29"/>
      <c r="E4842" s="20"/>
      <c r="F4842" s="20"/>
      <c r="AC4842" s="20"/>
      <c r="AG4842" s="29"/>
    </row>
    <row r="4843" spans="2:33">
      <c r="B4843" s="29"/>
      <c r="D4843" s="29"/>
      <c r="E4843" s="20"/>
      <c r="F4843" s="20"/>
      <c r="AC4843" s="20"/>
      <c r="AG4843" s="29"/>
    </row>
    <row r="4844" spans="2:33">
      <c r="B4844" s="29"/>
      <c r="D4844" s="29"/>
      <c r="E4844" s="20"/>
      <c r="F4844" s="20"/>
      <c r="AC4844" s="20"/>
      <c r="AG4844" s="29"/>
    </row>
    <row r="4845" spans="2:33">
      <c r="B4845" s="29"/>
      <c r="D4845" s="29"/>
      <c r="E4845" s="20"/>
      <c r="F4845" s="20"/>
      <c r="AC4845" s="20"/>
      <c r="AG4845" s="29"/>
    </row>
    <row r="4846" spans="2:33">
      <c r="B4846" s="29"/>
      <c r="D4846" s="29"/>
      <c r="E4846" s="20"/>
      <c r="F4846" s="20"/>
      <c r="AC4846" s="20"/>
      <c r="AG4846" s="29"/>
    </row>
    <row r="4847" spans="2:33">
      <c r="B4847" s="29"/>
      <c r="D4847" s="29"/>
      <c r="E4847" s="20"/>
      <c r="F4847" s="20"/>
      <c r="AC4847" s="20"/>
      <c r="AG4847" s="29"/>
    </row>
    <row r="4848" spans="2:33">
      <c r="B4848" s="29"/>
      <c r="D4848" s="29"/>
      <c r="E4848" s="20"/>
      <c r="F4848" s="20"/>
      <c r="AC4848" s="20"/>
      <c r="AG4848" s="29"/>
    </row>
    <row r="4849" spans="2:33">
      <c r="B4849" s="29"/>
      <c r="D4849" s="29"/>
      <c r="E4849" s="20"/>
      <c r="F4849" s="20"/>
      <c r="AC4849" s="20"/>
      <c r="AG4849" s="29"/>
    </row>
    <row r="4850" spans="2:33">
      <c r="B4850" s="29"/>
      <c r="D4850" s="29"/>
      <c r="E4850" s="20"/>
      <c r="F4850" s="20"/>
      <c r="AC4850" s="20"/>
      <c r="AG4850" s="29"/>
    </row>
    <row r="4851" spans="2:33">
      <c r="B4851" s="29"/>
      <c r="D4851" s="29"/>
      <c r="E4851" s="20"/>
      <c r="F4851" s="20"/>
      <c r="AC4851" s="20"/>
      <c r="AG4851" s="29"/>
    </row>
    <row r="4852" spans="2:33">
      <c r="B4852" s="29"/>
      <c r="D4852" s="29"/>
      <c r="E4852" s="20"/>
      <c r="F4852" s="20"/>
      <c r="AC4852" s="20"/>
      <c r="AG4852" s="29"/>
    </row>
    <row r="4853" spans="2:33">
      <c r="B4853" s="29"/>
      <c r="D4853" s="29"/>
      <c r="E4853" s="20"/>
      <c r="F4853" s="20"/>
      <c r="AC4853" s="20"/>
      <c r="AG4853" s="29"/>
    </row>
    <row r="4854" spans="2:33">
      <c r="B4854" s="29"/>
      <c r="D4854" s="29"/>
      <c r="E4854" s="20"/>
      <c r="F4854" s="20"/>
      <c r="AC4854" s="20"/>
      <c r="AG4854" s="29"/>
    </row>
    <row r="4855" spans="2:33">
      <c r="B4855" s="29"/>
      <c r="D4855" s="29"/>
      <c r="E4855" s="20"/>
      <c r="F4855" s="20"/>
      <c r="AC4855" s="20"/>
      <c r="AG4855" s="29"/>
    </row>
    <row r="4856" spans="2:33">
      <c r="B4856" s="29"/>
      <c r="D4856" s="29"/>
      <c r="E4856" s="20"/>
      <c r="F4856" s="20"/>
      <c r="AC4856" s="20"/>
      <c r="AG4856" s="29"/>
    </row>
    <row r="4857" spans="2:33">
      <c r="B4857" s="29"/>
      <c r="D4857" s="29"/>
      <c r="E4857" s="20"/>
      <c r="F4857" s="20"/>
      <c r="AC4857" s="20"/>
      <c r="AG4857" s="29"/>
    </row>
    <row r="4858" spans="2:33">
      <c r="B4858" s="29"/>
      <c r="D4858" s="29"/>
      <c r="E4858" s="20"/>
      <c r="F4858" s="20"/>
      <c r="AC4858" s="20"/>
      <c r="AG4858" s="29"/>
    </row>
    <row r="4859" spans="2:33">
      <c r="B4859" s="29"/>
      <c r="D4859" s="29"/>
      <c r="E4859" s="20"/>
      <c r="F4859" s="20"/>
      <c r="AC4859" s="20"/>
      <c r="AG4859" s="29"/>
    </row>
    <row r="4860" spans="2:33">
      <c r="B4860" s="29"/>
      <c r="D4860" s="29"/>
      <c r="E4860" s="20"/>
      <c r="F4860" s="20"/>
      <c r="AC4860" s="20"/>
      <c r="AG4860" s="29"/>
    </row>
    <row r="4861" spans="2:33">
      <c r="B4861" s="29"/>
      <c r="D4861" s="29"/>
      <c r="E4861" s="20"/>
      <c r="F4861" s="20"/>
      <c r="AC4861" s="20"/>
      <c r="AG4861" s="29"/>
    </row>
    <row r="4862" spans="2:33">
      <c r="B4862" s="29"/>
      <c r="D4862" s="29"/>
      <c r="E4862" s="20"/>
      <c r="F4862" s="20"/>
      <c r="AC4862" s="20"/>
      <c r="AG4862" s="29"/>
    </row>
    <row r="4863" spans="2:33">
      <c r="B4863" s="29"/>
      <c r="D4863" s="29"/>
      <c r="E4863" s="20"/>
      <c r="F4863" s="20"/>
      <c r="AC4863" s="20"/>
      <c r="AG4863" s="29"/>
    </row>
    <row r="4864" spans="2:33">
      <c r="B4864" s="29"/>
      <c r="D4864" s="29"/>
      <c r="E4864" s="20"/>
      <c r="F4864" s="20"/>
      <c r="AC4864" s="20"/>
      <c r="AG4864" s="29"/>
    </row>
    <row r="4865" spans="2:33">
      <c r="B4865" s="29"/>
      <c r="D4865" s="29"/>
      <c r="E4865" s="20"/>
      <c r="F4865" s="20"/>
      <c r="AC4865" s="20"/>
      <c r="AG4865" s="29"/>
    </row>
    <row r="4866" spans="2:33">
      <c r="B4866" s="29"/>
      <c r="D4866" s="29"/>
      <c r="E4866" s="20"/>
      <c r="F4866" s="20"/>
      <c r="AC4866" s="20"/>
      <c r="AG4866" s="29"/>
    </row>
    <row r="4867" spans="2:33">
      <c r="B4867" s="29"/>
      <c r="D4867" s="29"/>
      <c r="E4867" s="20"/>
      <c r="F4867" s="20"/>
      <c r="AC4867" s="20"/>
      <c r="AG4867" s="29"/>
    </row>
    <row r="4868" spans="2:33">
      <c r="B4868" s="29"/>
      <c r="D4868" s="29"/>
      <c r="E4868" s="20"/>
      <c r="F4868" s="20"/>
      <c r="AC4868" s="20"/>
      <c r="AG4868" s="29"/>
    </row>
    <row r="4869" spans="2:33">
      <c r="B4869" s="29"/>
      <c r="D4869" s="29"/>
      <c r="E4869" s="20"/>
      <c r="F4869" s="20"/>
      <c r="AC4869" s="20"/>
      <c r="AG4869" s="29"/>
    </row>
    <row r="4870" spans="2:33">
      <c r="B4870" s="29"/>
      <c r="D4870" s="29"/>
      <c r="E4870" s="20"/>
      <c r="F4870" s="20"/>
      <c r="AC4870" s="20"/>
      <c r="AG4870" s="29"/>
    </row>
    <row r="4871" spans="2:33">
      <c r="B4871" s="29"/>
      <c r="D4871" s="29"/>
      <c r="E4871" s="20"/>
      <c r="F4871" s="20"/>
      <c r="AC4871" s="20"/>
      <c r="AG4871" s="29"/>
    </row>
    <row r="4872" spans="2:33">
      <c r="B4872" s="29"/>
      <c r="D4872" s="29"/>
      <c r="E4872" s="20"/>
      <c r="F4872" s="20"/>
      <c r="AC4872" s="20"/>
      <c r="AG4872" s="29"/>
    </row>
    <row r="4873" spans="2:33">
      <c r="B4873" s="29"/>
      <c r="D4873" s="29"/>
      <c r="E4873" s="20"/>
      <c r="F4873" s="20"/>
      <c r="AC4873" s="20"/>
      <c r="AG4873" s="29"/>
    </row>
    <row r="4874" spans="2:33">
      <c r="B4874" s="29"/>
      <c r="D4874" s="29"/>
      <c r="E4874" s="20"/>
      <c r="F4874" s="20"/>
      <c r="AC4874" s="20"/>
      <c r="AG4874" s="29"/>
    </row>
    <row r="4875" spans="2:33">
      <c r="B4875" s="29"/>
      <c r="D4875" s="29"/>
      <c r="E4875" s="20"/>
      <c r="F4875" s="20"/>
      <c r="AC4875" s="20"/>
      <c r="AG4875" s="29"/>
    </row>
    <row r="4876" spans="2:33">
      <c r="B4876" s="29"/>
      <c r="D4876" s="29"/>
      <c r="E4876" s="20"/>
      <c r="F4876" s="20"/>
      <c r="AC4876" s="20"/>
      <c r="AG4876" s="29"/>
    </row>
    <row r="4877" spans="2:33">
      <c r="B4877" s="29"/>
      <c r="D4877" s="29"/>
      <c r="E4877" s="20"/>
      <c r="F4877" s="20"/>
      <c r="AC4877" s="20"/>
      <c r="AG4877" s="29"/>
    </row>
    <row r="4878" spans="2:33">
      <c r="B4878" s="29"/>
      <c r="D4878" s="29"/>
      <c r="E4878" s="20"/>
      <c r="F4878" s="20"/>
      <c r="AC4878" s="20"/>
      <c r="AG4878" s="29"/>
    </row>
    <row r="4879" spans="2:33">
      <c r="B4879" s="29"/>
      <c r="D4879" s="29"/>
      <c r="E4879" s="20"/>
      <c r="F4879" s="20"/>
      <c r="AC4879" s="20"/>
      <c r="AG4879" s="29"/>
    </row>
    <row r="4880" spans="2:33">
      <c r="B4880" s="29"/>
      <c r="D4880" s="29"/>
      <c r="E4880" s="20"/>
      <c r="F4880" s="20"/>
      <c r="AC4880" s="20"/>
      <c r="AG4880" s="29"/>
    </row>
    <row r="4881" spans="2:33">
      <c r="B4881" s="29"/>
      <c r="D4881" s="29"/>
      <c r="E4881" s="20"/>
      <c r="F4881" s="20"/>
      <c r="AC4881" s="20"/>
      <c r="AG4881" s="29"/>
    </row>
    <row r="4882" spans="2:33">
      <c r="B4882" s="29"/>
      <c r="D4882" s="29"/>
      <c r="E4882" s="20"/>
      <c r="F4882" s="20"/>
      <c r="AC4882" s="20"/>
      <c r="AG4882" s="29"/>
    </row>
    <row r="4883" spans="2:33">
      <c r="B4883" s="29"/>
      <c r="D4883" s="29"/>
      <c r="E4883" s="20"/>
      <c r="F4883" s="20"/>
      <c r="AC4883" s="20"/>
      <c r="AG4883" s="29"/>
    </row>
    <row r="4884" spans="2:33">
      <c r="B4884" s="29"/>
      <c r="D4884" s="29"/>
      <c r="E4884" s="20"/>
      <c r="F4884" s="20"/>
      <c r="AC4884" s="20"/>
      <c r="AG4884" s="29"/>
    </row>
    <row r="4885" spans="2:33">
      <c r="B4885" s="29"/>
      <c r="D4885" s="29"/>
      <c r="E4885" s="20"/>
      <c r="F4885" s="20"/>
      <c r="AC4885" s="20"/>
      <c r="AG4885" s="29"/>
    </row>
    <row r="4886" spans="2:33">
      <c r="B4886" s="29"/>
      <c r="D4886" s="29"/>
      <c r="E4886" s="20"/>
      <c r="F4886" s="20"/>
      <c r="AC4886" s="20"/>
      <c r="AG4886" s="29"/>
    </row>
    <row r="4887" spans="2:33">
      <c r="B4887" s="29"/>
      <c r="D4887" s="29"/>
      <c r="E4887" s="20"/>
      <c r="F4887" s="20"/>
      <c r="AC4887" s="20"/>
      <c r="AG4887" s="29"/>
    </row>
    <row r="4888" spans="2:33">
      <c r="B4888" s="29"/>
      <c r="D4888" s="29"/>
      <c r="E4888" s="20"/>
      <c r="F4888" s="20"/>
      <c r="AC4888" s="20"/>
      <c r="AG4888" s="29"/>
    </row>
    <row r="4889" spans="2:33">
      <c r="B4889" s="29"/>
      <c r="D4889" s="29"/>
      <c r="E4889" s="20"/>
      <c r="F4889" s="20"/>
      <c r="AC4889" s="20"/>
      <c r="AG4889" s="29"/>
    </row>
    <row r="4890" spans="2:33">
      <c r="B4890" s="29"/>
      <c r="D4890" s="29"/>
      <c r="E4890" s="20"/>
      <c r="F4890" s="20"/>
      <c r="AC4890" s="20"/>
      <c r="AG4890" s="29"/>
    </row>
    <row r="4891" spans="2:33">
      <c r="B4891" s="29"/>
      <c r="D4891" s="29"/>
      <c r="E4891" s="20"/>
      <c r="F4891" s="20"/>
      <c r="AC4891" s="20"/>
      <c r="AG4891" s="29"/>
    </row>
    <row r="4892" spans="2:33">
      <c r="B4892" s="29"/>
      <c r="D4892" s="29"/>
      <c r="E4892" s="20"/>
      <c r="F4892" s="20"/>
      <c r="AC4892" s="20"/>
      <c r="AG4892" s="29"/>
    </row>
    <row r="4893" spans="2:33">
      <c r="B4893" s="29"/>
      <c r="D4893" s="29"/>
      <c r="E4893" s="20"/>
      <c r="F4893" s="20"/>
      <c r="AC4893" s="20"/>
      <c r="AG4893" s="29"/>
    </row>
    <row r="4894" spans="2:33">
      <c r="B4894" s="29"/>
      <c r="D4894" s="29"/>
      <c r="E4894" s="20"/>
      <c r="F4894" s="20"/>
      <c r="AC4894" s="20"/>
      <c r="AG4894" s="29"/>
    </row>
    <row r="4895" spans="2:33">
      <c r="B4895" s="29"/>
      <c r="D4895" s="29"/>
      <c r="E4895" s="20"/>
      <c r="F4895" s="20"/>
      <c r="AC4895" s="20"/>
      <c r="AG4895" s="29"/>
    </row>
    <row r="4896" spans="2:33">
      <c r="B4896" s="29"/>
      <c r="D4896" s="29"/>
      <c r="E4896" s="20"/>
      <c r="F4896" s="20"/>
      <c r="AC4896" s="20"/>
      <c r="AG4896" s="29"/>
    </row>
    <row r="4897" spans="2:33">
      <c r="B4897" s="29"/>
      <c r="D4897" s="29"/>
      <c r="E4897" s="20"/>
      <c r="F4897" s="20"/>
      <c r="AC4897" s="20"/>
      <c r="AG4897" s="29"/>
    </row>
    <row r="4898" spans="2:33">
      <c r="B4898" s="29"/>
      <c r="D4898" s="29"/>
      <c r="E4898" s="20"/>
      <c r="F4898" s="20"/>
      <c r="AC4898" s="20"/>
      <c r="AG4898" s="29"/>
    </row>
    <row r="4899" spans="2:33">
      <c r="B4899" s="29"/>
      <c r="D4899" s="29"/>
      <c r="E4899" s="20"/>
      <c r="F4899" s="20"/>
      <c r="AC4899" s="20"/>
      <c r="AG4899" s="29"/>
    </row>
    <row r="4900" spans="2:33">
      <c r="B4900" s="29"/>
      <c r="D4900" s="29"/>
      <c r="E4900" s="20"/>
      <c r="F4900" s="20"/>
      <c r="AC4900" s="20"/>
      <c r="AG4900" s="29"/>
    </row>
    <row r="4901" spans="2:33">
      <c r="B4901" s="29"/>
      <c r="D4901" s="29"/>
      <c r="E4901" s="20"/>
      <c r="F4901" s="20"/>
      <c r="AC4901" s="20"/>
      <c r="AG4901" s="29"/>
    </row>
    <row r="4902" spans="2:33">
      <c r="B4902" s="29"/>
      <c r="D4902" s="29"/>
      <c r="E4902" s="20"/>
      <c r="F4902" s="20"/>
      <c r="AC4902" s="20"/>
      <c r="AG4902" s="29"/>
    </row>
    <row r="4903" spans="2:33">
      <c r="B4903" s="29"/>
      <c r="D4903" s="29"/>
      <c r="E4903" s="20"/>
      <c r="F4903" s="20"/>
      <c r="AC4903" s="20"/>
      <c r="AG4903" s="29"/>
    </row>
    <row r="4904" spans="2:33">
      <c r="B4904" s="29"/>
      <c r="D4904" s="29"/>
      <c r="E4904" s="20"/>
      <c r="F4904" s="20"/>
      <c r="AC4904" s="20"/>
      <c r="AG4904" s="29"/>
    </row>
    <row r="4905" spans="2:33">
      <c r="B4905" s="29"/>
      <c r="D4905" s="29"/>
      <c r="E4905" s="20"/>
      <c r="F4905" s="20"/>
      <c r="AC4905" s="20"/>
      <c r="AG4905" s="29"/>
    </row>
    <row r="4906" spans="2:33">
      <c r="B4906" s="29"/>
      <c r="D4906" s="29"/>
      <c r="E4906" s="20"/>
      <c r="F4906" s="20"/>
      <c r="AC4906" s="20"/>
      <c r="AG4906" s="29"/>
    </row>
    <row r="4907" spans="2:33">
      <c r="B4907" s="29"/>
      <c r="D4907" s="29"/>
      <c r="E4907" s="20"/>
      <c r="F4907" s="20"/>
      <c r="AC4907" s="20"/>
      <c r="AG4907" s="29"/>
    </row>
    <row r="4908" spans="2:33">
      <c r="B4908" s="29"/>
      <c r="D4908" s="29"/>
      <c r="E4908" s="20"/>
      <c r="F4908" s="20"/>
      <c r="AC4908" s="20"/>
      <c r="AG4908" s="29"/>
    </row>
    <row r="4909" spans="2:33">
      <c r="B4909" s="29"/>
      <c r="D4909" s="29"/>
      <c r="E4909" s="20"/>
      <c r="F4909" s="20"/>
      <c r="AC4909" s="20"/>
      <c r="AG4909" s="29"/>
    </row>
    <row r="4910" spans="2:33">
      <c r="B4910" s="29"/>
      <c r="D4910" s="29"/>
      <c r="E4910" s="20"/>
      <c r="F4910" s="20"/>
      <c r="AC4910" s="20"/>
      <c r="AG4910" s="29"/>
    </row>
    <row r="4911" spans="2:33">
      <c r="B4911" s="29"/>
      <c r="D4911" s="29"/>
      <c r="E4911" s="20"/>
      <c r="F4911" s="20"/>
      <c r="AC4911" s="20"/>
      <c r="AG4911" s="29"/>
    </row>
    <row r="4912" spans="2:33">
      <c r="B4912" s="29"/>
      <c r="D4912" s="29"/>
      <c r="E4912" s="20"/>
      <c r="F4912" s="20"/>
      <c r="AC4912" s="20"/>
      <c r="AG4912" s="29"/>
    </row>
    <row r="4913" spans="2:33">
      <c r="B4913" s="29"/>
      <c r="D4913" s="29"/>
      <c r="E4913" s="20"/>
      <c r="F4913" s="20"/>
      <c r="AC4913" s="20"/>
      <c r="AG4913" s="29"/>
    </row>
    <row r="4914" spans="2:33">
      <c r="B4914" s="29"/>
      <c r="D4914" s="29"/>
      <c r="E4914" s="20"/>
      <c r="F4914" s="20"/>
      <c r="AC4914" s="20"/>
      <c r="AG4914" s="29"/>
    </row>
    <row r="4915" spans="2:33">
      <c r="B4915" s="29"/>
      <c r="D4915" s="29"/>
      <c r="E4915" s="20"/>
      <c r="F4915" s="20"/>
      <c r="AC4915" s="20"/>
      <c r="AG4915" s="29"/>
    </row>
    <row r="4916" spans="2:33">
      <c r="B4916" s="29"/>
      <c r="D4916" s="29"/>
      <c r="E4916" s="20"/>
      <c r="F4916" s="20"/>
      <c r="AC4916" s="20"/>
      <c r="AG4916" s="29"/>
    </row>
    <row r="4917" spans="2:33">
      <c r="B4917" s="29"/>
      <c r="D4917" s="29"/>
      <c r="E4917" s="20"/>
      <c r="F4917" s="20"/>
      <c r="AC4917" s="20"/>
      <c r="AG4917" s="29"/>
    </row>
    <row r="4918" spans="2:33">
      <c r="B4918" s="29"/>
      <c r="D4918" s="29"/>
      <c r="E4918" s="20"/>
      <c r="F4918" s="20"/>
      <c r="AC4918" s="20"/>
      <c r="AG4918" s="29"/>
    </row>
    <row r="4919" spans="2:33">
      <c r="B4919" s="29"/>
      <c r="D4919" s="29"/>
      <c r="E4919" s="20"/>
      <c r="F4919" s="20"/>
      <c r="AC4919" s="20"/>
      <c r="AG4919" s="29"/>
    </row>
    <row r="4920" spans="2:33">
      <c r="B4920" s="29"/>
      <c r="D4920" s="29"/>
      <c r="E4920" s="20"/>
      <c r="F4920" s="20"/>
      <c r="AC4920" s="20"/>
      <c r="AG4920" s="29"/>
    </row>
    <row r="4921" spans="2:33">
      <c r="B4921" s="29"/>
      <c r="D4921" s="29"/>
      <c r="E4921" s="20"/>
      <c r="F4921" s="20"/>
      <c r="AC4921" s="20"/>
      <c r="AG4921" s="29"/>
    </row>
    <row r="4922" spans="2:33">
      <c r="B4922" s="29"/>
      <c r="D4922" s="29"/>
      <c r="E4922" s="20"/>
      <c r="F4922" s="20"/>
      <c r="AC4922" s="20"/>
      <c r="AG4922" s="29"/>
    </row>
    <row r="4923" spans="2:33">
      <c r="B4923" s="29"/>
      <c r="D4923" s="29"/>
      <c r="E4923" s="20"/>
      <c r="F4923" s="20"/>
      <c r="AC4923" s="20"/>
      <c r="AG4923" s="29"/>
    </row>
    <row r="4924" spans="2:33">
      <c r="B4924" s="29"/>
      <c r="D4924" s="29"/>
      <c r="E4924" s="20"/>
      <c r="F4924" s="20"/>
      <c r="AC4924" s="20"/>
      <c r="AG4924" s="29"/>
    </row>
    <row r="4925" spans="2:33">
      <c r="B4925" s="29"/>
      <c r="D4925" s="29"/>
      <c r="E4925" s="20"/>
      <c r="F4925" s="20"/>
      <c r="AC4925" s="20"/>
      <c r="AG4925" s="29"/>
    </row>
    <row r="4926" spans="2:33">
      <c r="B4926" s="29"/>
      <c r="D4926" s="29"/>
      <c r="E4926" s="20"/>
      <c r="F4926" s="20"/>
      <c r="AC4926" s="20"/>
      <c r="AG4926" s="29"/>
    </row>
    <row r="4927" spans="2:33">
      <c r="B4927" s="29"/>
      <c r="D4927" s="29"/>
      <c r="E4927" s="20"/>
      <c r="F4927" s="20"/>
      <c r="AC4927" s="20"/>
      <c r="AG4927" s="29"/>
    </row>
    <row r="4928" spans="2:33">
      <c r="B4928" s="29"/>
      <c r="D4928" s="29"/>
      <c r="E4928" s="20"/>
      <c r="F4928" s="20"/>
      <c r="AC4928" s="20"/>
      <c r="AG4928" s="29"/>
    </row>
    <row r="4929" spans="2:33">
      <c r="B4929" s="29"/>
      <c r="D4929" s="29"/>
      <c r="E4929" s="20"/>
      <c r="F4929" s="20"/>
      <c r="AC4929" s="20"/>
      <c r="AG4929" s="29"/>
    </row>
    <row r="4930" spans="2:33">
      <c r="B4930" s="29"/>
      <c r="D4930" s="29"/>
      <c r="E4930" s="20"/>
      <c r="F4930" s="20"/>
      <c r="AC4930" s="20"/>
      <c r="AG4930" s="29"/>
    </row>
    <row r="4931" spans="2:33">
      <c r="B4931" s="29"/>
      <c r="D4931" s="29"/>
      <c r="E4931" s="20"/>
      <c r="F4931" s="20"/>
      <c r="AC4931" s="20"/>
      <c r="AG4931" s="29"/>
    </row>
    <row r="4932" spans="2:33">
      <c r="B4932" s="29"/>
      <c r="D4932" s="29"/>
      <c r="E4932" s="20"/>
      <c r="F4932" s="20"/>
      <c r="AC4932" s="20"/>
      <c r="AG4932" s="29"/>
    </row>
    <row r="4933" spans="2:33">
      <c r="B4933" s="29"/>
      <c r="D4933" s="29"/>
      <c r="E4933" s="20"/>
      <c r="F4933" s="20"/>
      <c r="AC4933" s="20"/>
      <c r="AG4933" s="29"/>
    </row>
    <row r="4934" spans="2:33">
      <c r="B4934" s="29"/>
      <c r="D4934" s="29"/>
      <c r="E4934" s="20"/>
      <c r="F4934" s="20"/>
      <c r="AC4934" s="20"/>
      <c r="AG4934" s="29"/>
    </row>
    <row r="4935" spans="2:33">
      <c r="B4935" s="29"/>
      <c r="D4935" s="29"/>
      <c r="E4935" s="20"/>
      <c r="F4935" s="20"/>
      <c r="AC4935" s="20"/>
      <c r="AG4935" s="29"/>
    </row>
    <row r="4936" spans="2:33">
      <c r="B4936" s="29"/>
      <c r="D4936" s="29"/>
      <c r="E4936" s="20"/>
      <c r="F4936" s="20"/>
      <c r="AC4936" s="20"/>
      <c r="AG4936" s="29"/>
    </row>
    <row r="4937" spans="2:33">
      <c r="B4937" s="29"/>
      <c r="D4937" s="29"/>
      <c r="E4937" s="20"/>
      <c r="F4937" s="20"/>
      <c r="AC4937" s="20"/>
      <c r="AG4937" s="29"/>
    </row>
    <row r="4938" spans="2:33">
      <c r="B4938" s="29"/>
      <c r="D4938" s="29"/>
      <c r="E4938" s="20"/>
      <c r="F4938" s="20"/>
      <c r="AC4938" s="20"/>
      <c r="AG4938" s="29"/>
    </row>
    <row r="4939" spans="2:33">
      <c r="B4939" s="29"/>
      <c r="D4939" s="29"/>
      <c r="E4939" s="20"/>
      <c r="F4939" s="20"/>
      <c r="AC4939" s="20"/>
      <c r="AG4939" s="29"/>
    </row>
    <row r="4940" spans="2:33">
      <c r="B4940" s="29"/>
      <c r="D4940" s="29"/>
      <c r="E4940" s="20"/>
      <c r="F4940" s="20"/>
      <c r="AC4940" s="20"/>
      <c r="AG4940" s="29"/>
    </row>
    <row r="4941" spans="2:33">
      <c r="B4941" s="29"/>
      <c r="D4941" s="29"/>
      <c r="E4941" s="20"/>
      <c r="F4941" s="20"/>
      <c r="AC4941" s="20"/>
      <c r="AG4941" s="29"/>
    </row>
    <row r="4942" spans="2:33">
      <c r="B4942" s="29"/>
      <c r="D4942" s="29"/>
      <c r="E4942" s="20"/>
      <c r="F4942" s="20"/>
      <c r="AC4942" s="20"/>
      <c r="AG4942" s="29"/>
    </row>
    <row r="4943" spans="2:33">
      <c r="B4943" s="29"/>
      <c r="D4943" s="29"/>
      <c r="E4943" s="20"/>
      <c r="F4943" s="20"/>
      <c r="AC4943" s="20"/>
      <c r="AG4943" s="29"/>
    </row>
    <row r="4944" spans="2:33">
      <c r="B4944" s="29"/>
      <c r="D4944" s="29"/>
      <c r="E4944" s="20"/>
      <c r="F4944" s="20"/>
      <c r="AC4944" s="20"/>
      <c r="AG4944" s="29"/>
    </row>
    <row r="4945" spans="2:33">
      <c r="B4945" s="29"/>
      <c r="D4945" s="29"/>
      <c r="E4945" s="20"/>
      <c r="F4945" s="20"/>
      <c r="AC4945" s="20"/>
      <c r="AG4945" s="29"/>
    </row>
    <row r="4946" spans="2:33">
      <c r="B4946" s="29"/>
      <c r="D4946" s="29"/>
      <c r="E4946" s="20"/>
      <c r="F4946" s="20"/>
      <c r="AC4946" s="20"/>
      <c r="AG4946" s="29"/>
    </row>
    <row r="4947" spans="2:33">
      <c r="B4947" s="29"/>
      <c r="D4947" s="29"/>
      <c r="E4947" s="20"/>
      <c r="F4947" s="20"/>
      <c r="AC4947" s="20"/>
      <c r="AG4947" s="29"/>
    </row>
    <row r="4948" spans="2:33">
      <c r="B4948" s="29"/>
      <c r="D4948" s="29"/>
      <c r="E4948" s="20"/>
      <c r="F4948" s="20"/>
      <c r="AC4948" s="20"/>
      <c r="AG4948" s="29"/>
    </row>
    <row r="4949" spans="2:33">
      <c r="B4949" s="29"/>
      <c r="D4949" s="29"/>
      <c r="E4949" s="20"/>
      <c r="F4949" s="20"/>
      <c r="AC4949" s="20"/>
      <c r="AG4949" s="29"/>
    </row>
    <row r="4950" spans="2:33">
      <c r="B4950" s="29"/>
      <c r="D4950" s="29"/>
      <c r="E4950" s="20"/>
      <c r="F4950" s="20"/>
      <c r="AC4950" s="20"/>
      <c r="AG4950" s="29"/>
    </row>
    <row r="4951" spans="2:33">
      <c r="B4951" s="29"/>
      <c r="D4951" s="29"/>
      <c r="E4951" s="20"/>
      <c r="F4951" s="20"/>
      <c r="AC4951" s="20"/>
      <c r="AG4951" s="29"/>
    </row>
    <row r="4952" spans="2:33">
      <c r="B4952" s="29"/>
      <c r="D4952" s="29"/>
      <c r="E4952" s="20"/>
      <c r="F4952" s="20"/>
      <c r="AC4952" s="20"/>
      <c r="AG4952" s="29"/>
    </row>
    <row r="4953" spans="2:33">
      <c r="B4953" s="29"/>
      <c r="D4953" s="29"/>
      <c r="E4953" s="20"/>
      <c r="F4953" s="20"/>
      <c r="AC4953" s="20"/>
      <c r="AG4953" s="29"/>
    </row>
    <row r="4954" spans="2:33">
      <c r="B4954" s="29"/>
      <c r="D4954" s="29"/>
      <c r="E4954" s="20"/>
      <c r="F4954" s="20"/>
      <c r="AC4954" s="20"/>
      <c r="AG4954" s="29"/>
    </row>
    <row r="4955" spans="2:33">
      <c r="B4955" s="29"/>
      <c r="D4955" s="29"/>
      <c r="E4955" s="20"/>
      <c r="F4955" s="20"/>
      <c r="AC4955" s="20"/>
      <c r="AG4955" s="29"/>
    </row>
    <row r="4956" spans="2:33">
      <c r="B4956" s="29"/>
      <c r="D4956" s="29"/>
      <c r="E4956" s="20"/>
      <c r="F4956" s="20"/>
      <c r="AC4956" s="20"/>
      <c r="AG4956" s="29"/>
    </row>
    <row r="4957" spans="2:33">
      <c r="B4957" s="29"/>
      <c r="D4957" s="29"/>
      <c r="E4957" s="20"/>
      <c r="F4957" s="20"/>
      <c r="AC4957" s="20"/>
      <c r="AG4957" s="29"/>
    </row>
    <row r="4958" spans="2:33">
      <c r="B4958" s="29"/>
      <c r="D4958" s="29"/>
      <c r="E4958" s="20"/>
      <c r="F4958" s="20"/>
      <c r="AC4958" s="20"/>
      <c r="AG4958" s="29"/>
    </row>
    <row r="4959" spans="2:33">
      <c r="B4959" s="29"/>
      <c r="D4959" s="29"/>
      <c r="E4959" s="20"/>
      <c r="F4959" s="20"/>
      <c r="AC4959" s="20"/>
      <c r="AG4959" s="29"/>
    </row>
    <row r="4960" spans="2:33">
      <c r="B4960" s="29"/>
      <c r="D4960" s="29"/>
      <c r="E4960" s="20"/>
      <c r="F4960" s="20"/>
      <c r="AC4960" s="20"/>
      <c r="AG4960" s="29"/>
    </row>
    <row r="4961" spans="2:33">
      <c r="B4961" s="29"/>
      <c r="D4961" s="29"/>
      <c r="E4961" s="20"/>
      <c r="F4961" s="20"/>
      <c r="AC4961" s="20"/>
      <c r="AG4961" s="29"/>
    </row>
    <row r="4962" spans="2:33">
      <c r="B4962" s="29"/>
      <c r="D4962" s="29"/>
      <c r="E4962" s="20"/>
      <c r="F4962" s="20"/>
      <c r="AC4962" s="20"/>
      <c r="AG4962" s="29"/>
    </row>
    <row r="4963" spans="2:33">
      <c r="B4963" s="29"/>
      <c r="D4963" s="29"/>
      <c r="E4963" s="20"/>
      <c r="F4963" s="20"/>
      <c r="AC4963" s="20"/>
      <c r="AG4963" s="29"/>
    </row>
    <row r="4964" spans="2:33">
      <c r="B4964" s="29"/>
      <c r="D4964" s="29"/>
      <c r="E4964" s="20"/>
      <c r="F4964" s="20"/>
      <c r="AC4964" s="20"/>
      <c r="AG4964" s="29"/>
    </row>
    <row r="4965" spans="2:33">
      <c r="B4965" s="29"/>
      <c r="D4965" s="29"/>
      <c r="E4965" s="20"/>
      <c r="F4965" s="20"/>
      <c r="AC4965" s="20"/>
      <c r="AG4965" s="29"/>
    </row>
    <row r="4966" spans="2:33">
      <c r="B4966" s="29"/>
      <c r="D4966" s="29"/>
      <c r="E4966" s="20"/>
      <c r="F4966" s="20"/>
      <c r="AC4966" s="20"/>
      <c r="AG4966" s="29"/>
    </row>
    <row r="4967" spans="2:33">
      <c r="B4967" s="29"/>
      <c r="D4967" s="29"/>
      <c r="E4967" s="20"/>
      <c r="F4967" s="20"/>
      <c r="AC4967" s="20"/>
      <c r="AG4967" s="29"/>
    </row>
    <row r="4968" spans="2:33">
      <c r="B4968" s="29"/>
      <c r="D4968" s="29"/>
      <c r="E4968" s="20"/>
      <c r="F4968" s="20"/>
      <c r="AC4968" s="20"/>
      <c r="AG4968" s="29"/>
    </row>
    <row r="4969" spans="2:33">
      <c r="B4969" s="29"/>
      <c r="D4969" s="29"/>
      <c r="E4969" s="20"/>
      <c r="F4969" s="20"/>
      <c r="AC4969" s="20"/>
      <c r="AG4969" s="29"/>
    </row>
    <row r="4970" spans="2:33">
      <c r="B4970" s="29"/>
      <c r="D4970" s="29"/>
      <c r="E4970" s="20"/>
      <c r="F4970" s="20"/>
      <c r="AC4970" s="20"/>
      <c r="AG4970" s="29"/>
    </row>
    <row r="4971" spans="2:33">
      <c r="B4971" s="29"/>
      <c r="D4971" s="29"/>
      <c r="E4971" s="20"/>
      <c r="F4971" s="20"/>
      <c r="AC4971" s="20"/>
      <c r="AG4971" s="29"/>
    </row>
    <row r="4972" spans="2:33">
      <c r="B4972" s="29"/>
      <c r="D4972" s="29"/>
      <c r="E4972" s="20"/>
      <c r="F4972" s="20"/>
      <c r="AC4972" s="20"/>
      <c r="AG4972" s="29"/>
    </row>
    <row r="4973" spans="2:33">
      <c r="B4973" s="29"/>
      <c r="D4973" s="29"/>
      <c r="E4973" s="20"/>
      <c r="F4973" s="20"/>
      <c r="AC4973" s="20"/>
      <c r="AG4973" s="29"/>
    </row>
    <row r="4974" spans="2:33">
      <c r="B4974" s="29"/>
      <c r="D4974" s="29"/>
      <c r="E4974" s="20"/>
      <c r="F4974" s="20"/>
      <c r="AC4974" s="20"/>
      <c r="AG4974" s="29"/>
    </row>
    <row r="4975" spans="2:33">
      <c r="B4975" s="29"/>
      <c r="D4975" s="29"/>
      <c r="E4975" s="20"/>
      <c r="F4975" s="20"/>
      <c r="AC4975" s="20"/>
      <c r="AG4975" s="29"/>
    </row>
    <row r="4976" spans="2:33">
      <c r="B4976" s="29"/>
      <c r="D4976" s="29"/>
      <c r="E4976" s="20"/>
      <c r="F4976" s="20"/>
      <c r="AC4976" s="20"/>
      <c r="AG4976" s="29"/>
    </row>
    <row r="4977" spans="2:33">
      <c r="B4977" s="29"/>
      <c r="D4977" s="29"/>
      <c r="E4977" s="20"/>
      <c r="F4977" s="20"/>
      <c r="AC4977" s="20"/>
      <c r="AG4977" s="29"/>
    </row>
    <row r="4978" spans="2:33">
      <c r="B4978" s="29"/>
      <c r="D4978" s="29"/>
      <c r="E4978" s="20"/>
      <c r="F4978" s="20"/>
      <c r="AC4978" s="20"/>
      <c r="AG4978" s="29"/>
    </row>
    <row r="4979" spans="2:33">
      <c r="B4979" s="29"/>
      <c r="D4979" s="29"/>
      <c r="E4979" s="20"/>
      <c r="F4979" s="20"/>
      <c r="AC4979" s="20"/>
      <c r="AG4979" s="29"/>
    </row>
    <row r="4980" spans="2:33">
      <c r="B4980" s="29"/>
      <c r="D4980" s="29"/>
      <c r="E4980" s="20"/>
      <c r="F4980" s="20"/>
      <c r="AC4980" s="20"/>
      <c r="AG4980" s="29"/>
    </row>
    <row r="4981" spans="2:33">
      <c r="B4981" s="29"/>
      <c r="D4981" s="29"/>
      <c r="E4981" s="20"/>
      <c r="F4981" s="20"/>
      <c r="AC4981" s="20"/>
      <c r="AG4981" s="29"/>
    </row>
    <row r="4982" spans="2:33">
      <c r="B4982" s="29"/>
      <c r="D4982" s="29"/>
      <c r="E4982" s="20"/>
      <c r="F4982" s="20"/>
      <c r="AC4982" s="20"/>
      <c r="AG4982" s="29"/>
    </row>
    <row r="4983" spans="2:33">
      <c r="B4983" s="29"/>
      <c r="D4983" s="29"/>
      <c r="E4983" s="20"/>
      <c r="F4983" s="20"/>
      <c r="AC4983" s="20"/>
      <c r="AG4983" s="29"/>
    </row>
    <row r="4984" spans="2:33">
      <c r="B4984" s="29"/>
      <c r="D4984" s="29"/>
      <c r="E4984" s="20"/>
      <c r="F4984" s="20"/>
      <c r="AC4984" s="20"/>
      <c r="AG4984" s="29"/>
    </row>
    <row r="4985" spans="2:33">
      <c r="B4985" s="29"/>
      <c r="D4985" s="29"/>
      <c r="E4985" s="20"/>
      <c r="F4985" s="20"/>
      <c r="AC4985" s="20"/>
      <c r="AG4985" s="29"/>
    </row>
    <row r="4986" spans="2:33">
      <c r="B4986" s="29"/>
      <c r="D4986" s="29"/>
      <c r="E4986" s="20"/>
      <c r="F4986" s="20"/>
      <c r="AC4986" s="20"/>
      <c r="AG4986" s="29"/>
    </row>
    <row r="4987" spans="2:33">
      <c r="B4987" s="29"/>
      <c r="D4987" s="29"/>
      <c r="E4987" s="20"/>
      <c r="F4987" s="20"/>
      <c r="AC4987" s="20"/>
      <c r="AG4987" s="29"/>
    </row>
    <row r="4988" spans="2:33">
      <c r="B4988" s="29"/>
      <c r="D4988" s="29"/>
      <c r="E4988" s="20"/>
      <c r="F4988" s="20"/>
      <c r="AC4988" s="20"/>
      <c r="AG4988" s="29"/>
    </row>
    <row r="4989" spans="2:33">
      <c r="B4989" s="29"/>
      <c r="D4989" s="29"/>
      <c r="E4989" s="20"/>
      <c r="F4989" s="20"/>
      <c r="AC4989" s="20"/>
      <c r="AG4989" s="29"/>
    </row>
    <row r="4990" spans="2:33">
      <c r="B4990" s="29"/>
      <c r="D4990" s="29"/>
      <c r="E4990" s="20"/>
      <c r="F4990" s="20"/>
      <c r="AC4990" s="20"/>
      <c r="AG4990" s="29"/>
    </row>
    <row r="4991" spans="2:33">
      <c r="B4991" s="29"/>
      <c r="D4991" s="29"/>
      <c r="E4991" s="20"/>
      <c r="F4991" s="20"/>
      <c r="AC4991" s="20"/>
      <c r="AG4991" s="29"/>
    </row>
    <row r="4992" spans="2:33">
      <c r="B4992" s="29"/>
      <c r="D4992" s="29"/>
      <c r="E4992" s="20"/>
      <c r="F4992" s="20"/>
      <c r="AC4992" s="20"/>
      <c r="AG4992" s="29"/>
    </row>
    <row r="4993" spans="2:33">
      <c r="B4993" s="29"/>
      <c r="D4993" s="29"/>
      <c r="E4993" s="20"/>
      <c r="F4993" s="20"/>
      <c r="AC4993" s="20"/>
      <c r="AG4993" s="29"/>
    </row>
    <row r="4994" spans="2:33">
      <c r="B4994" s="29"/>
      <c r="D4994" s="29"/>
      <c r="E4994" s="20"/>
      <c r="F4994" s="20"/>
      <c r="AC4994" s="20"/>
      <c r="AG4994" s="29"/>
    </row>
    <row r="4995" spans="2:33">
      <c r="B4995" s="29"/>
      <c r="D4995" s="29"/>
      <c r="E4995" s="20"/>
      <c r="F4995" s="20"/>
      <c r="AC4995" s="20"/>
      <c r="AG4995" s="29"/>
    </row>
    <row r="4996" spans="2:33">
      <c r="B4996" s="29"/>
      <c r="D4996" s="29"/>
      <c r="E4996" s="20"/>
      <c r="F4996" s="20"/>
      <c r="AC4996" s="20"/>
      <c r="AG4996" s="29"/>
    </row>
    <row r="4997" spans="2:33">
      <c r="B4997" s="29"/>
      <c r="D4997" s="29"/>
      <c r="E4997" s="20"/>
      <c r="F4997" s="20"/>
      <c r="AC4997" s="20"/>
      <c r="AG4997" s="29"/>
    </row>
    <row r="4998" spans="2:33">
      <c r="B4998" s="29"/>
      <c r="D4998" s="29"/>
      <c r="E4998" s="20"/>
      <c r="F4998" s="20"/>
      <c r="AC4998" s="20"/>
      <c r="AG4998" s="29"/>
    </row>
    <row r="4999" spans="2:33">
      <c r="B4999" s="29"/>
      <c r="D4999" s="29"/>
      <c r="E4999" s="20"/>
      <c r="F4999" s="20"/>
      <c r="AC4999" s="20"/>
      <c r="AG4999" s="29"/>
    </row>
    <row r="5000" spans="2:33">
      <c r="B5000" s="29"/>
      <c r="D5000" s="29"/>
      <c r="E5000" s="20"/>
      <c r="F5000" s="20"/>
      <c r="AC5000" s="20"/>
      <c r="AG5000" s="29"/>
    </row>
    <row r="5001" spans="2:33">
      <c r="B5001" s="29"/>
      <c r="D5001" s="29"/>
      <c r="E5001" s="20"/>
      <c r="F5001" s="20"/>
      <c r="AC5001" s="20"/>
      <c r="AG5001" s="29"/>
    </row>
    <row r="5002" spans="2:33">
      <c r="B5002" s="29"/>
      <c r="D5002" s="29"/>
      <c r="E5002" s="20"/>
      <c r="F5002" s="20"/>
      <c r="AC5002" s="20"/>
      <c r="AG5002" s="29"/>
    </row>
    <row r="5003" spans="2:33">
      <c r="B5003" s="29"/>
      <c r="D5003" s="29"/>
      <c r="E5003" s="20"/>
      <c r="F5003" s="20"/>
      <c r="AC5003" s="20"/>
      <c r="AG5003" s="29"/>
    </row>
    <row r="5004" spans="2:33">
      <c r="B5004" s="29"/>
      <c r="D5004" s="29"/>
      <c r="E5004" s="20"/>
      <c r="F5004" s="20"/>
      <c r="AC5004" s="20"/>
      <c r="AG5004" s="29"/>
    </row>
    <row r="5005" spans="2:33">
      <c r="B5005" s="29"/>
      <c r="D5005" s="29"/>
      <c r="E5005" s="20"/>
      <c r="F5005" s="20"/>
      <c r="AC5005" s="20"/>
      <c r="AG5005" s="29"/>
    </row>
    <row r="5006" spans="2:33">
      <c r="B5006" s="29"/>
      <c r="D5006" s="29"/>
      <c r="E5006" s="20"/>
      <c r="F5006" s="20"/>
      <c r="AC5006" s="20"/>
      <c r="AG5006" s="29"/>
    </row>
    <row r="5007" spans="2:33">
      <c r="B5007" s="29"/>
      <c r="D5007" s="29"/>
      <c r="E5007" s="20"/>
      <c r="F5007" s="20"/>
      <c r="AC5007" s="20"/>
      <c r="AG5007" s="29"/>
    </row>
    <row r="5008" spans="2:33">
      <c r="B5008" s="29"/>
      <c r="D5008" s="29"/>
      <c r="E5008" s="20"/>
      <c r="F5008" s="20"/>
      <c r="AC5008" s="20"/>
      <c r="AG5008" s="29"/>
    </row>
    <row r="5009" spans="2:33">
      <c r="B5009" s="29"/>
      <c r="D5009" s="29"/>
      <c r="E5009" s="20"/>
      <c r="F5009" s="20"/>
      <c r="AC5009" s="20"/>
      <c r="AG5009" s="29"/>
    </row>
    <row r="5010" spans="2:33">
      <c r="B5010" s="29"/>
      <c r="D5010" s="29"/>
      <c r="E5010" s="20"/>
      <c r="F5010" s="20"/>
      <c r="AC5010" s="20"/>
      <c r="AG5010" s="29"/>
    </row>
    <row r="5011" spans="2:33">
      <c r="B5011" s="29"/>
      <c r="D5011" s="29"/>
      <c r="E5011" s="20"/>
      <c r="F5011" s="20"/>
      <c r="AC5011" s="20"/>
      <c r="AG5011" s="29"/>
    </row>
    <row r="5012" spans="2:33">
      <c r="B5012" s="29"/>
      <c r="D5012" s="29"/>
      <c r="E5012" s="20"/>
      <c r="F5012" s="20"/>
      <c r="AC5012" s="20"/>
      <c r="AG5012" s="29"/>
    </row>
    <row r="5013" spans="2:33">
      <c r="B5013" s="29"/>
      <c r="D5013" s="29"/>
      <c r="E5013" s="20"/>
      <c r="F5013" s="20"/>
      <c r="AC5013" s="20"/>
      <c r="AG5013" s="29"/>
    </row>
    <row r="5014" spans="2:33">
      <c r="B5014" s="29"/>
      <c r="D5014" s="29"/>
      <c r="E5014" s="20"/>
      <c r="F5014" s="20"/>
      <c r="AC5014" s="20"/>
      <c r="AG5014" s="29"/>
    </row>
    <row r="5015" spans="2:33">
      <c r="B5015" s="29"/>
      <c r="D5015" s="29"/>
      <c r="E5015" s="20"/>
      <c r="F5015" s="20"/>
      <c r="AC5015" s="20"/>
      <c r="AG5015" s="29"/>
    </row>
    <row r="5016" spans="2:33">
      <c r="B5016" s="29"/>
      <c r="D5016" s="29"/>
      <c r="E5016" s="20"/>
      <c r="F5016" s="20"/>
      <c r="AC5016" s="20"/>
      <c r="AG5016" s="29"/>
    </row>
    <row r="5017" spans="2:33">
      <c r="B5017" s="29"/>
      <c r="D5017" s="29"/>
      <c r="E5017" s="20"/>
      <c r="F5017" s="20"/>
      <c r="AC5017" s="20"/>
      <c r="AG5017" s="29"/>
    </row>
    <row r="5018" spans="2:33">
      <c r="B5018" s="29"/>
      <c r="D5018" s="29"/>
      <c r="E5018" s="20"/>
      <c r="F5018" s="20"/>
      <c r="AC5018" s="20"/>
      <c r="AG5018" s="29"/>
    </row>
    <row r="5019" spans="2:33">
      <c r="B5019" s="29"/>
      <c r="D5019" s="29"/>
      <c r="E5019" s="20"/>
      <c r="F5019" s="20"/>
      <c r="AC5019" s="20"/>
      <c r="AG5019" s="29"/>
    </row>
    <row r="5020" spans="2:33">
      <c r="B5020" s="29"/>
      <c r="D5020" s="29"/>
      <c r="E5020" s="20"/>
      <c r="F5020" s="20"/>
      <c r="AC5020" s="20"/>
      <c r="AG5020" s="29"/>
    </row>
    <row r="5021" spans="2:33">
      <c r="B5021" s="29"/>
      <c r="D5021" s="29"/>
      <c r="E5021" s="20"/>
      <c r="F5021" s="20"/>
      <c r="AC5021" s="20"/>
      <c r="AG5021" s="29"/>
    </row>
    <row r="5022" spans="2:33">
      <c r="B5022" s="29"/>
      <c r="D5022" s="29"/>
      <c r="E5022" s="20"/>
      <c r="F5022" s="20"/>
      <c r="AC5022" s="20"/>
      <c r="AG5022" s="29"/>
    </row>
    <row r="5023" spans="2:33">
      <c r="B5023" s="29"/>
      <c r="D5023" s="29"/>
      <c r="E5023" s="20"/>
      <c r="F5023" s="20"/>
      <c r="AC5023" s="20"/>
      <c r="AG5023" s="29"/>
    </row>
    <row r="5024" spans="2:33">
      <c r="B5024" s="29"/>
      <c r="D5024" s="29"/>
      <c r="E5024" s="20"/>
      <c r="F5024" s="20"/>
      <c r="AC5024" s="20"/>
      <c r="AG5024" s="29"/>
    </row>
    <row r="5025" spans="2:33">
      <c r="B5025" s="29"/>
      <c r="D5025" s="29"/>
      <c r="E5025" s="20"/>
      <c r="F5025" s="20"/>
      <c r="AC5025" s="20"/>
      <c r="AG5025" s="29"/>
    </row>
    <row r="5026" spans="2:33">
      <c r="B5026" s="29"/>
      <c r="D5026" s="29"/>
      <c r="E5026" s="20"/>
      <c r="F5026" s="20"/>
      <c r="AC5026" s="20"/>
      <c r="AG5026" s="29"/>
    </row>
    <row r="5027" spans="2:33">
      <c r="B5027" s="29"/>
      <c r="D5027" s="29"/>
      <c r="E5027" s="20"/>
      <c r="F5027" s="20"/>
      <c r="AC5027" s="20"/>
      <c r="AG5027" s="29"/>
    </row>
    <row r="5028" spans="2:33">
      <c r="B5028" s="29"/>
      <c r="D5028" s="29"/>
      <c r="E5028" s="20"/>
      <c r="F5028" s="20"/>
      <c r="AC5028" s="20"/>
      <c r="AG5028" s="29"/>
    </row>
    <row r="5029" spans="2:33">
      <c r="B5029" s="29"/>
      <c r="D5029" s="29"/>
      <c r="E5029" s="20"/>
      <c r="F5029" s="20"/>
      <c r="AC5029" s="20"/>
      <c r="AG5029" s="29"/>
    </row>
    <row r="5030" spans="2:33">
      <c r="B5030" s="29"/>
      <c r="D5030" s="29"/>
      <c r="E5030" s="20"/>
      <c r="F5030" s="20"/>
      <c r="AC5030" s="20"/>
      <c r="AG5030" s="29"/>
    </row>
    <row r="5031" spans="2:33">
      <c r="B5031" s="29"/>
      <c r="D5031" s="29"/>
      <c r="E5031" s="20"/>
      <c r="F5031" s="20"/>
      <c r="AC5031" s="20"/>
      <c r="AG5031" s="29"/>
    </row>
    <row r="5032" spans="2:33">
      <c r="B5032" s="29"/>
      <c r="D5032" s="29"/>
      <c r="E5032" s="20"/>
      <c r="F5032" s="20"/>
      <c r="AC5032" s="20"/>
      <c r="AG5032" s="29"/>
    </row>
    <row r="5033" spans="2:33">
      <c r="B5033" s="29"/>
      <c r="D5033" s="29"/>
      <c r="E5033" s="20"/>
      <c r="F5033" s="20"/>
      <c r="AC5033" s="20"/>
      <c r="AG5033" s="29"/>
    </row>
    <row r="5034" spans="2:33">
      <c r="B5034" s="29"/>
      <c r="D5034" s="29"/>
      <c r="E5034" s="20"/>
      <c r="F5034" s="20"/>
      <c r="AC5034" s="20"/>
      <c r="AG5034" s="29"/>
    </row>
    <row r="5035" spans="2:33">
      <c r="B5035" s="29"/>
      <c r="D5035" s="29"/>
      <c r="E5035" s="20"/>
      <c r="F5035" s="20"/>
      <c r="AC5035" s="20"/>
      <c r="AG5035" s="29"/>
    </row>
    <row r="5036" spans="2:33">
      <c r="B5036" s="29"/>
      <c r="D5036" s="29"/>
      <c r="E5036" s="20"/>
      <c r="F5036" s="20"/>
      <c r="AC5036" s="20"/>
      <c r="AG5036" s="29"/>
    </row>
    <row r="5037" spans="2:33">
      <c r="B5037" s="29"/>
      <c r="D5037" s="29"/>
      <c r="E5037" s="20"/>
      <c r="F5037" s="20"/>
      <c r="AC5037" s="20"/>
      <c r="AG5037" s="29"/>
    </row>
    <row r="5038" spans="2:33">
      <c r="B5038" s="29"/>
      <c r="D5038" s="29"/>
      <c r="E5038" s="20"/>
      <c r="F5038" s="20"/>
      <c r="AC5038" s="20"/>
      <c r="AG5038" s="29"/>
    </row>
    <row r="5039" spans="2:33">
      <c r="B5039" s="29"/>
      <c r="D5039" s="29"/>
      <c r="E5039" s="20"/>
      <c r="F5039" s="20"/>
      <c r="AC5039" s="20"/>
      <c r="AG5039" s="29"/>
    </row>
    <row r="5040" spans="2:33">
      <c r="B5040" s="29"/>
      <c r="D5040" s="29"/>
      <c r="E5040" s="20"/>
      <c r="F5040" s="20"/>
      <c r="AC5040" s="20"/>
      <c r="AG5040" s="29"/>
    </row>
    <row r="5041" spans="2:33">
      <c r="B5041" s="29"/>
      <c r="D5041" s="29"/>
      <c r="E5041" s="20"/>
      <c r="F5041" s="20"/>
      <c r="AC5041" s="20"/>
      <c r="AG5041" s="29"/>
    </row>
    <row r="5042" spans="2:33">
      <c r="B5042" s="29"/>
      <c r="D5042" s="29"/>
      <c r="E5042" s="20"/>
      <c r="F5042" s="20"/>
      <c r="AC5042" s="20"/>
      <c r="AG5042" s="29"/>
    </row>
    <row r="5043" spans="2:33">
      <c r="B5043" s="29"/>
      <c r="D5043" s="29"/>
      <c r="E5043" s="20"/>
      <c r="F5043" s="20"/>
      <c r="AC5043" s="20"/>
      <c r="AG5043" s="29"/>
    </row>
    <row r="5044" spans="2:33">
      <c r="B5044" s="29"/>
      <c r="D5044" s="29"/>
      <c r="E5044" s="20"/>
      <c r="F5044" s="20"/>
      <c r="AC5044" s="20"/>
      <c r="AG5044" s="29"/>
    </row>
    <row r="5045" spans="2:33">
      <c r="B5045" s="29"/>
      <c r="D5045" s="29"/>
      <c r="E5045" s="20"/>
      <c r="F5045" s="20"/>
      <c r="AC5045" s="20"/>
      <c r="AG5045" s="29"/>
    </row>
    <row r="5046" spans="2:33">
      <c r="B5046" s="29"/>
      <c r="D5046" s="29"/>
      <c r="E5046" s="20"/>
      <c r="F5046" s="20"/>
      <c r="AC5046" s="20"/>
      <c r="AG5046" s="29"/>
    </row>
    <row r="5047" spans="2:33">
      <c r="B5047" s="29"/>
      <c r="D5047" s="29"/>
      <c r="E5047" s="20"/>
      <c r="F5047" s="20"/>
      <c r="AC5047" s="20"/>
      <c r="AG5047" s="29"/>
    </row>
    <row r="5048" spans="2:33">
      <c r="B5048" s="29"/>
      <c r="D5048" s="29"/>
      <c r="E5048" s="20"/>
      <c r="F5048" s="20"/>
      <c r="AC5048" s="20"/>
      <c r="AG5048" s="29"/>
    </row>
    <row r="5049" spans="2:33">
      <c r="B5049" s="29"/>
      <c r="D5049" s="29"/>
      <c r="E5049" s="20"/>
      <c r="F5049" s="20"/>
      <c r="AC5049" s="20"/>
      <c r="AG5049" s="29"/>
    </row>
    <row r="5050" spans="2:33">
      <c r="B5050" s="29"/>
      <c r="D5050" s="29"/>
      <c r="E5050" s="20"/>
      <c r="F5050" s="20"/>
      <c r="AC5050" s="20"/>
      <c r="AG5050" s="29"/>
    </row>
    <row r="5051" spans="2:33">
      <c r="B5051" s="29"/>
      <c r="D5051" s="29"/>
      <c r="E5051" s="20"/>
      <c r="F5051" s="20"/>
      <c r="AC5051" s="20"/>
      <c r="AG5051" s="29"/>
    </row>
    <row r="5052" spans="2:33">
      <c r="B5052" s="29"/>
      <c r="D5052" s="29"/>
      <c r="E5052" s="20"/>
      <c r="F5052" s="20"/>
      <c r="AC5052" s="20"/>
      <c r="AG5052" s="29"/>
    </row>
    <row r="5053" spans="2:33">
      <c r="B5053" s="29"/>
      <c r="D5053" s="29"/>
      <c r="E5053" s="20"/>
      <c r="F5053" s="20"/>
      <c r="AC5053" s="20"/>
      <c r="AG5053" s="29"/>
    </row>
    <row r="5054" spans="2:33">
      <c r="B5054" s="29"/>
      <c r="D5054" s="29"/>
      <c r="E5054" s="20"/>
      <c r="F5054" s="20"/>
      <c r="AC5054" s="20"/>
      <c r="AG5054" s="29"/>
    </row>
    <row r="5055" spans="2:33">
      <c r="B5055" s="29"/>
      <c r="D5055" s="29"/>
      <c r="E5055" s="20"/>
      <c r="F5055" s="20"/>
      <c r="AC5055" s="20"/>
      <c r="AG5055" s="29"/>
    </row>
    <row r="5056" spans="2:33">
      <c r="B5056" s="29"/>
      <c r="D5056" s="29"/>
      <c r="E5056" s="20"/>
      <c r="F5056" s="20"/>
      <c r="AC5056" s="20"/>
      <c r="AG5056" s="29"/>
    </row>
    <row r="5057" spans="2:33">
      <c r="B5057" s="29"/>
      <c r="D5057" s="29"/>
      <c r="E5057" s="20"/>
      <c r="F5057" s="20"/>
      <c r="AC5057" s="20"/>
      <c r="AG5057" s="29"/>
    </row>
    <row r="5058" spans="2:33">
      <c r="B5058" s="29"/>
      <c r="D5058" s="29"/>
      <c r="E5058" s="20"/>
      <c r="F5058" s="20"/>
      <c r="AC5058" s="20"/>
      <c r="AG5058" s="29"/>
    </row>
    <row r="5059" spans="2:33">
      <c r="B5059" s="29"/>
      <c r="D5059" s="29"/>
      <c r="E5059" s="20"/>
      <c r="F5059" s="20"/>
      <c r="AC5059" s="20"/>
      <c r="AG5059" s="29"/>
    </row>
    <row r="5060" spans="2:33">
      <c r="B5060" s="29"/>
      <c r="D5060" s="29"/>
      <c r="E5060" s="20"/>
      <c r="F5060" s="20"/>
      <c r="AC5060" s="20"/>
      <c r="AG5060" s="29"/>
    </row>
    <row r="5061" spans="2:33">
      <c r="B5061" s="29"/>
      <c r="D5061" s="29"/>
      <c r="E5061" s="20"/>
      <c r="F5061" s="20"/>
      <c r="AC5061" s="20"/>
      <c r="AG5061" s="29"/>
    </row>
    <row r="5062" spans="2:33">
      <c r="B5062" s="29"/>
      <c r="D5062" s="29"/>
      <c r="E5062" s="20"/>
      <c r="F5062" s="20"/>
      <c r="AC5062" s="20"/>
      <c r="AG5062" s="29"/>
    </row>
    <row r="5063" spans="2:33">
      <c r="B5063" s="29"/>
      <c r="D5063" s="29"/>
      <c r="E5063" s="20"/>
      <c r="F5063" s="20"/>
      <c r="AC5063" s="20"/>
      <c r="AG5063" s="29"/>
    </row>
    <row r="5064" spans="2:33">
      <c r="B5064" s="29"/>
      <c r="D5064" s="29"/>
      <c r="E5064" s="20"/>
      <c r="F5064" s="20"/>
      <c r="AC5064" s="20"/>
      <c r="AG5064" s="29"/>
    </row>
    <row r="5065" spans="2:33">
      <c r="B5065" s="29"/>
      <c r="D5065" s="29"/>
      <c r="E5065" s="20"/>
      <c r="F5065" s="20"/>
      <c r="AC5065" s="20"/>
      <c r="AG5065" s="29"/>
    </row>
    <row r="5066" spans="2:33">
      <c r="B5066" s="29"/>
      <c r="D5066" s="29"/>
      <c r="E5066" s="20"/>
      <c r="F5066" s="20"/>
      <c r="AC5066" s="20"/>
      <c r="AG5066" s="29"/>
    </row>
    <row r="5067" spans="2:33">
      <c r="B5067" s="29"/>
      <c r="D5067" s="29"/>
      <c r="E5067" s="20"/>
      <c r="F5067" s="20"/>
      <c r="AC5067" s="20"/>
      <c r="AG5067" s="29"/>
    </row>
    <row r="5068" spans="2:33">
      <c r="B5068" s="29"/>
      <c r="D5068" s="29"/>
      <c r="E5068" s="20"/>
      <c r="F5068" s="20"/>
      <c r="AC5068" s="20"/>
      <c r="AG5068" s="29"/>
    </row>
    <row r="5069" spans="2:33">
      <c r="B5069" s="29"/>
      <c r="D5069" s="29"/>
      <c r="E5069" s="20"/>
      <c r="F5069" s="20"/>
      <c r="AC5069" s="20"/>
      <c r="AG5069" s="29"/>
    </row>
    <row r="5070" spans="2:33">
      <c r="B5070" s="29"/>
      <c r="D5070" s="29"/>
      <c r="E5070" s="20"/>
      <c r="F5070" s="20"/>
      <c r="AC5070" s="20"/>
      <c r="AG5070" s="29"/>
    </row>
    <row r="5071" spans="2:33">
      <c r="B5071" s="29"/>
      <c r="D5071" s="29"/>
      <c r="E5071" s="20"/>
      <c r="F5071" s="20"/>
      <c r="AC5071" s="20"/>
      <c r="AG5071" s="29"/>
    </row>
    <row r="5072" spans="2:33">
      <c r="B5072" s="29"/>
      <c r="D5072" s="29"/>
      <c r="E5072" s="20"/>
      <c r="F5072" s="20"/>
      <c r="AC5072" s="20"/>
      <c r="AG5072" s="29"/>
    </row>
    <row r="5073" spans="2:33">
      <c r="B5073" s="29"/>
      <c r="D5073" s="29"/>
      <c r="E5073" s="20"/>
      <c r="F5073" s="20"/>
      <c r="AC5073" s="20"/>
      <c r="AG5073" s="29"/>
    </row>
    <row r="5074" spans="2:33">
      <c r="B5074" s="29"/>
      <c r="D5074" s="29"/>
      <c r="E5074" s="20"/>
      <c r="F5074" s="20"/>
      <c r="AC5074" s="20"/>
      <c r="AG5074" s="29"/>
    </row>
    <row r="5075" spans="2:33">
      <c r="B5075" s="29"/>
      <c r="D5075" s="29"/>
      <c r="E5075" s="20"/>
      <c r="F5075" s="20"/>
      <c r="AC5075" s="20"/>
      <c r="AG5075" s="29"/>
    </row>
    <row r="5076" spans="2:33">
      <c r="B5076" s="29"/>
      <c r="D5076" s="29"/>
      <c r="E5076" s="20"/>
      <c r="F5076" s="20"/>
      <c r="AC5076" s="20"/>
      <c r="AG5076" s="29"/>
    </row>
    <row r="5077" spans="2:33">
      <c r="B5077" s="29"/>
      <c r="D5077" s="29"/>
      <c r="E5077" s="20"/>
      <c r="F5077" s="20"/>
      <c r="AC5077" s="20"/>
      <c r="AG5077" s="29"/>
    </row>
    <row r="5078" spans="2:33">
      <c r="B5078" s="29"/>
      <c r="D5078" s="29"/>
      <c r="E5078" s="20"/>
      <c r="F5078" s="20"/>
      <c r="AC5078" s="20"/>
      <c r="AG5078" s="29"/>
    </row>
    <row r="5079" spans="2:33">
      <c r="B5079" s="29"/>
      <c r="D5079" s="29"/>
      <c r="E5079" s="20"/>
      <c r="F5079" s="20"/>
      <c r="AC5079" s="20"/>
      <c r="AG5079" s="29"/>
    </row>
    <row r="5080" spans="2:33">
      <c r="B5080" s="29"/>
      <c r="D5080" s="29"/>
      <c r="E5080" s="20"/>
      <c r="F5080" s="20"/>
      <c r="AC5080" s="20"/>
      <c r="AG5080" s="29"/>
    </row>
    <row r="5081" spans="2:33">
      <c r="B5081" s="29"/>
      <c r="D5081" s="29"/>
      <c r="E5081" s="20"/>
      <c r="F5081" s="20"/>
      <c r="AC5081" s="20"/>
      <c r="AG5081" s="29"/>
    </row>
    <row r="5082" spans="2:33">
      <c r="B5082" s="29"/>
      <c r="D5082" s="29"/>
      <c r="E5082" s="20"/>
      <c r="F5082" s="20"/>
      <c r="AC5082" s="20"/>
      <c r="AG5082" s="29"/>
    </row>
    <row r="5083" spans="2:33">
      <c r="B5083" s="29"/>
      <c r="D5083" s="29"/>
      <c r="E5083" s="20"/>
      <c r="F5083" s="20"/>
      <c r="AC5083" s="20"/>
      <c r="AG5083" s="29"/>
    </row>
    <row r="5084" spans="2:33">
      <c r="B5084" s="29"/>
      <c r="D5084" s="29"/>
      <c r="E5084" s="20"/>
      <c r="F5084" s="20"/>
      <c r="AC5084" s="20"/>
      <c r="AG5084" s="29"/>
    </row>
    <row r="5085" spans="2:33">
      <c r="B5085" s="29"/>
      <c r="D5085" s="29"/>
      <c r="E5085" s="20"/>
      <c r="F5085" s="20"/>
      <c r="AC5085" s="20"/>
      <c r="AG5085" s="29"/>
    </row>
    <row r="5086" spans="2:33">
      <c r="B5086" s="29"/>
      <c r="D5086" s="29"/>
      <c r="E5086" s="20"/>
      <c r="F5086" s="20"/>
      <c r="AC5086" s="20"/>
      <c r="AG5086" s="29"/>
    </row>
    <row r="5087" spans="2:33">
      <c r="B5087" s="29"/>
      <c r="D5087" s="29"/>
      <c r="E5087" s="20"/>
      <c r="F5087" s="20"/>
      <c r="AC5087" s="20"/>
      <c r="AG5087" s="29"/>
    </row>
    <row r="5088" spans="2:33">
      <c r="B5088" s="29"/>
      <c r="D5088" s="29"/>
      <c r="E5088" s="20"/>
      <c r="F5088" s="20"/>
      <c r="AC5088" s="20"/>
      <c r="AG5088" s="29"/>
    </row>
    <row r="5089" spans="2:33">
      <c r="B5089" s="29"/>
      <c r="D5089" s="29"/>
      <c r="E5089" s="20"/>
      <c r="F5089" s="20"/>
      <c r="AC5089" s="20"/>
      <c r="AG5089" s="29"/>
    </row>
    <row r="5090" spans="2:33">
      <c r="B5090" s="29"/>
      <c r="D5090" s="29"/>
      <c r="E5090" s="20"/>
      <c r="F5090" s="20"/>
      <c r="AC5090" s="20"/>
      <c r="AG5090" s="29"/>
    </row>
    <row r="5091" spans="2:33">
      <c r="B5091" s="29"/>
      <c r="D5091" s="29"/>
      <c r="E5091" s="20"/>
      <c r="F5091" s="20"/>
      <c r="AC5091" s="20"/>
      <c r="AG5091" s="29"/>
    </row>
    <row r="5092" spans="2:33">
      <c r="B5092" s="29"/>
      <c r="D5092" s="29"/>
      <c r="E5092" s="20"/>
      <c r="F5092" s="20"/>
      <c r="AC5092" s="20"/>
      <c r="AG5092" s="29"/>
    </row>
    <row r="5093" spans="2:33">
      <c r="B5093" s="29"/>
      <c r="D5093" s="29"/>
      <c r="E5093" s="20"/>
      <c r="F5093" s="20"/>
      <c r="AC5093" s="20"/>
      <c r="AG5093" s="29"/>
    </row>
    <row r="5094" spans="2:33">
      <c r="B5094" s="29"/>
      <c r="D5094" s="29"/>
      <c r="E5094" s="20"/>
      <c r="F5094" s="20"/>
      <c r="AC5094" s="20"/>
      <c r="AG5094" s="29"/>
    </row>
    <row r="5095" spans="2:33">
      <c r="B5095" s="29"/>
      <c r="D5095" s="29"/>
      <c r="E5095" s="20"/>
      <c r="F5095" s="20"/>
      <c r="AC5095" s="20"/>
      <c r="AG5095" s="29"/>
    </row>
    <row r="5096" spans="2:33">
      <c r="B5096" s="29"/>
      <c r="D5096" s="29"/>
      <c r="E5096" s="20"/>
      <c r="F5096" s="20"/>
      <c r="AC5096" s="20"/>
      <c r="AG5096" s="29"/>
    </row>
    <row r="5097" spans="2:33">
      <c r="B5097" s="29"/>
      <c r="D5097" s="29"/>
      <c r="E5097" s="20"/>
      <c r="F5097" s="20"/>
      <c r="AC5097" s="20"/>
      <c r="AG5097" s="29"/>
    </row>
    <row r="5098" spans="2:33">
      <c r="B5098" s="29"/>
      <c r="D5098" s="29"/>
      <c r="E5098" s="20"/>
      <c r="F5098" s="20"/>
      <c r="AC5098" s="20"/>
      <c r="AG5098" s="29"/>
    </row>
    <row r="5099" spans="2:33">
      <c r="B5099" s="29"/>
      <c r="D5099" s="29"/>
      <c r="E5099" s="20"/>
      <c r="F5099" s="20"/>
      <c r="AC5099" s="20"/>
      <c r="AG5099" s="29"/>
    </row>
    <row r="5100" spans="2:33">
      <c r="B5100" s="29"/>
      <c r="D5100" s="29"/>
      <c r="E5100" s="20"/>
      <c r="F5100" s="20"/>
      <c r="AC5100" s="20"/>
      <c r="AG5100" s="29"/>
    </row>
    <row r="5101" spans="2:33">
      <c r="B5101" s="29"/>
      <c r="D5101" s="29"/>
      <c r="E5101" s="20"/>
      <c r="F5101" s="20"/>
      <c r="AC5101" s="20"/>
      <c r="AG5101" s="29"/>
    </row>
    <row r="5102" spans="2:33">
      <c r="B5102" s="29"/>
      <c r="D5102" s="29"/>
      <c r="E5102" s="20"/>
      <c r="F5102" s="20"/>
      <c r="AC5102" s="20"/>
      <c r="AG5102" s="29"/>
    </row>
    <row r="5103" spans="2:33">
      <c r="B5103" s="29"/>
      <c r="D5103" s="29"/>
      <c r="E5103" s="20"/>
      <c r="F5103" s="20"/>
      <c r="AC5103" s="20"/>
      <c r="AG5103" s="29"/>
    </row>
    <row r="5104" spans="2:33">
      <c r="B5104" s="29"/>
      <c r="D5104" s="29"/>
      <c r="E5104" s="20"/>
      <c r="F5104" s="20"/>
      <c r="AC5104" s="20"/>
      <c r="AG5104" s="29"/>
    </row>
    <row r="5105" spans="2:33">
      <c r="B5105" s="29"/>
      <c r="D5105" s="29"/>
      <c r="E5105" s="20"/>
      <c r="F5105" s="20"/>
      <c r="AC5105" s="20"/>
      <c r="AG5105" s="29"/>
    </row>
    <row r="5106" spans="2:33">
      <c r="B5106" s="29"/>
      <c r="D5106" s="29"/>
      <c r="E5106" s="20"/>
      <c r="F5106" s="20"/>
      <c r="AC5106" s="20"/>
      <c r="AG5106" s="29"/>
    </row>
    <row r="5107" spans="2:33">
      <c r="B5107" s="29"/>
      <c r="D5107" s="29"/>
      <c r="E5107" s="20"/>
      <c r="F5107" s="20"/>
      <c r="AC5107" s="20"/>
      <c r="AG5107" s="29"/>
    </row>
    <row r="5108" spans="2:33">
      <c r="B5108" s="29"/>
      <c r="D5108" s="29"/>
      <c r="E5108" s="20"/>
      <c r="F5108" s="20"/>
      <c r="AC5108" s="20"/>
      <c r="AG5108" s="29"/>
    </row>
    <row r="5109" spans="2:33">
      <c r="B5109" s="29"/>
      <c r="D5109" s="29"/>
      <c r="E5109" s="20"/>
      <c r="F5109" s="20"/>
      <c r="AC5109" s="20"/>
      <c r="AG5109" s="29"/>
    </row>
    <row r="5110" spans="2:33">
      <c r="B5110" s="29"/>
      <c r="D5110" s="29"/>
      <c r="E5110" s="20"/>
      <c r="F5110" s="20"/>
      <c r="AC5110" s="20"/>
      <c r="AG5110" s="29"/>
    </row>
    <row r="5111" spans="2:33">
      <c r="B5111" s="29"/>
      <c r="D5111" s="29"/>
      <c r="E5111" s="20"/>
      <c r="F5111" s="20"/>
      <c r="AC5111" s="20"/>
      <c r="AG5111" s="29"/>
    </row>
    <row r="5112" spans="2:33">
      <c r="B5112" s="29"/>
      <c r="D5112" s="29"/>
      <c r="E5112" s="20"/>
      <c r="F5112" s="20"/>
      <c r="AC5112" s="20"/>
      <c r="AG5112" s="29"/>
    </row>
    <row r="5113" spans="2:33">
      <c r="B5113" s="29"/>
      <c r="D5113" s="29"/>
      <c r="E5113" s="20"/>
      <c r="F5113" s="20"/>
      <c r="AC5113" s="20"/>
      <c r="AG5113" s="29"/>
    </row>
    <row r="5114" spans="2:33">
      <c r="B5114" s="29"/>
      <c r="D5114" s="29"/>
      <c r="E5114" s="20"/>
      <c r="F5114" s="20"/>
      <c r="AC5114" s="20"/>
      <c r="AG5114" s="29"/>
    </row>
    <row r="5115" spans="2:33">
      <c r="B5115" s="29"/>
      <c r="D5115" s="29"/>
      <c r="E5115" s="20"/>
      <c r="F5115" s="20"/>
      <c r="AC5115" s="20"/>
      <c r="AG5115" s="29"/>
    </row>
    <row r="5116" spans="2:33">
      <c r="B5116" s="29"/>
      <c r="D5116" s="29"/>
      <c r="E5116" s="20"/>
      <c r="F5116" s="20"/>
      <c r="AC5116" s="20"/>
      <c r="AG5116" s="29"/>
    </row>
    <row r="5117" spans="2:33">
      <c r="B5117" s="29"/>
      <c r="D5117" s="29"/>
      <c r="E5117" s="20"/>
      <c r="F5117" s="20"/>
      <c r="AC5117" s="20"/>
      <c r="AG5117" s="29"/>
    </row>
    <row r="5118" spans="2:33">
      <c r="B5118" s="29"/>
      <c r="D5118" s="29"/>
      <c r="E5118" s="20"/>
      <c r="F5118" s="20"/>
      <c r="AC5118" s="20"/>
      <c r="AG5118" s="29"/>
    </row>
    <row r="5119" spans="2:33">
      <c r="B5119" s="29"/>
      <c r="D5119" s="29"/>
      <c r="E5119" s="20"/>
      <c r="F5119" s="20"/>
      <c r="AC5119" s="20"/>
      <c r="AG5119" s="29"/>
    </row>
    <row r="5120" spans="2:33">
      <c r="B5120" s="29"/>
      <c r="D5120" s="29"/>
      <c r="E5120" s="20"/>
      <c r="F5120" s="20"/>
      <c r="AC5120" s="20"/>
      <c r="AG5120" s="29"/>
    </row>
    <row r="5121" spans="2:33">
      <c r="B5121" s="29"/>
      <c r="D5121" s="29"/>
      <c r="E5121" s="20"/>
      <c r="F5121" s="20"/>
      <c r="AC5121" s="20"/>
      <c r="AG5121" s="29"/>
    </row>
    <row r="5122" spans="2:33">
      <c r="B5122" s="29"/>
      <c r="D5122" s="29"/>
      <c r="E5122" s="20"/>
      <c r="F5122" s="20"/>
      <c r="AC5122" s="20"/>
      <c r="AG5122" s="29"/>
    </row>
    <row r="5123" spans="2:33">
      <c r="B5123" s="29"/>
      <c r="D5123" s="29"/>
      <c r="E5123" s="20"/>
      <c r="F5123" s="20"/>
      <c r="AC5123" s="20"/>
      <c r="AG5123" s="29"/>
    </row>
    <row r="5124" spans="2:33">
      <c r="B5124" s="29"/>
      <c r="D5124" s="29"/>
      <c r="E5124" s="20"/>
      <c r="F5124" s="20"/>
      <c r="AC5124" s="20"/>
      <c r="AG5124" s="29"/>
    </row>
    <row r="5125" spans="2:33">
      <c r="B5125" s="29"/>
      <c r="D5125" s="29"/>
      <c r="E5125" s="20"/>
      <c r="F5125" s="20"/>
      <c r="AC5125" s="20"/>
      <c r="AG5125" s="29"/>
    </row>
    <row r="5126" spans="2:33">
      <c r="B5126" s="29"/>
      <c r="D5126" s="29"/>
      <c r="E5126" s="20"/>
      <c r="F5126" s="20"/>
      <c r="AC5126" s="20"/>
      <c r="AG5126" s="29"/>
    </row>
    <row r="5127" spans="2:33">
      <c r="B5127" s="29"/>
      <c r="D5127" s="29"/>
      <c r="E5127" s="20"/>
      <c r="F5127" s="20"/>
      <c r="AC5127" s="20"/>
      <c r="AG5127" s="29"/>
    </row>
    <row r="5128" spans="2:33">
      <c r="B5128" s="29"/>
      <c r="D5128" s="29"/>
      <c r="E5128" s="20"/>
      <c r="F5128" s="20"/>
      <c r="AC5128" s="20"/>
      <c r="AG5128" s="29"/>
    </row>
    <row r="5129" spans="2:33">
      <c r="B5129" s="29"/>
      <c r="D5129" s="29"/>
      <c r="E5129" s="20"/>
      <c r="F5129" s="20"/>
      <c r="AC5129" s="20"/>
      <c r="AG5129" s="29"/>
    </row>
    <row r="5130" spans="2:33">
      <c r="B5130" s="29"/>
      <c r="D5130" s="29"/>
      <c r="E5130" s="20"/>
      <c r="F5130" s="20"/>
      <c r="AC5130" s="20"/>
      <c r="AG5130" s="29"/>
    </row>
    <row r="5131" spans="2:33">
      <c r="B5131" s="29"/>
      <c r="D5131" s="29"/>
      <c r="E5131" s="20"/>
      <c r="F5131" s="20"/>
      <c r="AC5131" s="20"/>
      <c r="AG5131" s="29"/>
    </row>
    <row r="5132" spans="2:33">
      <c r="B5132" s="29"/>
      <c r="D5132" s="29"/>
      <c r="E5132" s="20"/>
      <c r="F5132" s="20"/>
      <c r="AC5132" s="20"/>
      <c r="AG5132" s="29"/>
    </row>
    <row r="5133" spans="2:33">
      <c r="B5133" s="29"/>
      <c r="D5133" s="29"/>
      <c r="E5133" s="20"/>
      <c r="F5133" s="20"/>
      <c r="AC5133" s="20"/>
      <c r="AG5133" s="29"/>
    </row>
    <row r="5134" spans="2:33">
      <c r="B5134" s="29"/>
      <c r="D5134" s="29"/>
      <c r="E5134" s="20"/>
      <c r="F5134" s="20"/>
      <c r="AC5134" s="20"/>
      <c r="AG5134" s="29"/>
    </row>
    <row r="5135" spans="2:33">
      <c r="B5135" s="29"/>
      <c r="D5135" s="29"/>
      <c r="E5135" s="20"/>
      <c r="F5135" s="20"/>
      <c r="AC5135" s="20"/>
      <c r="AG5135" s="29"/>
    </row>
    <row r="5136" spans="2:33">
      <c r="B5136" s="29"/>
      <c r="D5136" s="29"/>
      <c r="E5136" s="20"/>
      <c r="F5136" s="20"/>
      <c r="AC5136" s="20"/>
      <c r="AG5136" s="29"/>
    </row>
    <row r="5137" spans="2:33">
      <c r="B5137" s="29"/>
      <c r="D5137" s="29"/>
      <c r="E5137" s="20"/>
      <c r="F5137" s="20"/>
      <c r="AC5137" s="20"/>
      <c r="AG5137" s="29"/>
    </row>
    <row r="5138" spans="2:33">
      <c r="B5138" s="29"/>
      <c r="D5138" s="29"/>
      <c r="E5138" s="20"/>
      <c r="F5138" s="20"/>
      <c r="AC5138" s="20"/>
      <c r="AG5138" s="29"/>
    </row>
    <row r="5139" spans="2:33">
      <c r="B5139" s="29"/>
      <c r="D5139" s="29"/>
      <c r="E5139" s="20"/>
      <c r="F5139" s="20"/>
      <c r="AC5139" s="20"/>
      <c r="AG5139" s="29"/>
    </row>
    <row r="5140" spans="2:33">
      <c r="B5140" s="29"/>
      <c r="D5140" s="29"/>
      <c r="E5140" s="20"/>
      <c r="F5140" s="20"/>
      <c r="AC5140" s="20"/>
      <c r="AG5140" s="29"/>
    </row>
    <row r="5141" spans="2:33">
      <c r="B5141" s="29"/>
      <c r="D5141" s="29"/>
      <c r="E5141" s="20"/>
      <c r="F5141" s="20"/>
      <c r="AC5141" s="20"/>
      <c r="AG5141" s="29"/>
    </row>
    <row r="5142" spans="2:33">
      <c r="B5142" s="29"/>
      <c r="D5142" s="29"/>
      <c r="E5142" s="20"/>
      <c r="F5142" s="20"/>
      <c r="AC5142" s="20"/>
      <c r="AG5142" s="29"/>
    </row>
    <row r="5143" spans="2:33">
      <c r="B5143" s="29"/>
      <c r="D5143" s="29"/>
      <c r="E5143" s="20"/>
      <c r="F5143" s="20"/>
      <c r="AC5143" s="20"/>
      <c r="AG5143" s="29"/>
    </row>
    <row r="5144" spans="2:33">
      <c r="B5144" s="29"/>
      <c r="D5144" s="29"/>
      <c r="E5144" s="20"/>
      <c r="F5144" s="20"/>
      <c r="AC5144" s="20"/>
      <c r="AG5144" s="29"/>
    </row>
    <row r="5145" spans="2:33">
      <c r="B5145" s="29"/>
      <c r="D5145" s="29"/>
      <c r="E5145" s="20"/>
      <c r="F5145" s="20"/>
      <c r="AC5145" s="20"/>
      <c r="AG5145" s="29"/>
    </row>
    <row r="5146" spans="2:33">
      <c r="B5146" s="29"/>
      <c r="D5146" s="29"/>
      <c r="E5146" s="20"/>
      <c r="F5146" s="20"/>
      <c r="AC5146" s="20"/>
      <c r="AG5146" s="29"/>
    </row>
    <row r="5147" spans="2:33">
      <c r="B5147" s="29"/>
      <c r="D5147" s="29"/>
      <c r="E5147" s="20"/>
      <c r="F5147" s="20"/>
      <c r="AC5147" s="20"/>
      <c r="AG5147" s="29"/>
    </row>
    <row r="5148" spans="2:33">
      <c r="B5148" s="29"/>
      <c r="D5148" s="29"/>
      <c r="E5148" s="20"/>
      <c r="F5148" s="20"/>
      <c r="AC5148" s="20"/>
      <c r="AG5148" s="29"/>
    </row>
    <row r="5149" spans="2:33">
      <c r="B5149" s="29"/>
      <c r="D5149" s="29"/>
      <c r="E5149" s="20"/>
      <c r="F5149" s="20"/>
      <c r="AC5149" s="20"/>
      <c r="AG5149" s="29"/>
    </row>
    <row r="5150" spans="2:33">
      <c r="B5150" s="29"/>
      <c r="D5150" s="29"/>
      <c r="E5150" s="20"/>
      <c r="F5150" s="20"/>
      <c r="AC5150" s="20"/>
      <c r="AG5150" s="29"/>
    </row>
    <row r="5151" spans="2:33">
      <c r="B5151" s="29"/>
      <c r="D5151" s="29"/>
      <c r="E5151" s="20"/>
      <c r="F5151" s="20"/>
      <c r="AC5151" s="20"/>
      <c r="AG5151" s="29"/>
    </row>
    <row r="5152" spans="2:33">
      <c r="B5152" s="29"/>
      <c r="D5152" s="29"/>
      <c r="E5152" s="20"/>
      <c r="F5152" s="20"/>
      <c r="AC5152" s="20"/>
      <c r="AG5152" s="29"/>
    </row>
    <row r="5153" spans="2:33">
      <c r="B5153" s="29"/>
      <c r="D5153" s="29"/>
      <c r="E5153" s="20"/>
      <c r="F5153" s="20"/>
      <c r="AC5153" s="20"/>
      <c r="AG5153" s="29"/>
    </row>
    <row r="5154" spans="2:33">
      <c r="B5154" s="29"/>
      <c r="D5154" s="29"/>
      <c r="E5154" s="20"/>
      <c r="F5154" s="20"/>
      <c r="AC5154" s="20"/>
      <c r="AG5154" s="29"/>
    </row>
    <row r="5155" spans="2:33">
      <c r="B5155" s="29"/>
      <c r="D5155" s="29"/>
      <c r="E5155" s="20"/>
      <c r="F5155" s="20"/>
      <c r="AC5155" s="20"/>
      <c r="AG5155" s="29"/>
    </row>
    <row r="5156" spans="2:33">
      <c r="B5156" s="29"/>
      <c r="D5156" s="29"/>
      <c r="E5156" s="20"/>
      <c r="F5156" s="20"/>
      <c r="AC5156" s="20"/>
      <c r="AG5156" s="29"/>
    </row>
    <row r="5157" spans="2:33">
      <c r="B5157" s="29"/>
      <c r="D5157" s="29"/>
      <c r="E5157" s="20"/>
      <c r="F5157" s="20"/>
      <c r="AC5157" s="20"/>
      <c r="AG5157" s="29"/>
    </row>
    <row r="5158" spans="2:33">
      <c r="B5158" s="29"/>
      <c r="D5158" s="29"/>
      <c r="E5158" s="20"/>
      <c r="F5158" s="20"/>
      <c r="AC5158" s="20"/>
      <c r="AG5158" s="29"/>
    </row>
    <row r="5159" spans="2:33">
      <c r="B5159" s="29"/>
      <c r="D5159" s="29"/>
      <c r="E5159" s="20"/>
      <c r="F5159" s="20"/>
      <c r="AC5159" s="20"/>
      <c r="AG5159" s="29"/>
    </row>
    <row r="5160" spans="2:33">
      <c r="B5160" s="29"/>
      <c r="D5160" s="29"/>
      <c r="E5160" s="20"/>
      <c r="F5160" s="20"/>
      <c r="AC5160" s="20"/>
      <c r="AG5160" s="29"/>
    </row>
    <row r="5161" spans="2:33">
      <c r="B5161" s="29"/>
      <c r="D5161" s="29"/>
      <c r="E5161" s="20"/>
      <c r="F5161" s="20"/>
      <c r="AC5161" s="20"/>
      <c r="AG5161" s="29"/>
    </row>
    <row r="5162" spans="2:33">
      <c r="B5162" s="29"/>
      <c r="D5162" s="29"/>
      <c r="E5162" s="20"/>
      <c r="F5162" s="20"/>
      <c r="AC5162" s="20"/>
      <c r="AG5162" s="29"/>
    </row>
    <row r="5163" spans="2:33">
      <c r="B5163" s="29"/>
      <c r="D5163" s="29"/>
      <c r="E5163" s="20"/>
      <c r="F5163" s="20"/>
      <c r="AC5163" s="20"/>
      <c r="AG5163" s="29"/>
    </row>
    <row r="5164" spans="2:33">
      <c r="B5164" s="29"/>
      <c r="D5164" s="29"/>
      <c r="E5164" s="20"/>
      <c r="F5164" s="20"/>
      <c r="AC5164" s="20"/>
      <c r="AG5164" s="29"/>
    </row>
    <row r="5165" spans="2:33">
      <c r="B5165" s="29"/>
      <c r="D5165" s="29"/>
      <c r="E5165" s="20"/>
      <c r="F5165" s="20"/>
      <c r="AC5165" s="20"/>
      <c r="AG5165" s="29"/>
    </row>
    <row r="5166" spans="2:33">
      <c r="B5166" s="29"/>
      <c r="D5166" s="29"/>
      <c r="E5166" s="20"/>
      <c r="F5166" s="20"/>
      <c r="AC5166" s="20"/>
      <c r="AG5166" s="29"/>
    </row>
    <row r="5167" spans="2:33">
      <c r="B5167" s="29"/>
      <c r="D5167" s="29"/>
      <c r="E5167" s="20"/>
      <c r="F5167" s="20"/>
      <c r="AC5167" s="20"/>
      <c r="AG5167" s="29"/>
    </row>
    <row r="5168" spans="2:33">
      <c r="B5168" s="29"/>
      <c r="D5168" s="29"/>
      <c r="E5168" s="20"/>
      <c r="F5168" s="20"/>
      <c r="AC5168" s="20"/>
      <c r="AG5168" s="29"/>
    </row>
    <row r="5169" spans="2:33">
      <c r="B5169" s="29"/>
      <c r="D5169" s="29"/>
      <c r="E5169" s="20"/>
      <c r="F5169" s="20"/>
      <c r="AC5169" s="20"/>
      <c r="AG5169" s="29"/>
    </row>
    <row r="5170" spans="2:33">
      <c r="B5170" s="29"/>
      <c r="D5170" s="29"/>
      <c r="E5170" s="20"/>
      <c r="F5170" s="20"/>
      <c r="AC5170" s="20"/>
      <c r="AG5170" s="29"/>
    </row>
    <row r="5171" spans="2:33">
      <c r="B5171" s="29"/>
      <c r="D5171" s="29"/>
      <c r="E5171" s="20"/>
      <c r="F5171" s="20"/>
      <c r="AC5171" s="20"/>
      <c r="AG5171" s="29"/>
    </row>
    <row r="5172" spans="2:33">
      <c r="B5172" s="29"/>
      <c r="D5172" s="29"/>
      <c r="E5172" s="20"/>
      <c r="F5172" s="20"/>
      <c r="AC5172" s="20"/>
      <c r="AG5172" s="29"/>
    </row>
    <row r="5173" spans="2:33">
      <c r="B5173" s="29"/>
      <c r="D5173" s="29"/>
      <c r="E5173" s="20"/>
      <c r="F5173" s="20"/>
      <c r="AC5173" s="20"/>
      <c r="AG5173" s="29"/>
    </row>
    <row r="5174" spans="2:33">
      <c r="B5174" s="29"/>
      <c r="D5174" s="29"/>
      <c r="E5174" s="20"/>
      <c r="F5174" s="20"/>
      <c r="AC5174" s="20"/>
      <c r="AG5174" s="29"/>
    </row>
    <row r="5175" spans="2:33">
      <c r="B5175" s="29"/>
      <c r="D5175" s="29"/>
      <c r="E5175" s="20"/>
      <c r="F5175" s="20"/>
      <c r="AC5175" s="20"/>
      <c r="AG5175" s="29"/>
    </row>
    <row r="5176" spans="2:33">
      <c r="B5176" s="29"/>
      <c r="D5176" s="29"/>
      <c r="E5176" s="20"/>
      <c r="F5176" s="20"/>
      <c r="AC5176" s="20"/>
      <c r="AG5176" s="29"/>
    </row>
    <row r="5177" spans="2:33">
      <c r="B5177" s="29"/>
      <c r="D5177" s="29"/>
      <c r="E5177" s="20"/>
      <c r="F5177" s="20"/>
      <c r="AC5177" s="20"/>
      <c r="AG5177" s="29"/>
    </row>
    <row r="5178" spans="2:33">
      <c r="B5178" s="29"/>
      <c r="D5178" s="29"/>
      <c r="E5178" s="20"/>
      <c r="F5178" s="20"/>
      <c r="AC5178" s="20"/>
      <c r="AG5178" s="29"/>
    </row>
    <row r="5179" spans="2:33">
      <c r="B5179" s="29"/>
      <c r="D5179" s="29"/>
      <c r="E5179" s="20"/>
      <c r="F5179" s="20"/>
      <c r="AC5179" s="20"/>
      <c r="AG5179" s="29"/>
    </row>
    <row r="5180" spans="2:33">
      <c r="B5180" s="29"/>
      <c r="D5180" s="29"/>
      <c r="E5180" s="20"/>
      <c r="F5180" s="20"/>
      <c r="AC5180" s="20"/>
      <c r="AG5180" s="29"/>
    </row>
    <row r="5181" spans="2:33">
      <c r="B5181" s="29"/>
      <c r="D5181" s="29"/>
      <c r="E5181" s="20"/>
      <c r="F5181" s="20"/>
      <c r="AC5181" s="20"/>
      <c r="AG5181" s="29"/>
    </row>
    <row r="5182" spans="2:33">
      <c r="B5182" s="29"/>
      <c r="D5182" s="29"/>
      <c r="E5182" s="20"/>
      <c r="F5182" s="20"/>
      <c r="AC5182" s="20"/>
      <c r="AG5182" s="29"/>
    </row>
    <row r="5183" spans="2:33">
      <c r="B5183" s="29"/>
      <c r="D5183" s="29"/>
      <c r="E5183" s="20"/>
      <c r="F5183" s="20"/>
      <c r="AC5183" s="20"/>
      <c r="AG5183" s="29"/>
    </row>
    <row r="5184" spans="2:33">
      <c r="B5184" s="29"/>
      <c r="D5184" s="29"/>
      <c r="E5184" s="20"/>
      <c r="F5184" s="20"/>
      <c r="AC5184" s="20"/>
      <c r="AG5184" s="29"/>
    </row>
    <row r="5185" spans="2:33">
      <c r="B5185" s="29"/>
      <c r="D5185" s="29"/>
      <c r="E5185" s="20"/>
      <c r="F5185" s="20"/>
      <c r="AC5185" s="20"/>
      <c r="AG5185" s="29"/>
    </row>
    <row r="5186" spans="2:33">
      <c r="B5186" s="29"/>
      <c r="D5186" s="29"/>
      <c r="E5186" s="20"/>
      <c r="F5186" s="20"/>
      <c r="AC5186" s="20"/>
      <c r="AG5186" s="29"/>
    </row>
    <row r="5187" spans="2:33">
      <c r="B5187" s="29"/>
      <c r="D5187" s="29"/>
      <c r="E5187" s="20"/>
      <c r="F5187" s="20"/>
      <c r="AC5187" s="20"/>
      <c r="AG5187" s="29"/>
    </row>
    <row r="5188" spans="2:33">
      <c r="B5188" s="29"/>
      <c r="D5188" s="29"/>
      <c r="E5188" s="20"/>
      <c r="F5188" s="20"/>
      <c r="AC5188" s="20"/>
      <c r="AG5188" s="29"/>
    </row>
    <row r="5189" spans="2:33">
      <c r="B5189" s="29"/>
      <c r="D5189" s="29"/>
      <c r="E5189" s="20"/>
      <c r="F5189" s="20"/>
      <c r="AC5189" s="20"/>
      <c r="AG5189" s="29"/>
    </row>
    <row r="5190" spans="2:33">
      <c r="B5190" s="29"/>
      <c r="D5190" s="29"/>
      <c r="E5190" s="20"/>
      <c r="F5190" s="20"/>
      <c r="AC5190" s="20"/>
      <c r="AG5190" s="29"/>
    </row>
    <row r="5191" spans="2:33">
      <c r="B5191" s="29"/>
      <c r="D5191" s="29"/>
      <c r="E5191" s="20"/>
      <c r="F5191" s="20"/>
      <c r="AC5191" s="20"/>
      <c r="AG5191" s="29"/>
    </row>
    <row r="5192" spans="2:33">
      <c r="B5192" s="29"/>
      <c r="D5192" s="29"/>
      <c r="E5192" s="20"/>
      <c r="F5192" s="20"/>
      <c r="AC5192" s="20"/>
      <c r="AG5192" s="29"/>
    </row>
    <row r="5193" spans="2:33">
      <c r="B5193" s="29"/>
      <c r="D5193" s="29"/>
      <c r="E5193" s="20"/>
      <c r="F5193" s="20"/>
      <c r="AC5193" s="20"/>
      <c r="AG5193" s="29"/>
    </row>
    <row r="5194" spans="2:33">
      <c r="B5194" s="29"/>
      <c r="D5194" s="29"/>
      <c r="E5194" s="20"/>
      <c r="F5194" s="20"/>
      <c r="AC5194" s="20"/>
      <c r="AG5194" s="29"/>
    </row>
    <row r="5195" spans="2:33">
      <c r="B5195" s="29"/>
      <c r="D5195" s="29"/>
      <c r="E5195" s="20"/>
      <c r="F5195" s="20"/>
      <c r="AC5195" s="20"/>
      <c r="AG5195" s="29"/>
    </row>
    <row r="5196" spans="2:33">
      <c r="B5196" s="29"/>
      <c r="D5196" s="29"/>
      <c r="E5196" s="20"/>
      <c r="F5196" s="20"/>
      <c r="AC5196" s="20"/>
      <c r="AG5196" s="29"/>
    </row>
    <row r="5197" spans="2:33">
      <c r="B5197" s="29"/>
      <c r="D5197" s="29"/>
      <c r="E5197" s="20"/>
      <c r="F5197" s="20"/>
      <c r="AC5197" s="20"/>
      <c r="AG5197" s="29"/>
    </row>
    <row r="5198" spans="2:33">
      <c r="B5198" s="29"/>
      <c r="D5198" s="29"/>
      <c r="E5198" s="20"/>
      <c r="F5198" s="20"/>
      <c r="AC5198" s="20"/>
      <c r="AG5198" s="29"/>
    </row>
    <row r="5199" spans="2:33">
      <c r="B5199" s="29"/>
      <c r="D5199" s="29"/>
      <c r="E5199" s="20"/>
      <c r="F5199" s="20"/>
      <c r="AC5199" s="20"/>
      <c r="AG5199" s="29"/>
    </row>
    <row r="5200" spans="2:33">
      <c r="B5200" s="29"/>
      <c r="D5200" s="29"/>
      <c r="E5200" s="20"/>
      <c r="F5200" s="20"/>
      <c r="AC5200" s="20"/>
      <c r="AG5200" s="29"/>
    </row>
    <row r="5201" spans="2:33">
      <c r="B5201" s="29"/>
      <c r="D5201" s="29"/>
      <c r="E5201" s="20"/>
      <c r="F5201" s="20"/>
      <c r="AC5201" s="20"/>
      <c r="AG5201" s="29"/>
    </row>
    <row r="5202" spans="2:33">
      <c r="B5202" s="29"/>
      <c r="D5202" s="29"/>
      <c r="E5202" s="20"/>
      <c r="F5202" s="20"/>
      <c r="AC5202" s="20"/>
      <c r="AG5202" s="29"/>
    </row>
    <row r="5203" spans="2:33">
      <c r="B5203" s="29"/>
      <c r="D5203" s="29"/>
      <c r="E5203" s="20"/>
      <c r="F5203" s="20"/>
      <c r="AC5203" s="20"/>
      <c r="AG5203" s="29"/>
    </row>
    <row r="5204" spans="2:33">
      <c r="B5204" s="29"/>
      <c r="D5204" s="29"/>
      <c r="E5204" s="20"/>
      <c r="F5204" s="20"/>
      <c r="AC5204" s="20"/>
      <c r="AG5204" s="29"/>
    </row>
    <row r="5205" spans="2:33">
      <c r="B5205" s="29"/>
      <c r="D5205" s="29"/>
      <c r="E5205" s="20"/>
      <c r="F5205" s="20"/>
      <c r="AC5205" s="20"/>
      <c r="AG5205" s="29"/>
    </row>
    <row r="5206" spans="2:33">
      <c r="B5206" s="29"/>
      <c r="D5206" s="29"/>
      <c r="E5206" s="20"/>
      <c r="F5206" s="20"/>
      <c r="AC5206" s="20"/>
      <c r="AG5206" s="29"/>
    </row>
    <row r="5207" spans="2:33">
      <c r="B5207" s="29"/>
      <c r="D5207" s="29"/>
      <c r="E5207" s="20"/>
      <c r="F5207" s="20"/>
      <c r="AC5207" s="20"/>
      <c r="AG5207" s="29"/>
    </row>
    <row r="5208" spans="2:33">
      <c r="B5208" s="29"/>
      <c r="D5208" s="29"/>
      <c r="E5208" s="20"/>
      <c r="F5208" s="20"/>
      <c r="AC5208" s="20"/>
      <c r="AG5208" s="29"/>
    </row>
    <row r="5209" spans="2:33">
      <c r="B5209" s="29"/>
      <c r="D5209" s="29"/>
      <c r="E5209" s="20"/>
      <c r="F5209" s="20"/>
      <c r="AC5209" s="20"/>
      <c r="AG5209" s="29"/>
    </row>
    <row r="5210" spans="2:33">
      <c r="B5210" s="29"/>
      <c r="D5210" s="29"/>
      <c r="E5210" s="20"/>
      <c r="F5210" s="20"/>
      <c r="AC5210" s="20"/>
      <c r="AG5210" s="29"/>
    </row>
    <row r="5211" spans="2:33">
      <c r="B5211" s="29"/>
      <c r="D5211" s="29"/>
      <c r="E5211" s="20"/>
      <c r="F5211" s="20"/>
      <c r="AC5211" s="20"/>
      <c r="AG5211" s="29"/>
    </row>
    <row r="5212" spans="2:33">
      <c r="B5212" s="29"/>
      <c r="D5212" s="29"/>
      <c r="E5212" s="20"/>
      <c r="F5212" s="20"/>
      <c r="AC5212" s="20"/>
      <c r="AG5212" s="29"/>
    </row>
    <row r="5213" spans="2:33">
      <c r="B5213" s="29"/>
      <c r="D5213" s="29"/>
      <c r="E5213" s="20"/>
      <c r="F5213" s="20"/>
      <c r="AC5213" s="20"/>
      <c r="AG5213" s="29"/>
    </row>
    <row r="5214" spans="2:33">
      <c r="B5214" s="29"/>
      <c r="D5214" s="29"/>
      <c r="E5214" s="20"/>
      <c r="F5214" s="20"/>
      <c r="AC5214" s="20"/>
      <c r="AG5214" s="29"/>
    </row>
    <row r="5215" spans="2:33">
      <c r="B5215" s="29"/>
      <c r="D5215" s="29"/>
      <c r="E5215" s="20"/>
      <c r="F5215" s="20"/>
      <c r="AC5215" s="20"/>
      <c r="AG5215" s="29"/>
    </row>
    <row r="5216" spans="2:33">
      <c r="B5216" s="29"/>
      <c r="D5216" s="29"/>
      <c r="E5216" s="20"/>
      <c r="F5216" s="20"/>
      <c r="AC5216" s="20"/>
      <c r="AG5216" s="29"/>
    </row>
    <row r="5217" spans="2:33">
      <c r="B5217" s="29"/>
      <c r="D5217" s="29"/>
      <c r="E5217" s="20"/>
      <c r="F5217" s="20"/>
      <c r="AC5217" s="20"/>
      <c r="AG5217" s="29"/>
    </row>
    <row r="5218" spans="2:33">
      <c r="B5218" s="29"/>
      <c r="D5218" s="29"/>
      <c r="E5218" s="20"/>
      <c r="F5218" s="20"/>
      <c r="AC5218" s="20"/>
      <c r="AG5218" s="29"/>
    </row>
    <row r="5219" spans="2:33">
      <c r="B5219" s="29"/>
      <c r="D5219" s="29"/>
      <c r="E5219" s="20"/>
      <c r="F5219" s="20"/>
      <c r="AC5219" s="20"/>
      <c r="AG5219" s="29"/>
    </row>
    <row r="5220" spans="2:33">
      <c r="B5220" s="29"/>
      <c r="D5220" s="29"/>
      <c r="E5220" s="20"/>
      <c r="F5220" s="20"/>
      <c r="AC5220" s="20"/>
      <c r="AG5220" s="29"/>
    </row>
    <row r="5221" spans="2:33">
      <c r="B5221" s="29"/>
      <c r="D5221" s="29"/>
      <c r="E5221" s="20"/>
      <c r="F5221" s="20"/>
      <c r="AC5221" s="20"/>
      <c r="AG5221" s="29"/>
    </row>
    <row r="5222" spans="2:33">
      <c r="B5222" s="29"/>
      <c r="D5222" s="29"/>
      <c r="E5222" s="20"/>
      <c r="F5222" s="20"/>
      <c r="AC5222" s="20"/>
      <c r="AG5222" s="29"/>
    </row>
    <row r="5223" spans="2:33">
      <c r="B5223" s="29"/>
      <c r="D5223" s="29"/>
      <c r="E5223" s="20"/>
      <c r="F5223" s="20"/>
      <c r="AC5223" s="20"/>
      <c r="AG5223" s="29"/>
    </row>
    <row r="5224" spans="2:33">
      <c r="B5224" s="29"/>
      <c r="D5224" s="29"/>
      <c r="E5224" s="20"/>
      <c r="F5224" s="20"/>
      <c r="AC5224" s="20"/>
      <c r="AG5224" s="29"/>
    </row>
    <row r="5225" spans="2:33">
      <c r="B5225" s="29"/>
      <c r="D5225" s="29"/>
      <c r="E5225" s="20"/>
      <c r="F5225" s="20"/>
      <c r="AC5225" s="20"/>
      <c r="AG5225" s="29"/>
    </row>
    <row r="5226" spans="2:33">
      <c r="B5226" s="29"/>
      <c r="D5226" s="29"/>
      <c r="E5226" s="20"/>
      <c r="F5226" s="20"/>
      <c r="AC5226" s="20"/>
      <c r="AG5226" s="29"/>
    </row>
    <row r="5227" spans="2:33">
      <c r="B5227" s="29"/>
      <c r="D5227" s="29"/>
      <c r="E5227" s="20"/>
      <c r="F5227" s="20"/>
      <c r="AC5227" s="20"/>
      <c r="AG5227" s="29"/>
    </row>
    <row r="5228" spans="2:33">
      <c r="B5228" s="29"/>
      <c r="D5228" s="29"/>
      <c r="E5228" s="20"/>
      <c r="F5228" s="20"/>
      <c r="AC5228" s="20"/>
      <c r="AG5228" s="29"/>
    </row>
    <row r="5229" spans="2:33">
      <c r="B5229" s="29"/>
      <c r="D5229" s="29"/>
      <c r="E5229" s="20"/>
      <c r="F5229" s="20"/>
      <c r="AC5229" s="20"/>
      <c r="AG5229" s="29"/>
    </row>
    <row r="5230" spans="2:33">
      <c r="B5230" s="29"/>
      <c r="D5230" s="29"/>
      <c r="E5230" s="20"/>
      <c r="F5230" s="20"/>
      <c r="AC5230" s="20"/>
      <c r="AG5230" s="29"/>
    </row>
    <row r="5231" spans="2:33">
      <c r="B5231" s="29"/>
      <c r="D5231" s="29"/>
      <c r="E5231" s="20"/>
      <c r="F5231" s="20"/>
      <c r="AC5231" s="20"/>
      <c r="AG5231" s="29"/>
    </row>
    <row r="5232" spans="2:33">
      <c r="B5232" s="29"/>
      <c r="D5232" s="29"/>
      <c r="E5232" s="20"/>
      <c r="F5232" s="20"/>
      <c r="AC5232" s="20"/>
      <c r="AG5232" s="29"/>
    </row>
    <row r="5233" spans="2:33">
      <c r="B5233" s="29"/>
      <c r="D5233" s="29"/>
      <c r="E5233" s="20"/>
      <c r="F5233" s="20"/>
      <c r="AC5233" s="20"/>
      <c r="AG5233" s="29"/>
    </row>
    <row r="5234" spans="2:33">
      <c r="B5234" s="29"/>
      <c r="D5234" s="29"/>
      <c r="E5234" s="20"/>
      <c r="F5234" s="20"/>
      <c r="AC5234" s="20"/>
      <c r="AG5234" s="29"/>
    </row>
    <row r="5235" spans="2:33">
      <c r="B5235" s="29"/>
      <c r="D5235" s="29"/>
      <c r="E5235" s="20"/>
      <c r="F5235" s="20"/>
      <c r="AC5235" s="20"/>
      <c r="AG5235" s="29"/>
    </row>
    <row r="5236" spans="2:33">
      <c r="B5236" s="29"/>
      <c r="D5236" s="29"/>
      <c r="E5236" s="20"/>
      <c r="F5236" s="20"/>
      <c r="AC5236" s="20"/>
      <c r="AG5236" s="29"/>
    </row>
    <row r="5237" spans="2:33">
      <c r="B5237" s="29"/>
      <c r="D5237" s="29"/>
      <c r="E5237" s="20"/>
      <c r="F5237" s="20"/>
      <c r="AC5237" s="20"/>
      <c r="AG5237" s="29"/>
    </row>
    <row r="5238" spans="2:33">
      <c r="B5238" s="29"/>
      <c r="D5238" s="29"/>
      <c r="E5238" s="20"/>
      <c r="F5238" s="20"/>
      <c r="AC5238" s="20"/>
      <c r="AG5238" s="29"/>
    </row>
    <row r="5239" spans="2:33">
      <c r="B5239" s="29"/>
      <c r="D5239" s="29"/>
      <c r="E5239" s="20"/>
      <c r="F5239" s="20"/>
      <c r="AC5239" s="20"/>
      <c r="AG5239" s="29"/>
    </row>
    <row r="5240" spans="2:33">
      <c r="B5240" s="29"/>
      <c r="D5240" s="29"/>
      <c r="E5240" s="20"/>
      <c r="F5240" s="20"/>
      <c r="AC5240" s="20"/>
      <c r="AG5240" s="29"/>
    </row>
    <row r="5241" spans="2:33">
      <c r="B5241" s="29"/>
      <c r="D5241" s="29"/>
      <c r="E5241" s="20"/>
      <c r="F5241" s="20"/>
      <c r="AC5241" s="20"/>
      <c r="AG5241" s="29"/>
    </row>
    <row r="5242" spans="2:33">
      <c r="B5242" s="29"/>
      <c r="D5242" s="29"/>
      <c r="E5242" s="20"/>
      <c r="F5242" s="20"/>
      <c r="AC5242" s="20"/>
      <c r="AG5242" s="29"/>
    </row>
    <row r="5243" spans="2:33">
      <c r="B5243" s="29"/>
      <c r="D5243" s="29"/>
      <c r="E5243" s="20"/>
      <c r="F5243" s="20"/>
      <c r="AC5243" s="20"/>
      <c r="AG5243" s="29"/>
    </row>
    <row r="5244" spans="2:33">
      <c r="B5244" s="29"/>
      <c r="D5244" s="29"/>
      <c r="E5244" s="20"/>
      <c r="F5244" s="20"/>
      <c r="AC5244" s="20"/>
      <c r="AG5244" s="29"/>
    </row>
    <row r="5245" spans="2:33">
      <c r="B5245" s="29"/>
      <c r="D5245" s="29"/>
      <c r="E5245" s="20"/>
      <c r="F5245" s="20"/>
      <c r="AC5245" s="20"/>
      <c r="AG5245" s="29"/>
    </row>
    <row r="5246" spans="2:33">
      <c r="B5246" s="29"/>
      <c r="D5246" s="29"/>
      <c r="E5246" s="20"/>
      <c r="F5246" s="20"/>
      <c r="AC5246" s="20"/>
      <c r="AG5246" s="29"/>
    </row>
    <row r="5247" spans="2:33">
      <c r="B5247" s="29"/>
      <c r="D5247" s="29"/>
      <c r="E5247" s="20"/>
      <c r="F5247" s="20"/>
      <c r="AC5247" s="20"/>
      <c r="AG5247" s="29"/>
    </row>
    <row r="5248" spans="2:33">
      <c r="B5248" s="29"/>
      <c r="D5248" s="29"/>
      <c r="E5248" s="20"/>
      <c r="F5248" s="20"/>
      <c r="AC5248" s="20"/>
      <c r="AG5248" s="29"/>
    </row>
    <row r="5249" spans="2:33">
      <c r="B5249" s="29"/>
      <c r="D5249" s="29"/>
      <c r="E5249" s="20"/>
      <c r="F5249" s="20"/>
      <c r="AC5249" s="20"/>
      <c r="AG5249" s="29"/>
    </row>
    <row r="5250" spans="2:33">
      <c r="B5250" s="29"/>
      <c r="D5250" s="29"/>
      <c r="E5250" s="20"/>
      <c r="F5250" s="20"/>
      <c r="AC5250" s="20"/>
      <c r="AG5250" s="29"/>
    </row>
    <row r="5251" spans="2:33">
      <c r="B5251" s="29"/>
      <c r="D5251" s="29"/>
      <c r="E5251" s="20"/>
      <c r="F5251" s="20"/>
      <c r="AC5251" s="20"/>
      <c r="AG5251" s="29"/>
    </row>
    <row r="5252" spans="2:33">
      <c r="B5252" s="29"/>
      <c r="D5252" s="29"/>
      <c r="E5252" s="20"/>
      <c r="F5252" s="20"/>
      <c r="AC5252" s="20"/>
      <c r="AG5252" s="29"/>
    </row>
    <row r="5253" spans="2:33">
      <c r="B5253" s="29"/>
      <c r="D5253" s="29"/>
      <c r="E5253" s="20"/>
      <c r="F5253" s="20"/>
      <c r="AC5253" s="20"/>
      <c r="AG5253" s="29"/>
    </row>
    <row r="5254" spans="2:33">
      <c r="B5254" s="29"/>
      <c r="D5254" s="29"/>
      <c r="E5254" s="20"/>
      <c r="F5254" s="20"/>
      <c r="AC5254" s="20"/>
      <c r="AG5254" s="29"/>
    </row>
    <row r="5255" spans="2:33">
      <c r="B5255" s="29"/>
      <c r="D5255" s="29"/>
      <c r="E5255" s="20"/>
      <c r="F5255" s="20"/>
      <c r="AC5255" s="20"/>
      <c r="AG5255" s="29"/>
    </row>
    <row r="5256" spans="2:33">
      <c r="B5256" s="29"/>
      <c r="D5256" s="29"/>
      <c r="E5256" s="20"/>
      <c r="F5256" s="20"/>
      <c r="AC5256" s="20"/>
      <c r="AG5256" s="29"/>
    </row>
    <row r="5257" spans="2:33">
      <c r="B5257" s="29"/>
      <c r="D5257" s="29"/>
      <c r="E5257" s="20"/>
      <c r="F5257" s="20"/>
      <c r="AC5257" s="20"/>
      <c r="AG5257" s="29"/>
    </row>
    <row r="5258" spans="2:33">
      <c r="B5258" s="29"/>
      <c r="D5258" s="29"/>
      <c r="E5258" s="20"/>
      <c r="F5258" s="20"/>
      <c r="AC5258" s="20"/>
      <c r="AG5258" s="29"/>
    </row>
    <row r="5259" spans="2:33">
      <c r="B5259" s="29"/>
      <c r="D5259" s="29"/>
      <c r="E5259" s="20"/>
      <c r="F5259" s="20"/>
      <c r="AC5259" s="20"/>
      <c r="AG5259" s="29"/>
    </row>
    <row r="5260" spans="2:33">
      <c r="B5260" s="29"/>
      <c r="D5260" s="29"/>
      <c r="E5260" s="20"/>
      <c r="F5260" s="20"/>
      <c r="AC5260" s="20"/>
      <c r="AG5260" s="29"/>
    </row>
    <row r="5261" spans="2:33">
      <c r="B5261" s="29"/>
      <c r="D5261" s="29"/>
      <c r="E5261" s="20"/>
      <c r="F5261" s="20"/>
      <c r="AC5261" s="20"/>
      <c r="AG5261" s="29"/>
    </row>
    <row r="5262" spans="2:33">
      <c r="B5262" s="29"/>
      <c r="D5262" s="29"/>
      <c r="E5262" s="20"/>
      <c r="F5262" s="20"/>
      <c r="AC5262" s="20"/>
      <c r="AG5262" s="29"/>
    </row>
    <row r="5263" spans="2:33">
      <c r="B5263" s="29"/>
      <c r="D5263" s="29"/>
      <c r="E5263" s="20"/>
      <c r="F5263" s="20"/>
      <c r="AC5263" s="20"/>
      <c r="AG5263" s="29"/>
    </row>
    <row r="5264" spans="2:33">
      <c r="B5264" s="29"/>
      <c r="D5264" s="29"/>
      <c r="E5264" s="20"/>
      <c r="F5264" s="20"/>
      <c r="AC5264" s="20"/>
      <c r="AG5264" s="29"/>
    </row>
    <row r="5265" spans="2:33">
      <c r="B5265" s="29"/>
      <c r="D5265" s="29"/>
      <c r="E5265" s="20"/>
      <c r="F5265" s="20"/>
      <c r="AC5265" s="20"/>
      <c r="AG5265" s="29"/>
    </row>
    <row r="5266" spans="2:33">
      <c r="B5266" s="29"/>
      <c r="D5266" s="29"/>
      <c r="E5266" s="20"/>
      <c r="F5266" s="20"/>
      <c r="AC5266" s="20"/>
      <c r="AG5266" s="29"/>
    </row>
    <row r="5267" spans="2:33">
      <c r="B5267" s="29"/>
      <c r="D5267" s="29"/>
      <c r="E5267" s="20"/>
      <c r="F5267" s="20"/>
      <c r="AC5267" s="20"/>
      <c r="AG5267" s="29"/>
    </row>
    <row r="5268" spans="2:33">
      <c r="B5268" s="29"/>
      <c r="D5268" s="29"/>
      <c r="E5268" s="20"/>
      <c r="F5268" s="20"/>
      <c r="AC5268" s="20"/>
      <c r="AG5268" s="29"/>
    </row>
    <row r="5269" spans="2:33">
      <c r="B5269" s="29"/>
      <c r="D5269" s="29"/>
      <c r="E5269" s="20"/>
      <c r="F5269" s="20"/>
      <c r="AC5269" s="20"/>
      <c r="AG5269" s="29"/>
    </row>
    <row r="5270" spans="2:33">
      <c r="B5270" s="29"/>
      <c r="D5270" s="29"/>
      <c r="E5270" s="20"/>
      <c r="F5270" s="20"/>
      <c r="AC5270" s="20"/>
      <c r="AG5270" s="29"/>
    </row>
    <row r="5271" spans="2:33">
      <c r="B5271" s="29"/>
      <c r="D5271" s="29"/>
      <c r="E5271" s="20"/>
      <c r="F5271" s="20"/>
      <c r="AC5271" s="20"/>
      <c r="AG5271" s="29"/>
    </row>
    <row r="5272" spans="2:33">
      <c r="B5272" s="29"/>
      <c r="D5272" s="29"/>
      <c r="E5272" s="20"/>
      <c r="F5272" s="20"/>
      <c r="AC5272" s="20"/>
      <c r="AG5272" s="29"/>
    </row>
    <row r="5273" spans="2:33">
      <c r="B5273" s="29"/>
      <c r="D5273" s="29"/>
      <c r="E5273" s="20"/>
      <c r="F5273" s="20"/>
      <c r="AC5273" s="20"/>
      <c r="AG5273" s="29"/>
    </row>
    <row r="5274" spans="2:33">
      <c r="B5274" s="29"/>
      <c r="D5274" s="29"/>
      <c r="E5274" s="20"/>
      <c r="F5274" s="20"/>
      <c r="AC5274" s="20"/>
      <c r="AG5274" s="29"/>
    </row>
    <row r="5275" spans="2:33">
      <c r="B5275" s="29"/>
      <c r="D5275" s="29"/>
      <c r="E5275" s="20"/>
      <c r="F5275" s="20"/>
      <c r="AC5275" s="20"/>
      <c r="AG5275" s="29"/>
    </row>
    <row r="5276" spans="2:33">
      <c r="B5276" s="29"/>
      <c r="D5276" s="29"/>
      <c r="E5276" s="20"/>
      <c r="F5276" s="20"/>
      <c r="AC5276" s="20"/>
      <c r="AG5276" s="29"/>
    </row>
    <row r="5277" spans="2:33">
      <c r="B5277" s="29"/>
      <c r="D5277" s="29"/>
      <c r="E5277" s="20"/>
      <c r="F5277" s="20"/>
      <c r="AC5277" s="20"/>
      <c r="AG5277" s="29"/>
    </row>
    <row r="5278" spans="2:33">
      <c r="B5278" s="29"/>
      <c r="D5278" s="29"/>
      <c r="E5278" s="20"/>
      <c r="F5278" s="20"/>
      <c r="AC5278" s="20"/>
      <c r="AG5278" s="29"/>
    </row>
    <row r="5279" spans="2:33">
      <c r="B5279" s="29"/>
      <c r="D5279" s="29"/>
      <c r="E5279" s="20"/>
      <c r="F5279" s="20"/>
      <c r="AC5279" s="20"/>
      <c r="AG5279" s="29"/>
    </row>
    <row r="5280" spans="2:33">
      <c r="B5280" s="29"/>
      <c r="D5280" s="29"/>
      <c r="E5280" s="20"/>
      <c r="F5280" s="20"/>
      <c r="AC5280" s="20"/>
      <c r="AG5280" s="29"/>
    </row>
    <row r="5281" spans="2:33">
      <c r="B5281" s="29"/>
      <c r="D5281" s="29"/>
      <c r="E5281" s="20"/>
      <c r="F5281" s="20"/>
      <c r="AC5281" s="20"/>
      <c r="AG5281" s="29"/>
    </row>
    <row r="5282" spans="2:33">
      <c r="B5282" s="29"/>
      <c r="D5282" s="29"/>
      <c r="E5282" s="20"/>
      <c r="F5282" s="20"/>
      <c r="AC5282" s="20"/>
      <c r="AG5282" s="29"/>
    </row>
    <row r="5283" spans="2:33">
      <c r="B5283" s="29"/>
      <c r="D5283" s="29"/>
      <c r="E5283" s="20"/>
      <c r="F5283" s="20"/>
      <c r="AC5283" s="20"/>
      <c r="AG5283" s="29"/>
    </row>
    <row r="5284" spans="2:33">
      <c r="B5284" s="29"/>
      <c r="D5284" s="29"/>
      <c r="E5284" s="20"/>
      <c r="F5284" s="20"/>
      <c r="AC5284" s="20"/>
      <c r="AG5284" s="29"/>
    </row>
    <row r="5285" spans="2:33">
      <c r="B5285" s="29"/>
      <c r="D5285" s="29"/>
      <c r="E5285" s="20"/>
      <c r="F5285" s="20"/>
      <c r="AC5285" s="20"/>
      <c r="AG5285" s="29"/>
    </row>
    <row r="5286" spans="2:33">
      <c r="B5286" s="29"/>
      <c r="D5286" s="29"/>
      <c r="E5286" s="20"/>
      <c r="F5286" s="20"/>
      <c r="AC5286" s="20"/>
      <c r="AG5286" s="29"/>
    </row>
    <row r="5287" spans="2:33">
      <c r="B5287" s="29"/>
      <c r="D5287" s="29"/>
      <c r="E5287" s="20"/>
      <c r="F5287" s="20"/>
      <c r="AC5287" s="20"/>
      <c r="AG5287" s="29"/>
    </row>
    <row r="5288" spans="2:33">
      <c r="B5288" s="29"/>
      <c r="D5288" s="29"/>
      <c r="E5288" s="20"/>
      <c r="F5288" s="20"/>
      <c r="AC5288" s="20"/>
      <c r="AG5288" s="29"/>
    </row>
    <row r="5289" spans="2:33">
      <c r="B5289" s="29"/>
      <c r="D5289" s="29"/>
      <c r="E5289" s="20"/>
      <c r="F5289" s="20"/>
      <c r="AC5289" s="20"/>
      <c r="AG5289" s="29"/>
    </row>
    <row r="5290" spans="2:33">
      <c r="B5290" s="29"/>
      <c r="D5290" s="29"/>
      <c r="E5290" s="20"/>
      <c r="F5290" s="20"/>
      <c r="AC5290" s="20"/>
      <c r="AG5290" s="29"/>
    </row>
    <row r="5291" spans="2:33">
      <c r="B5291" s="29"/>
      <c r="D5291" s="29"/>
      <c r="E5291" s="20"/>
      <c r="F5291" s="20"/>
      <c r="AC5291" s="20"/>
      <c r="AG5291" s="29"/>
    </row>
    <row r="5292" spans="2:33">
      <c r="B5292" s="29"/>
      <c r="D5292" s="29"/>
      <c r="E5292" s="20"/>
      <c r="F5292" s="20"/>
      <c r="AC5292" s="20"/>
      <c r="AG5292" s="29"/>
    </row>
    <row r="5293" spans="2:33">
      <c r="B5293" s="29"/>
      <c r="D5293" s="29"/>
      <c r="E5293" s="20"/>
      <c r="F5293" s="20"/>
      <c r="AC5293" s="20"/>
      <c r="AG5293" s="29"/>
    </row>
    <row r="5294" spans="2:33">
      <c r="B5294" s="29"/>
      <c r="D5294" s="29"/>
      <c r="E5294" s="20"/>
      <c r="F5294" s="20"/>
      <c r="AC5294" s="20"/>
      <c r="AG5294" s="29"/>
    </row>
    <row r="5295" spans="2:33">
      <c r="B5295" s="29"/>
      <c r="D5295" s="29"/>
      <c r="E5295" s="20"/>
      <c r="F5295" s="20"/>
      <c r="AC5295" s="20"/>
      <c r="AG5295" s="29"/>
    </row>
    <row r="5296" spans="2:33">
      <c r="B5296" s="29"/>
      <c r="D5296" s="29"/>
      <c r="E5296" s="20"/>
      <c r="F5296" s="20"/>
      <c r="AC5296" s="20"/>
      <c r="AG5296" s="29"/>
    </row>
    <row r="5297" spans="2:33">
      <c r="B5297" s="29"/>
      <c r="D5297" s="29"/>
      <c r="E5297" s="20"/>
      <c r="F5297" s="20"/>
      <c r="AC5297" s="20"/>
      <c r="AG5297" s="29"/>
    </row>
    <row r="5298" spans="2:33">
      <c r="B5298" s="29"/>
      <c r="D5298" s="29"/>
      <c r="E5298" s="20"/>
      <c r="F5298" s="20"/>
      <c r="AC5298" s="20"/>
      <c r="AG5298" s="29"/>
    </row>
    <row r="5299" spans="2:33">
      <c r="B5299" s="29"/>
      <c r="D5299" s="29"/>
      <c r="E5299" s="20"/>
      <c r="F5299" s="20"/>
      <c r="AC5299" s="20"/>
      <c r="AG5299" s="29"/>
    </row>
    <row r="5300" spans="2:33">
      <c r="B5300" s="29"/>
      <c r="D5300" s="29"/>
      <c r="E5300" s="20"/>
      <c r="F5300" s="20"/>
      <c r="AC5300" s="20"/>
      <c r="AG5300" s="29"/>
    </row>
    <row r="5301" spans="2:33">
      <c r="B5301" s="29"/>
      <c r="D5301" s="29"/>
      <c r="E5301" s="20"/>
      <c r="F5301" s="20"/>
      <c r="AC5301" s="20"/>
      <c r="AG5301" s="29"/>
    </row>
    <row r="5302" spans="2:33">
      <c r="B5302" s="29"/>
      <c r="D5302" s="29"/>
      <c r="E5302" s="20"/>
      <c r="F5302" s="20"/>
      <c r="AC5302" s="20"/>
      <c r="AG5302" s="29"/>
    </row>
    <row r="5303" spans="2:33">
      <c r="B5303" s="29"/>
      <c r="D5303" s="29"/>
      <c r="E5303" s="20"/>
      <c r="F5303" s="20"/>
      <c r="AC5303" s="20"/>
      <c r="AG5303" s="29"/>
    </row>
    <row r="5304" spans="2:33">
      <c r="B5304" s="29"/>
      <c r="D5304" s="29"/>
      <c r="E5304" s="20"/>
      <c r="F5304" s="20"/>
      <c r="AC5304" s="20"/>
      <c r="AG5304" s="29"/>
    </row>
    <row r="5305" spans="2:33">
      <c r="B5305" s="29"/>
      <c r="D5305" s="29"/>
      <c r="E5305" s="20"/>
      <c r="F5305" s="20"/>
      <c r="AC5305" s="20"/>
      <c r="AG5305" s="29"/>
    </row>
    <row r="5306" spans="2:33">
      <c r="B5306" s="29"/>
      <c r="D5306" s="29"/>
      <c r="E5306" s="20"/>
      <c r="F5306" s="20"/>
      <c r="AC5306" s="20"/>
      <c r="AG5306" s="29"/>
    </row>
    <row r="5307" spans="2:33">
      <c r="B5307" s="29"/>
      <c r="D5307" s="29"/>
      <c r="E5307" s="20"/>
      <c r="F5307" s="20"/>
      <c r="AC5307" s="20"/>
      <c r="AG5307" s="29"/>
    </row>
    <row r="5308" spans="2:33">
      <c r="B5308" s="29"/>
      <c r="D5308" s="29"/>
      <c r="E5308" s="20"/>
      <c r="F5308" s="20"/>
      <c r="AC5308" s="20"/>
      <c r="AG5308" s="29"/>
    </row>
    <row r="5309" spans="2:33">
      <c r="B5309" s="29"/>
      <c r="D5309" s="29"/>
      <c r="E5309" s="20"/>
      <c r="F5309" s="20"/>
      <c r="AC5309" s="20"/>
      <c r="AG5309" s="29"/>
    </row>
    <row r="5310" spans="2:33">
      <c r="B5310" s="29"/>
      <c r="D5310" s="29"/>
      <c r="E5310" s="20"/>
      <c r="F5310" s="20"/>
      <c r="AC5310" s="20"/>
      <c r="AG5310" s="29"/>
    </row>
    <row r="5311" spans="2:33">
      <c r="B5311" s="29"/>
      <c r="D5311" s="29"/>
      <c r="E5311" s="20"/>
      <c r="F5311" s="20"/>
      <c r="AC5311" s="20"/>
      <c r="AG5311" s="29"/>
    </row>
    <row r="5312" spans="2:33">
      <c r="B5312" s="29"/>
      <c r="D5312" s="29"/>
      <c r="E5312" s="20"/>
      <c r="F5312" s="20"/>
      <c r="AC5312" s="20"/>
      <c r="AG5312" s="29"/>
    </row>
    <row r="5313" spans="2:33">
      <c r="B5313" s="29"/>
      <c r="D5313" s="29"/>
      <c r="E5313" s="20"/>
      <c r="F5313" s="20"/>
      <c r="AC5313" s="20"/>
      <c r="AG5313" s="29"/>
    </row>
    <row r="5314" spans="2:33">
      <c r="B5314" s="29"/>
      <c r="D5314" s="29"/>
      <c r="E5314" s="20"/>
      <c r="F5314" s="20"/>
      <c r="AC5314" s="20"/>
      <c r="AG5314" s="29"/>
    </row>
    <row r="5315" spans="2:33">
      <c r="B5315" s="29"/>
      <c r="D5315" s="29"/>
      <c r="E5315" s="20"/>
      <c r="F5315" s="20"/>
      <c r="AC5315" s="20"/>
      <c r="AG5315" s="29"/>
    </row>
    <row r="5316" spans="2:33">
      <c r="B5316" s="29"/>
      <c r="D5316" s="29"/>
      <c r="E5316" s="20"/>
      <c r="F5316" s="20"/>
      <c r="AC5316" s="20"/>
      <c r="AG5316" s="29"/>
    </row>
    <row r="5317" spans="2:33">
      <c r="B5317" s="29"/>
      <c r="D5317" s="29"/>
      <c r="E5317" s="20"/>
      <c r="F5317" s="20"/>
      <c r="AC5317" s="20"/>
      <c r="AG5317" s="29"/>
    </row>
    <row r="5318" spans="2:33">
      <c r="B5318" s="29"/>
      <c r="D5318" s="29"/>
      <c r="E5318" s="20"/>
      <c r="F5318" s="20"/>
      <c r="AC5318" s="20"/>
      <c r="AG5318" s="29"/>
    </row>
    <row r="5319" spans="2:33">
      <c r="B5319" s="29"/>
      <c r="D5319" s="29"/>
      <c r="E5319" s="20"/>
      <c r="F5319" s="20"/>
      <c r="AC5319" s="20"/>
      <c r="AG5319" s="29"/>
    </row>
    <row r="5320" spans="2:33">
      <c r="B5320" s="29"/>
      <c r="D5320" s="29"/>
      <c r="E5320" s="20"/>
      <c r="F5320" s="20"/>
      <c r="AC5320" s="20"/>
      <c r="AG5320" s="29"/>
    </row>
    <row r="5321" spans="2:33">
      <c r="B5321" s="29"/>
      <c r="D5321" s="29"/>
      <c r="E5321" s="20"/>
      <c r="F5321" s="20"/>
      <c r="AC5321" s="20"/>
      <c r="AG5321" s="29"/>
    </row>
    <row r="5322" spans="2:33">
      <c r="B5322" s="29"/>
      <c r="D5322" s="29"/>
      <c r="E5322" s="20"/>
      <c r="F5322" s="20"/>
      <c r="AC5322" s="20"/>
      <c r="AG5322" s="29"/>
    </row>
    <row r="5323" spans="2:33">
      <c r="B5323" s="29"/>
      <c r="D5323" s="29"/>
      <c r="E5323" s="20"/>
      <c r="F5323" s="20"/>
      <c r="AC5323" s="20"/>
      <c r="AG5323" s="29"/>
    </row>
    <row r="5324" spans="2:33">
      <c r="B5324" s="29"/>
      <c r="D5324" s="29"/>
      <c r="E5324" s="20"/>
      <c r="F5324" s="20"/>
      <c r="AC5324" s="20"/>
      <c r="AG5324" s="29"/>
    </row>
    <row r="5325" spans="2:33">
      <c r="B5325" s="29"/>
      <c r="D5325" s="29"/>
      <c r="E5325" s="20"/>
      <c r="F5325" s="20"/>
      <c r="AC5325" s="20"/>
      <c r="AG5325" s="29"/>
    </row>
    <row r="5326" spans="2:33">
      <c r="B5326" s="29"/>
      <c r="D5326" s="29"/>
      <c r="E5326" s="20"/>
      <c r="F5326" s="20"/>
      <c r="AC5326" s="20"/>
      <c r="AG5326" s="29"/>
    </row>
    <row r="5327" spans="2:33">
      <c r="B5327" s="29"/>
      <c r="D5327" s="29"/>
      <c r="E5327" s="20"/>
      <c r="F5327" s="20"/>
      <c r="AC5327" s="20"/>
      <c r="AG5327" s="29"/>
    </row>
    <row r="5328" spans="2:33">
      <c r="B5328" s="29"/>
      <c r="D5328" s="29"/>
      <c r="E5328" s="20"/>
      <c r="F5328" s="20"/>
      <c r="AC5328" s="20"/>
      <c r="AG5328" s="29"/>
    </row>
    <row r="5329" spans="2:33">
      <c r="B5329" s="29"/>
      <c r="D5329" s="29"/>
      <c r="E5329" s="20"/>
      <c r="F5329" s="20"/>
      <c r="AC5329" s="20"/>
      <c r="AG5329" s="29"/>
    </row>
    <row r="5330" spans="2:33">
      <c r="B5330" s="29"/>
      <c r="D5330" s="29"/>
      <c r="E5330" s="20"/>
      <c r="F5330" s="20"/>
      <c r="AC5330" s="20"/>
      <c r="AG5330" s="29"/>
    </row>
    <row r="5331" spans="2:33">
      <c r="B5331" s="29"/>
      <c r="D5331" s="29"/>
      <c r="E5331" s="20"/>
      <c r="F5331" s="20"/>
      <c r="AC5331" s="20"/>
      <c r="AG5331" s="29"/>
    </row>
    <row r="5332" spans="2:33">
      <c r="B5332" s="29"/>
      <c r="D5332" s="29"/>
      <c r="E5332" s="20"/>
      <c r="F5332" s="20"/>
      <c r="AC5332" s="20"/>
      <c r="AG5332" s="29"/>
    </row>
    <row r="5333" spans="2:33">
      <c r="B5333" s="29"/>
      <c r="D5333" s="29"/>
      <c r="E5333" s="20"/>
      <c r="F5333" s="20"/>
      <c r="AC5333" s="20"/>
      <c r="AG5333" s="29"/>
    </row>
    <row r="5334" spans="2:33">
      <c r="B5334" s="29"/>
      <c r="D5334" s="29"/>
      <c r="E5334" s="20"/>
      <c r="F5334" s="20"/>
      <c r="AC5334" s="20"/>
      <c r="AG5334" s="29"/>
    </row>
    <row r="5335" spans="2:33">
      <c r="B5335" s="29"/>
      <c r="D5335" s="29"/>
      <c r="E5335" s="20"/>
      <c r="F5335" s="20"/>
      <c r="AC5335" s="20"/>
      <c r="AG5335" s="29"/>
    </row>
    <row r="5336" spans="2:33">
      <c r="B5336" s="29"/>
      <c r="D5336" s="29"/>
      <c r="E5336" s="20"/>
      <c r="F5336" s="20"/>
      <c r="AC5336" s="20"/>
      <c r="AG5336" s="29"/>
    </row>
    <row r="5337" spans="2:33">
      <c r="B5337" s="29"/>
      <c r="D5337" s="29"/>
      <c r="E5337" s="20"/>
      <c r="F5337" s="20"/>
      <c r="AC5337" s="20"/>
      <c r="AG5337" s="29"/>
    </row>
    <row r="5338" spans="2:33">
      <c r="B5338" s="29"/>
      <c r="D5338" s="29"/>
      <c r="E5338" s="20"/>
      <c r="F5338" s="20"/>
      <c r="AC5338" s="20"/>
      <c r="AG5338" s="29"/>
    </row>
    <row r="5339" spans="2:33">
      <c r="B5339" s="29"/>
      <c r="D5339" s="29"/>
      <c r="E5339" s="20"/>
      <c r="F5339" s="20"/>
      <c r="AC5339" s="20"/>
      <c r="AG5339" s="29"/>
    </row>
    <row r="5340" spans="2:33">
      <c r="B5340" s="29"/>
      <c r="D5340" s="29"/>
      <c r="E5340" s="20"/>
      <c r="F5340" s="20"/>
      <c r="AC5340" s="20"/>
      <c r="AG5340" s="29"/>
    </row>
    <row r="5341" spans="2:33">
      <c r="B5341" s="29"/>
      <c r="D5341" s="29"/>
      <c r="E5341" s="20"/>
      <c r="F5341" s="20"/>
      <c r="AC5341" s="20"/>
      <c r="AG5341" s="29"/>
    </row>
    <row r="5342" spans="2:33">
      <c r="B5342" s="29"/>
      <c r="D5342" s="29"/>
      <c r="E5342" s="20"/>
      <c r="F5342" s="20"/>
      <c r="AC5342" s="20"/>
      <c r="AG5342" s="29"/>
    </row>
    <row r="5343" spans="2:33">
      <c r="B5343" s="29"/>
      <c r="D5343" s="29"/>
      <c r="E5343" s="20"/>
      <c r="F5343" s="20"/>
      <c r="AC5343" s="20"/>
      <c r="AG5343" s="29"/>
    </row>
    <row r="5344" spans="2:33">
      <c r="B5344" s="29"/>
      <c r="D5344" s="29"/>
      <c r="E5344" s="20"/>
      <c r="F5344" s="20"/>
      <c r="AC5344" s="20"/>
      <c r="AG5344" s="29"/>
    </row>
    <row r="5345" spans="2:33">
      <c r="B5345" s="29"/>
      <c r="D5345" s="29"/>
      <c r="E5345" s="20"/>
      <c r="F5345" s="20"/>
      <c r="AC5345" s="20"/>
      <c r="AG5345" s="29"/>
    </row>
    <row r="5346" spans="2:33">
      <c r="B5346" s="29"/>
      <c r="D5346" s="29"/>
      <c r="E5346" s="20"/>
      <c r="F5346" s="20"/>
      <c r="AC5346" s="20"/>
      <c r="AG5346" s="29"/>
    </row>
    <row r="5347" spans="2:33">
      <c r="B5347" s="29"/>
      <c r="D5347" s="29"/>
      <c r="E5347" s="20"/>
      <c r="F5347" s="20"/>
      <c r="AC5347" s="20"/>
      <c r="AG5347" s="29"/>
    </row>
    <row r="5348" spans="2:33">
      <c r="B5348" s="29"/>
      <c r="D5348" s="29"/>
      <c r="E5348" s="20"/>
      <c r="F5348" s="20"/>
      <c r="AC5348" s="20"/>
      <c r="AG5348" s="29"/>
    </row>
    <row r="5349" spans="2:33">
      <c r="B5349" s="29"/>
      <c r="D5349" s="29"/>
      <c r="E5349" s="20"/>
      <c r="F5349" s="20"/>
      <c r="AC5349" s="20"/>
      <c r="AG5349" s="29"/>
    </row>
    <row r="5350" spans="2:33">
      <c r="B5350" s="29"/>
      <c r="D5350" s="29"/>
      <c r="E5350" s="20"/>
      <c r="F5350" s="20"/>
      <c r="AC5350" s="20"/>
      <c r="AG5350" s="29"/>
    </row>
    <row r="5351" spans="2:33">
      <c r="B5351" s="29"/>
      <c r="D5351" s="29"/>
      <c r="E5351" s="20"/>
      <c r="F5351" s="20"/>
      <c r="AC5351" s="20"/>
      <c r="AG5351" s="29"/>
    </row>
    <row r="5352" spans="2:33">
      <c r="B5352" s="29"/>
      <c r="D5352" s="29"/>
      <c r="E5352" s="20"/>
      <c r="F5352" s="20"/>
      <c r="AC5352" s="20"/>
      <c r="AG5352" s="29"/>
    </row>
    <row r="5353" spans="2:33">
      <c r="B5353" s="29"/>
      <c r="D5353" s="29"/>
      <c r="E5353" s="20"/>
      <c r="F5353" s="20"/>
      <c r="AC5353" s="20"/>
      <c r="AG5353" s="29"/>
    </row>
    <row r="5354" spans="2:33">
      <c r="B5354" s="29"/>
      <c r="D5354" s="29"/>
      <c r="E5354" s="20"/>
      <c r="F5354" s="20"/>
      <c r="AC5354" s="20"/>
      <c r="AG5354" s="29"/>
    </row>
    <row r="5355" spans="2:33">
      <c r="B5355" s="29"/>
      <c r="D5355" s="29"/>
      <c r="E5355" s="20"/>
      <c r="F5355" s="20"/>
      <c r="AC5355" s="20"/>
      <c r="AG5355" s="29"/>
    </row>
    <row r="5356" spans="2:33">
      <c r="B5356" s="29"/>
      <c r="D5356" s="29"/>
      <c r="E5356" s="20"/>
      <c r="F5356" s="20"/>
      <c r="AC5356" s="20"/>
      <c r="AG5356" s="29"/>
    </row>
    <row r="5357" spans="2:33">
      <c r="B5357" s="29"/>
      <c r="D5357" s="29"/>
      <c r="E5357" s="20"/>
      <c r="F5357" s="20"/>
      <c r="AC5357" s="20"/>
      <c r="AG5357" s="29"/>
    </row>
    <row r="5358" spans="2:33">
      <c r="B5358" s="29"/>
      <c r="D5358" s="29"/>
      <c r="E5358" s="20"/>
      <c r="F5358" s="20"/>
      <c r="AC5358" s="20"/>
      <c r="AG5358" s="29"/>
    </row>
    <row r="5359" spans="2:33">
      <c r="B5359" s="29"/>
      <c r="D5359" s="29"/>
      <c r="E5359" s="20"/>
      <c r="F5359" s="20"/>
      <c r="AC5359" s="20"/>
      <c r="AG5359" s="29"/>
    </row>
    <row r="5360" spans="2:33">
      <c r="B5360" s="29"/>
      <c r="D5360" s="29"/>
      <c r="E5360" s="20"/>
      <c r="F5360" s="20"/>
      <c r="AC5360" s="20"/>
      <c r="AG5360" s="29"/>
    </row>
    <row r="5361" spans="2:33">
      <c r="B5361" s="29"/>
      <c r="D5361" s="29"/>
      <c r="E5361" s="20"/>
      <c r="F5361" s="20"/>
      <c r="AC5361" s="20"/>
      <c r="AG5361" s="29"/>
    </row>
    <row r="5362" spans="2:33">
      <c r="B5362" s="29"/>
      <c r="D5362" s="29"/>
      <c r="E5362" s="20"/>
      <c r="F5362" s="20"/>
      <c r="AC5362" s="20"/>
      <c r="AG5362" s="29"/>
    </row>
    <row r="5363" spans="2:33">
      <c r="B5363" s="29"/>
      <c r="D5363" s="29"/>
      <c r="E5363" s="20"/>
      <c r="F5363" s="20"/>
      <c r="AC5363" s="20"/>
      <c r="AG5363" s="29"/>
    </row>
    <row r="5364" spans="2:33">
      <c r="B5364" s="29"/>
      <c r="D5364" s="29"/>
      <c r="E5364" s="20"/>
      <c r="F5364" s="20"/>
      <c r="AC5364" s="20"/>
      <c r="AG5364" s="29"/>
    </row>
    <row r="5365" spans="2:33">
      <c r="B5365" s="29"/>
      <c r="D5365" s="29"/>
      <c r="E5365" s="20"/>
      <c r="F5365" s="20"/>
      <c r="AC5365" s="20"/>
      <c r="AG5365" s="29"/>
    </row>
    <row r="5366" spans="2:33">
      <c r="B5366" s="29"/>
      <c r="D5366" s="29"/>
      <c r="E5366" s="20"/>
      <c r="F5366" s="20"/>
      <c r="AC5366" s="20"/>
      <c r="AG5366" s="29"/>
    </row>
    <row r="5367" spans="2:33">
      <c r="B5367" s="29"/>
      <c r="D5367" s="29"/>
      <c r="E5367" s="20"/>
      <c r="F5367" s="20"/>
      <c r="AC5367" s="20"/>
      <c r="AG5367" s="29"/>
    </row>
    <row r="5368" spans="2:33">
      <c r="B5368" s="29"/>
      <c r="D5368" s="29"/>
      <c r="E5368" s="20"/>
      <c r="F5368" s="20"/>
      <c r="AC5368" s="20"/>
      <c r="AG5368" s="29"/>
    </row>
    <row r="5369" spans="2:33">
      <c r="B5369" s="29"/>
      <c r="D5369" s="29"/>
      <c r="E5369" s="20"/>
      <c r="F5369" s="20"/>
      <c r="AC5369" s="20"/>
      <c r="AG5369" s="29"/>
    </row>
    <row r="5370" spans="2:33">
      <c r="B5370" s="29"/>
      <c r="D5370" s="29"/>
      <c r="E5370" s="20"/>
      <c r="F5370" s="20"/>
      <c r="AC5370" s="20"/>
      <c r="AG5370" s="29"/>
    </row>
    <row r="5371" spans="2:33">
      <c r="B5371" s="29"/>
      <c r="D5371" s="29"/>
      <c r="E5371" s="20"/>
      <c r="F5371" s="20"/>
      <c r="AC5371" s="20"/>
      <c r="AG5371" s="29"/>
    </row>
    <row r="5372" spans="2:33">
      <c r="B5372" s="29"/>
      <c r="D5372" s="29"/>
      <c r="E5372" s="20"/>
      <c r="F5372" s="20"/>
      <c r="AC5372" s="20"/>
      <c r="AG5372" s="29"/>
    </row>
    <row r="5373" spans="2:33">
      <c r="B5373" s="29"/>
      <c r="D5373" s="29"/>
      <c r="E5373" s="20"/>
      <c r="F5373" s="20"/>
      <c r="AC5373" s="20"/>
      <c r="AG5373" s="29"/>
    </row>
    <row r="5374" spans="2:33">
      <c r="B5374" s="29"/>
      <c r="D5374" s="29"/>
      <c r="E5374" s="20"/>
      <c r="F5374" s="20"/>
      <c r="AC5374" s="20"/>
      <c r="AG5374" s="29"/>
    </row>
    <row r="5375" spans="2:33">
      <c r="B5375" s="29"/>
      <c r="D5375" s="29"/>
      <c r="E5375" s="20"/>
      <c r="F5375" s="20"/>
      <c r="AC5375" s="20"/>
      <c r="AG5375" s="29"/>
    </row>
    <row r="5376" spans="2:33">
      <c r="B5376" s="29"/>
      <c r="D5376" s="29"/>
      <c r="E5376" s="20"/>
      <c r="F5376" s="20"/>
      <c r="AC5376" s="20"/>
      <c r="AG5376" s="29"/>
    </row>
    <row r="5377" spans="2:33">
      <c r="B5377" s="29"/>
      <c r="D5377" s="29"/>
      <c r="E5377" s="20"/>
      <c r="F5377" s="20"/>
      <c r="AC5377" s="20"/>
      <c r="AG5377" s="29"/>
    </row>
    <row r="5378" spans="2:33">
      <c r="B5378" s="29"/>
      <c r="D5378" s="29"/>
      <c r="E5378" s="20"/>
      <c r="F5378" s="20"/>
      <c r="AC5378" s="20"/>
      <c r="AG5378" s="29"/>
    </row>
    <row r="5379" spans="2:33">
      <c r="B5379" s="29"/>
      <c r="D5379" s="29"/>
      <c r="E5379" s="20"/>
      <c r="F5379" s="20"/>
      <c r="AC5379" s="20"/>
      <c r="AG5379" s="29"/>
    </row>
    <row r="5380" spans="2:33">
      <c r="B5380" s="29"/>
      <c r="D5380" s="29"/>
      <c r="E5380" s="20"/>
      <c r="F5380" s="20"/>
      <c r="AC5380" s="20"/>
      <c r="AG5380" s="29"/>
    </row>
    <row r="5381" spans="2:33">
      <c r="B5381" s="29"/>
      <c r="D5381" s="29"/>
      <c r="E5381" s="20"/>
      <c r="F5381" s="20"/>
      <c r="AC5381" s="20"/>
      <c r="AG5381" s="29"/>
    </row>
    <row r="5382" spans="2:33">
      <c r="B5382" s="29"/>
      <c r="D5382" s="29"/>
      <c r="E5382" s="20"/>
      <c r="F5382" s="20"/>
      <c r="AC5382" s="20"/>
      <c r="AG5382" s="29"/>
    </row>
    <row r="5383" spans="2:33">
      <c r="B5383" s="29"/>
      <c r="D5383" s="29"/>
      <c r="E5383" s="20"/>
      <c r="F5383" s="20"/>
      <c r="AC5383" s="20"/>
      <c r="AG5383" s="29"/>
    </row>
    <row r="5384" spans="2:33">
      <c r="B5384" s="29"/>
      <c r="D5384" s="29"/>
      <c r="E5384" s="20"/>
      <c r="F5384" s="20"/>
      <c r="AC5384" s="20"/>
      <c r="AG5384" s="29"/>
    </row>
    <row r="5385" spans="2:33">
      <c r="B5385" s="29"/>
      <c r="D5385" s="29"/>
      <c r="E5385" s="20"/>
      <c r="F5385" s="20"/>
      <c r="AC5385" s="20"/>
      <c r="AG5385" s="29"/>
    </row>
    <row r="5386" spans="2:33">
      <c r="B5386" s="29"/>
      <c r="D5386" s="29"/>
      <c r="E5386" s="20"/>
      <c r="F5386" s="20"/>
      <c r="AC5386" s="20"/>
      <c r="AG5386" s="29"/>
    </row>
    <row r="5387" spans="2:33">
      <c r="B5387" s="29"/>
      <c r="D5387" s="29"/>
      <c r="E5387" s="20"/>
      <c r="F5387" s="20"/>
      <c r="AC5387" s="20"/>
      <c r="AG5387" s="29"/>
    </row>
    <row r="5388" spans="2:33">
      <c r="B5388" s="29"/>
      <c r="D5388" s="29"/>
      <c r="E5388" s="20"/>
      <c r="F5388" s="20"/>
      <c r="AC5388" s="20"/>
      <c r="AG5388" s="29"/>
    </row>
    <row r="5389" spans="2:33">
      <c r="B5389" s="29"/>
      <c r="D5389" s="29"/>
      <c r="E5389" s="20"/>
      <c r="F5389" s="20"/>
      <c r="AC5389" s="20"/>
      <c r="AG5389" s="29"/>
    </row>
    <row r="5390" spans="2:33">
      <c r="B5390" s="29"/>
      <c r="D5390" s="29"/>
      <c r="E5390" s="20"/>
      <c r="F5390" s="20"/>
      <c r="AC5390" s="20"/>
      <c r="AG5390" s="29"/>
    </row>
    <row r="5391" spans="2:33">
      <c r="B5391" s="29"/>
      <c r="D5391" s="29"/>
      <c r="E5391" s="20"/>
      <c r="F5391" s="20"/>
      <c r="AC5391" s="20"/>
      <c r="AG5391" s="29"/>
    </row>
    <row r="5392" spans="2:33">
      <c r="B5392" s="29"/>
      <c r="D5392" s="29"/>
      <c r="E5392" s="20"/>
      <c r="F5392" s="20"/>
      <c r="AC5392" s="20"/>
      <c r="AG5392" s="29"/>
    </row>
    <row r="5393" spans="2:33">
      <c r="B5393" s="29"/>
      <c r="D5393" s="29"/>
      <c r="E5393" s="20"/>
      <c r="F5393" s="20"/>
      <c r="AC5393" s="20"/>
      <c r="AG5393" s="29"/>
    </row>
    <row r="5394" spans="2:33">
      <c r="B5394" s="29"/>
      <c r="D5394" s="29"/>
      <c r="E5394" s="20"/>
      <c r="F5394" s="20"/>
      <c r="AC5394" s="20"/>
      <c r="AG5394" s="29"/>
    </row>
    <row r="5395" spans="2:33">
      <c r="B5395" s="29"/>
      <c r="D5395" s="29"/>
      <c r="E5395" s="20"/>
      <c r="F5395" s="20"/>
      <c r="AC5395" s="20"/>
      <c r="AG5395" s="29"/>
    </row>
    <row r="5396" spans="2:33">
      <c r="B5396" s="29"/>
      <c r="D5396" s="29"/>
      <c r="E5396" s="20"/>
      <c r="F5396" s="20"/>
      <c r="AC5396" s="20"/>
      <c r="AG5396" s="29"/>
    </row>
    <row r="5397" spans="2:33">
      <c r="B5397" s="29"/>
      <c r="D5397" s="29"/>
      <c r="E5397" s="20"/>
      <c r="F5397" s="20"/>
      <c r="AC5397" s="20"/>
      <c r="AG5397" s="29"/>
    </row>
    <row r="5398" spans="2:33">
      <c r="B5398" s="29"/>
      <c r="D5398" s="29"/>
      <c r="E5398" s="20"/>
      <c r="F5398" s="20"/>
      <c r="AC5398" s="20"/>
      <c r="AG5398" s="29"/>
    </row>
    <row r="5399" spans="2:33">
      <c r="B5399" s="29"/>
      <c r="D5399" s="29"/>
      <c r="E5399" s="20"/>
      <c r="F5399" s="20"/>
      <c r="AC5399" s="20"/>
      <c r="AG5399" s="29"/>
    </row>
    <row r="5400" spans="2:33">
      <c r="B5400" s="29"/>
      <c r="D5400" s="29"/>
      <c r="E5400" s="20"/>
      <c r="F5400" s="20"/>
      <c r="AC5400" s="20"/>
      <c r="AG5400" s="29"/>
    </row>
    <row r="5401" spans="2:33">
      <c r="B5401" s="29"/>
      <c r="D5401" s="29"/>
      <c r="E5401" s="20"/>
      <c r="F5401" s="20"/>
      <c r="AC5401" s="20"/>
      <c r="AG5401" s="29"/>
    </row>
    <row r="5402" spans="2:33">
      <c r="B5402" s="29"/>
      <c r="D5402" s="29"/>
      <c r="E5402" s="20"/>
      <c r="F5402" s="20"/>
      <c r="AC5402" s="20"/>
      <c r="AG5402" s="29"/>
    </row>
    <row r="5403" spans="2:33">
      <c r="B5403" s="29"/>
      <c r="D5403" s="29"/>
      <c r="E5403" s="20"/>
      <c r="F5403" s="20"/>
      <c r="AC5403" s="20"/>
      <c r="AG5403" s="29"/>
    </row>
    <row r="5404" spans="2:33">
      <c r="B5404" s="29"/>
      <c r="D5404" s="29"/>
      <c r="E5404" s="20"/>
      <c r="F5404" s="20"/>
      <c r="AC5404" s="20"/>
      <c r="AG5404" s="29"/>
    </row>
    <row r="5405" spans="2:33">
      <c r="B5405" s="29"/>
      <c r="D5405" s="29"/>
      <c r="E5405" s="20"/>
      <c r="F5405" s="20"/>
      <c r="AC5405" s="20"/>
      <c r="AG5405" s="29"/>
    </row>
    <row r="5406" spans="2:33">
      <c r="B5406" s="29"/>
      <c r="D5406" s="29"/>
      <c r="E5406" s="20"/>
      <c r="F5406" s="20"/>
      <c r="AC5406" s="20"/>
      <c r="AG5406" s="29"/>
    </row>
    <row r="5407" spans="2:33">
      <c r="B5407" s="29"/>
      <c r="D5407" s="29"/>
      <c r="E5407" s="20"/>
      <c r="F5407" s="20"/>
      <c r="AC5407" s="20"/>
      <c r="AG5407" s="29"/>
    </row>
    <row r="5408" spans="2:33">
      <c r="B5408" s="29"/>
      <c r="D5408" s="29"/>
      <c r="E5408" s="20"/>
      <c r="F5408" s="20"/>
      <c r="AC5408" s="20"/>
      <c r="AG5408" s="29"/>
    </row>
    <row r="5409" spans="2:33">
      <c r="B5409" s="29"/>
      <c r="D5409" s="29"/>
      <c r="E5409" s="20"/>
      <c r="F5409" s="20"/>
      <c r="AC5409" s="20"/>
      <c r="AG5409" s="29"/>
    </row>
    <row r="5410" spans="2:33">
      <c r="B5410" s="29"/>
      <c r="D5410" s="29"/>
      <c r="E5410" s="20"/>
      <c r="F5410" s="20"/>
      <c r="AC5410" s="20"/>
      <c r="AG5410" s="29"/>
    </row>
    <row r="5411" spans="2:33">
      <c r="B5411" s="29"/>
      <c r="D5411" s="29"/>
      <c r="E5411" s="20"/>
      <c r="F5411" s="20"/>
      <c r="AC5411" s="20"/>
      <c r="AG5411" s="29"/>
    </row>
    <row r="5412" spans="2:33">
      <c r="B5412" s="29"/>
      <c r="D5412" s="29"/>
      <c r="E5412" s="20"/>
      <c r="F5412" s="20"/>
      <c r="AC5412" s="20"/>
      <c r="AG5412" s="29"/>
    </row>
    <row r="5413" spans="2:33">
      <c r="B5413" s="29"/>
      <c r="D5413" s="29"/>
      <c r="E5413" s="20"/>
      <c r="F5413" s="20"/>
      <c r="AC5413" s="20"/>
      <c r="AG5413" s="29"/>
    </row>
    <row r="5414" spans="2:33">
      <c r="B5414" s="29"/>
      <c r="D5414" s="29"/>
      <c r="E5414" s="20"/>
      <c r="F5414" s="20"/>
      <c r="AC5414" s="20"/>
      <c r="AG5414" s="29"/>
    </row>
    <row r="5415" spans="2:33">
      <c r="B5415" s="29"/>
      <c r="D5415" s="29"/>
      <c r="E5415" s="20"/>
      <c r="F5415" s="20"/>
      <c r="AC5415" s="20"/>
      <c r="AG5415" s="29"/>
    </row>
    <row r="5416" spans="2:33">
      <c r="B5416" s="29"/>
      <c r="D5416" s="29"/>
      <c r="E5416" s="20"/>
      <c r="F5416" s="20"/>
      <c r="AC5416" s="20"/>
      <c r="AG5416" s="29"/>
    </row>
    <row r="5417" spans="2:33">
      <c r="B5417" s="29"/>
      <c r="D5417" s="29"/>
      <c r="E5417" s="20"/>
      <c r="F5417" s="20"/>
      <c r="AC5417" s="20"/>
      <c r="AG5417" s="29"/>
    </row>
    <row r="5418" spans="2:33">
      <c r="B5418" s="29"/>
      <c r="D5418" s="29"/>
      <c r="E5418" s="20"/>
      <c r="F5418" s="20"/>
      <c r="AC5418" s="20"/>
      <c r="AG5418" s="29"/>
    </row>
    <row r="5419" spans="2:33">
      <c r="B5419" s="29"/>
      <c r="D5419" s="29"/>
      <c r="E5419" s="20"/>
      <c r="F5419" s="20"/>
      <c r="AC5419" s="20"/>
      <c r="AG5419" s="29"/>
    </row>
    <row r="5420" spans="2:33">
      <c r="B5420" s="29"/>
      <c r="D5420" s="29"/>
      <c r="E5420" s="20"/>
      <c r="F5420" s="20"/>
      <c r="AC5420" s="20"/>
      <c r="AG5420" s="29"/>
    </row>
    <row r="5421" spans="2:33">
      <c r="B5421" s="29"/>
      <c r="D5421" s="29"/>
      <c r="E5421" s="20"/>
      <c r="F5421" s="20"/>
      <c r="AC5421" s="20"/>
      <c r="AG5421" s="29"/>
    </row>
    <row r="5422" spans="2:33">
      <c r="B5422" s="29"/>
      <c r="D5422" s="29"/>
      <c r="E5422" s="20"/>
      <c r="F5422" s="20"/>
      <c r="AC5422" s="20"/>
      <c r="AG5422" s="29"/>
    </row>
    <row r="5423" spans="2:33">
      <c r="B5423" s="29"/>
      <c r="D5423" s="29"/>
      <c r="E5423" s="20"/>
      <c r="F5423" s="20"/>
      <c r="AC5423" s="20"/>
      <c r="AG5423" s="29"/>
    </row>
    <row r="5424" spans="2:33">
      <c r="B5424" s="29"/>
      <c r="D5424" s="29"/>
      <c r="E5424" s="20"/>
      <c r="F5424" s="20"/>
      <c r="AC5424" s="20"/>
      <c r="AG5424" s="29"/>
    </row>
    <row r="5425" spans="2:33">
      <c r="B5425" s="29"/>
      <c r="D5425" s="29"/>
      <c r="E5425" s="20"/>
      <c r="F5425" s="20"/>
      <c r="AC5425" s="20"/>
      <c r="AG5425" s="29"/>
    </row>
    <row r="5426" spans="2:33">
      <c r="B5426" s="29"/>
      <c r="D5426" s="29"/>
      <c r="E5426" s="20"/>
      <c r="F5426" s="20"/>
      <c r="AC5426" s="20"/>
      <c r="AG5426" s="29"/>
    </row>
    <row r="5427" spans="2:33">
      <c r="B5427" s="29"/>
      <c r="D5427" s="29"/>
      <c r="E5427" s="20"/>
      <c r="F5427" s="20"/>
      <c r="AC5427" s="20"/>
      <c r="AG5427" s="29"/>
    </row>
    <row r="5428" spans="2:33">
      <c r="B5428" s="29"/>
      <c r="D5428" s="29"/>
      <c r="E5428" s="20"/>
      <c r="F5428" s="20"/>
      <c r="AC5428" s="20"/>
      <c r="AG5428" s="29"/>
    </row>
    <row r="5429" spans="2:33">
      <c r="B5429" s="29"/>
      <c r="D5429" s="29"/>
      <c r="E5429" s="20"/>
      <c r="F5429" s="20"/>
      <c r="AC5429" s="20"/>
      <c r="AG5429" s="29"/>
    </row>
    <row r="5430" spans="2:33">
      <c r="B5430" s="29"/>
      <c r="D5430" s="29"/>
      <c r="E5430" s="20"/>
      <c r="F5430" s="20"/>
      <c r="AC5430" s="20"/>
      <c r="AG5430" s="29"/>
    </row>
    <row r="5431" spans="2:33">
      <c r="B5431" s="29"/>
      <c r="D5431" s="29"/>
      <c r="E5431" s="20"/>
      <c r="F5431" s="20"/>
      <c r="AC5431" s="20"/>
      <c r="AG5431" s="29"/>
    </row>
    <row r="5432" spans="2:33">
      <c r="B5432" s="29"/>
      <c r="D5432" s="29"/>
      <c r="E5432" s="20"/>
      <c r="F5432" s="20"/>
      <c r="AC5432" s="20"/>
      <c r="AG5432" s="29"/>
    </row>
    <row r="5433" spans="2:33">
      <c r="B5433" s="29"/>
      <c r="D5433" s="29"/>
      <c r="E5433" s="20"/>
      <c r="F5433" s="20"/>
      <c r="AC5433" s="20"/>
      <c r="AG5433" s="29"/>
    </row>
    <row r="5434" spans="2:33">
      <c r="B5434" s="29"/>
      <c r="D5434" s="29"/>
      <c r="E5434" s="20"/>
      <c r="F5434" s="20"/>
      <c r="AC5434" s="20"/>
      <c r="AG5434" s="29"/>
    </row>
    <row r="5435" spans="2:33">
      <c r="B5435" s="29"/>
      <c r="D5435" s="29"/>
      <c r="E5435" s="20"/>
      <c r="F5435" s="20"/>
      <c r="AC5435" s="20"/>
      <c r="AG5435" s="29"/>
    </row>
    <row r="5436" spans="2:33">
      <c r="B5436" s="29"/>
      <c r="D5436" s="29"/>
      <c r="E5436" s="20"/>
      <c r="F5436" s="20"/>
      <c r="AC5436" s="20"/>
      <c r="AG5436" s="29"/>
    </row>
    <row r="5437" spans="2:33">
      <c r="B5437" s="29"/>
      <c r="D5437" s="29"/>
      <c r="E5437" s="20"/>
      <c r="F5437" s="20"/>
      <c r="AC5437" s="20"/>
      <c r="AG5437" s="29"/>
    </row>
    <row r="5438" spans="2:33">
      <c r="B5438" s="29"/>
      <c r="D5438" s="29"/>
      <c r="E5438" s="20"/>
      <c r="F5438" s="20"/>
      <c r="AC5438" s="20"/>
      <c r="AG5438" s="29"/>
    </row>
    <row r="5439" spans="2:33">
      <c r="B5439" s="29"/>
      <c r="D5439" s="29"/>
      <c r="E5439" s="20"/>
      <c r="F5439" s="20"/>
      <c r="AC5439" s="20"/>
      <c r="AG5439" s="29"/>
    </row>
    <row r="5440" spans="2:33">
      <c r="B5440" s="29"/>
      <c r="D5440" s="29"/>
      <c r="E5440" s="20"/>
      <c r="F5440" s="20"/>
      <c r="AC5440" s="20"/>
      <c r="AG5440" s="29"/>
    </row>
    <row r="5441" spans="2:33">
      <c r="B5441" s="29"/>
      <c r="D5441" s="29"/>
      <c r="E5441" s="20"/>
      <c r="F5441" s="20"/>
      <c r="AC5441" s="20"/>
      <c r="AG5441" s="29"/>
    </row>
    <row r="5442" spans="2:33">
      <c r="B5442" s="29"/>
      <c r="D5442" s="29"/>
      <c r="E5442" s="20"/>
      <c r="F5442" s="20"/>
      <c r="AC5442" s="20"/>
      <c r="AG5442" s="29"/>
    </row>
    <row r="5443" spans="2:33">
      <c r="B5443" s="29"/>
      <c r="D5443" s="29"/>
      <c r="E5443" s="20"/>
      <c r="F5443" s="20"/>
      <c r="AC5443" s="20"/>
      <c r="AG5443" s="29"/>
    </row>
    <row r="5444" spans="2:33">
      <c r="B5444" s="29"/>
      <c r="D5444" s="29"/>
      <c r="E5444" s="20"/>
      <c r="F5444" s="20"/>
      <c r="AC5444" s="20"/>
      <c r="AG5444" s="29"/>
    </row>
    <row r="5445" spans="2:33">
      <c r="B5445" s="29"/>
      <c r="D5445" s="29"/>
      <c r="E5445" s="20"/>
      <c r="F5445" s="20"/>
      <c r="AC5445" s="20"/>
      <c r="AG5445" s="29"/>
    </row>
    <row r="5446" spans="2:33">
      <c r="B5446" s="29"/>
      <c r="D5446" s="29"/>
      <c r="E5446" s="20"/>
      <c r="F5446" s="20"/>
      <c r="AC5446" s="20"/>
      <c r="AG5446" s="29"/>
    </row>
    <row r="5447" spans="2:33">
      <c r="B5447" s="29"/>
      <c r="D5447" s="29"/>
      <c r="E5447" s="20"/>
      <c r="F5447" s="20"/>
      <c r="AC5447" s="20"/>
      <c r="AG5447" s="29"/>
    </row>
    <row r="5448" spans="2:33">
      <c r="B5448" s="29"/>
      <c r="D5448" s="29"/>
      <c r="E5448" s="20"/>
      <c r="F5448" s="20"/>
      <c r="AC5448" s="20"/>
      <c r="AG5448" s="29"/>
    </row>
    <row r="5449" spans="2:33">
      <c r="B5449" s="29"/>
      <c r="D5449" s="29"/>
      <c r="E5449" s="20"/>
      <c r="F5449" s="20"/>
      <c r="AC5449" s="20"/>
      <c r="AG5449" s="29"/>
    </row>
    <row r="5450" spans="2:33">
      <c r="B5450" s="29"/>
      <c r="D5450" s="29"/>
      <c r="E5450" s="20"/>
      <c r="F5450" s="20"/>
      <c r="AC5450" s="20"/>
      <c r="AG5450" s="29"/>
    </row>
    <row r="5451" spans="2:33">
      <c r="B5451" s="29"/>
      <c r="D5451" s="29"/>
      <c r="E5451" s="20"/>
      <c r="F5451" s="20"/>
      <c r="AC5451" s="20"/>
      <c r="AG5451" s="29"/>
    </row>
    <row r="5452" spans="2:33">
      <c r="B5452" s="29"/>
      <c r="D5452" s="29"/>
      <c r="E5452" s="20"/>
      <c r="F5452" s="20"/>
      <c r="AC5452" s="20"/>
      <c r="AG5452" s="29"/>
    </row>
    <row r="5453" spans="2:33">
      <c r="B5453" s="29"/>
      <c r="D5453" s="29"/>
      <c r="E5453" s="20"/>
      <c r="F5453" s="20"/>
      <c r="AC5453" s="20"/>
      <c r="AG5453" s="29"/>
    </row>
    <row r="5454" spans="2:33">
      <c r="B5454" s="29"/>
      <c r="D5454" s="29"/>
      <c r="E5454" s="20"/>
      <c r="F5454" s="20"/>
      <c r="AC5454" s="20"/>
      <c r="AG5454" s="29"/>
    </row>
    <row r="5455" spans="2:33">
      <c r="B5455" s="29"/>
      <c r="D5455" s="29"/>
      <c r="E5455" s="20"/>
      <c r="F5455" s="20"/>
      <c r="AC5455" s="20"/>
      <c r="AG5455" s="29"/>
    </row>
    <row r="5456" spans="2:33">
      <c r="B5456" s="29"/>
      <c r="D5456" s="29"/>
      <c r="E5456" s="20"/>
      <c r="F5456" s="20"/>
      <c r="AC5456" s="20"/>
      <c r="AG5456" s="29"/>
    </row>
    <row r="5457" spans="2:33">
      <c r="B5457" s="29"/>
      <c r="D5457" s="29"/>
      <c r="E5457" s="20"/>
      <c r="F5457" s="20"/>
      <c r="AC5457" s="20"/>
      <c r="AG5457" s="29"/>
    </row>
    <row r="5458" spans="2:33">
      <c r="B5458" s="29"/>
      <c r="D5458" s="29"/>
      <c r="E5458" s="20"/>
      <c r="F5458" s="20"/>
      <c r="AC5458" s="20"/>
      <c r="AG5458" s="29"/>
    </row>
    <row r="5459" spans="2:33">
      <c r="B5459" s="29"/>
      <c r="D5459" s="29"/>
      <c r="E5459" s="20"/>
      <c r="F5459" s="20"/>
      <c r="AC5459" s="20"/>
      <c r="AG5459" s="29"/>
    </row>
    <row r="5460" spans="2:33">
      <c r="B5460" s="29"/>
      <c r="D5460" s="29"/>
      <c r="E5460" s="20"/>
      <c r="F5460" s="20"/>
      <c r="AC5460" s="20"/>
      <c r="AG5460" s="29"/>
    </row>
    <row r="5461" spans="2:33">
      <c r="B5461" s="29"/>
      <c r="D5461" s="29"/>
      <c r="E5461" s="20"/>
      <c r="F5461" s="20"/>
      <c r="AC5461" s="20"/>
      <c r="AG5461" s="29"/>
    </row>
    <row r="5462" spans="2:33">
      <c r="B5462" s="29"/>
      <c r="D5462" s="29"/>
      <c r="E5462" s="20"/>
      <c r="F5462" s="20"/>
      <c r="AC5462" s="20"/>
      <c r="AG5462" s="29"/>
    </row>
    <row r="5463" spans="2:33">
      <c r="B5463" s="29"/>
      <c r="D5463" s="29"/>
      <c r="E5463" s="20"/>
      <c r="F5463" s="20"/>
      <c r="AC5463" s="20"/>
      <c r="AG5463" s="29"/>
    </row>
    <row r="5464" spans="2:33">
      <c r="B5464" s="29"/>
      <c r="D5464" s="29"/>
      <c r="E5464" s="20"/>
      <c r="F5464" s="20"/>
      <c r="AC5464" s="20"/>
      <c r="AG5464" s="29"/>
    </row>
    <row r="5465" spans="2:33">
      <c r="B5465" s="29"/>
      <c r="D5465" s="29"/>
      <c r="E5465" s="20"/>
      <c r="F5465" s="20"/>
      <c r="AC5465" s="20"/>
      <c r="AG5465" s="29"/>
    </row>
    <row r="5466" spans="2:33">
      <c r="B5466" s="29"/>
      <c r="D5466" s="29"/>
      <c r="E5466" s="20"/>
      <c r="F5466" s="20"/>
      <c r="AC5466" s="20"/>
      <c r="AG5466" s="29"/>
    </row>
    <row r="5467" spans="2:33">
      <c r="B5467" s="29"/>
      <c r="D5467" s="29"/>
      <c r="E5467" s="20"/>
      <c r="F5467" s="20"/>
      <c r="AC5467" s="20"/>
      <c r="AG5467" s="29"/>
    </row>
    <row r="5468" spans="2:33">
      <c r="B5468" s="29"/>
      <c r="D5468" s="29"/>
      <c r="E5468" s="20"/>
      <c r="F5468" s="20"/>
      <c r="AC5468" s="20"/>
      <c r="AG5468" s="29"/>
    </row>
    <row r="5469" spans="2:33">
      <c r="B5469" s="29"/>
      <c r="D5469" s="29"/>
      <c r="E5469" s="20"/>
      <c r="F5469" s="20"/>
      <c r="AC5469" s="20"/>
      <c r="AG5469" s="29"/>
    </row>
    <row r="5470" spans="2:33">
      <c r="B5470" s="29"/>
      <c r="D5470" s="29"/>
      <c r="E5470" s="20"/>
      <c r="F5470" s="20"/>
      <c r="AC5470" s="20"/>
      <c r="AG5470" s="29"/>
    </row>
    <row r="5471" spans="2:33">
      <c r="B5471" s="29"/>
      <c r="D5471" s="29"/>
      <c r="E5471" s="20"/>
      <c r="F5471" s="20"/>
      <c r="AC5471" s="20"/>
      <c r="AG5471" s="29"/>
    </row>
    <row r="5472" spans="2:33">
      <c r="B5472" s="29"/>
      <c r="D5472" s="29"/>
      <c r="E5472" s="20"/>
      <c r="F5472" s="20"/>
      <c r="AC5472" s="20"/>
      <c r="AG5472" s="29"/>
    </row>
    <row r="5473" spans="2:33">
      <c r="B5473" s="29"/>
      <c r="D5473" s="29"/>
      <c r="E5473" s="20"/>
      <c r="F5473" s="20"/>
      <c r="AC5473" s="20"/>
      <c r="AG5473" s="29"/>
    </row>
    <row r="5474" spans="2:33">
      <c r="B5474" s="29"/>
      <c r="D5474" s="29"/>
      <c r="E5474" s="20"/>
      <c r="F5474" s="20"/>
      <c r="AC5474" s="20"/>
      <c r="AG5474" s="29"/>
    </row>
    <row r="5475" spans="2:33">
      <c r="B5475" s="29"/>
      <c r="D5475" s="29"/>
      <c r="E5475" s="20"/>
      <c r="F5475" s="20"/>
      <c r="AC5475" s="20"/>
      <c r="AG5475" s="29"/>
    </row>
    <row r="5476" spans="2:33">
      <c r="B5476" s="29"/>
      <c r="D5476" s="29"/>
      <c r="E5476" s="20"/>
      <c r="F5476" s="20"/>
      <c r="AC5476" s="20"/>
      <c r="AG5476" s="29"/>
    </row>
    <row r="5477" spans="2:33">
      <c r="B5477" s="29"/>
      <c r="D5477" s="29"/>
      <c r="E5477" s="20"/>
      <c r="F5477" s="20"/>
      <c r="AC5477" s="20"/>
      <c r="AG5477" s="29"/>
    </row>
    <row r="5478" spans="2:33">
      <c r="B5478" s="29"/>
      <c r="D5478" s="29"/>
      <c r="E5478" s="20"/>
      <c r="F5478" s="20"/>
      <c r="AC5478" s="20"/>
      <c r="AG5478" s="29"/>
    </row>
    <row r="5479" spans="2:33">
      <c r="B5479" s="29"/>
      <c r="D5479" s="29"/>
      <c r="E5479" s="20"/>
      <c r="F5479" s="20"/>
      <c r="AC5479" s="20"/>
      <c r="AG5479" s="29"/>
    </row>
    <row r="5480" spans="2:33">
      <c r="B5480" s="29"/>
      <c r="D5480" s="29"/>
      <c r="E5480" s="20"/>
      <c r="F5480" s="20"/>
      <c r="AC5480" s="20"/>
      <c r="AG5480" s="29"/>
    </row>
    <row r="5481" spans="2:33">
      <c r="B5481" s="29"/>
      <c r="D5481" s="29"/>
      <c r="E5481" s="20"/>
      <c r="F5481" s="20"/>
      <c r="AC5481" s="20"/>
      <c r="AG5481" s="29"/>
    </row>
    <row r="5482" spans="2:33">
      <c r="B5482" s="29"/>
      <c r="D5482" s="29"/>
      <c r="E5482" s="20"/>
      <c r="F5482" s="20"/>
      <c r="AC5482" s="20"/>
      <c r="AG5482" s="29"/>
    </row>
    <row r="5483" spans="2:33">
      <c r="B5483" s="29"/>
      <c r="D5483" s="29"/>
      <c r="E5483" s="20"/>
      <c r="F5483" s="20"/>
      <c r="AC5483" s="20"/>
      <c r="AG5483" s="29"/>
    </row>
    <row r="5484" spans="2:33">
      <c r="B5484" s="29"/>
      <c r="D5484" s="29"/>
      <c r="E5484" s="20"/>
      <c r="F5484" s="20"/>
      <c r="AC5484" s="20"/>
      <c r="AG5484" s="29"/>
    </row>
    <row r="5485" spans="2:33">
      <c r="B5485" s="29"/>
      <c r="D5485" s="29"/>
      <c r="E5485" s="20"/>
      <c r="F5485" s="20"/>
      <c r="AC5485" s="20"/>
      <c r="AG5485" s="29"/>
    </row>
    <row r="5486" spans="2:33">
      <c r="B5486" s="29"/>
      <c r="D5486" s="29"/>
      <c r="E5486" s="20"/>
      <c r="F5486" s="20"/>
      <c r="AC5486" s="20"/>
      <c r="AG5486" s="29"/>
    </row>
    <row r="5487" spans="2:33">
      <c r="B5487" s="29"/>
      <c r="D5487" s="29"/>
      <c r="E5487" s="20"/>
      <c r="F5487" s="20"/>
      <c r="AC5487" s="20"/>
      <c r="AG5487" s="29"/>
    </row>
    <row r="5488" spans="2:33">
      <c r="B5488" s="29"/>
      <c r="D5488" s="29"/>
      <c r="E5488" s="20"/>
      <c r="F5488" s="20"/>
      <c r="AC5488" s="20"/>
      <c r="AG5488" s="29"/>
    </row>
    <row r="5489" spans="2:33">
      <c r="B5489" s="29"/>
      <c r="D5489" s="29"/>
      <c r="E5489" s="20"/>
      <c r="F5489" s="20"/>
      <c r="AC5489" s="20"/>
      <c r="AG5489" s="29"/>
    </row>
    <row r="5490" spans="2:33">
      <c r="B5490" s="29"/>
      <c r="D5490" s="29"/>
      <c r="E5490" s="20"/>
      <c r="F5490" s="20"/>
      <c r="AC5490" s="20"/>
      <c r="AG5490" s="29"/>
    </row>
    <row r="5491" spans="2:33">
      <c r="B5491" s="29"/>
      <c r="D5491" s="29"/>
      <c r="E5491" s="20"/>
      <c r="F5491" s="20"/>
      <c r="AC5491" s="20"/>
      <c r="AG5491" s="29"/>
    </row>
    <row r="5492" spans="2:33">
      <c r="B5492" s="29"/>
      <c r="D5492" s="29"/>
      <c r="E5492" s="20"/>
      <c r="F5492" s="20"/>
      <c r="AC5492" s="20"/>
      <c r="AG5492" s="29"/>
    </row>
    <row r="5493" spans="2:33">
      <c r="B5493" s="29"/>
      <c r="D5493" s="29"/>
      <c r="E5493" s="20"/>
      <c r="F5493" s="20"/>
      <c r="AC5493" s="20"/>
      <c r="AG5493" s="29"/>
    </row>
    <row r="5494" spans="2:33">
      <c r="B5494" s="29"/>
      <c r="D5494" s="29"/>
      <c r="E5494" s="20"/>
      <c r="F5494" s="20"/>
      <c r="AC5494" s="20"/>
      <c r="AG5494" s="29"/>
    </row>
    <row r="5495" spans="2:33">
      <c r="B5495" s="29"/>
      <c r="D5495" s="29"/>
      <c r="E5495" s="20"/>
      <c r="F5495" s="20"/>
      <c r="AC5495" s="20"/>
      <c r="AG5495" s="29"/>
    </row>
    <row r="5496" spans="2:33">
      <c r="B5496" s="29"/>
      <c r="D5496" s="29"/>
      <c r="E5496" s="20"/>
      <c r="F5496" s="20"/>
      <c r="AC5496" s="20"/>
      <c r="AG5496" s="29"/>
    </row>
    <row r="5497" spans="2:33">
      <c r="B5497" s="29"/>
      <c r="D5497" s="29"/>
      <c r="E5497" s="20"/>
      <c r="F5497" s="20"/>
      <c r="AC5497" s="20"/>
      <c r="AG5497" s="29"/>
    </row>
    <row r="5498" spans="2:33">
      <c r="B5498" s="29"/>
      <c r="D5498" s="29"/>
      <c r="E5498" s="20"/>
      <c r="F5498" s="20"/>
      <c r="AC5498" s="20"/>
      <c r="AG5498" s="29"/>
    </row>
    <row r="5499" spans="2:33">
      <c r="B5499" s="29"/>
      <c r="D5499" s="29"/>
      <c r="E5499" s="20"/>
      <c r="F5499" s="20"/>
      <c r="AC5499" s="20"/>
      <c r="AG5499" s="29"/>
    </row>
    <row r="5500" spans="2:33">
      <c r="B5500" s="29"/>
      <c r="D5500" s="29"/>
      <c r="E5500" s="20"/>
      <c r="F5500" s="20"/>
      <c r="AC5500" s="20"/>
      <c r="AG5500" s="29"/>
    </row>
    <row r="5501" spans="2:33">
      <c r="B5501" s="29"/>
      <c r="D5501" s="29"/>
      <c r="E5501" s="20"/>
      <c r="F5501" s="20"/>
      <c r="AC5501" s="20"/>
      <c r="AG5501" s="29"/>
    </row>
    <row r="5502" spans="2:33">
      <c r="B5502" s="29"/>
      <c r="D5502" s="29"/>
      <c r="E5502" s="20"/>
      <c r="F5502" s="20"/>
      <c r="AC5502" s="20"/>
      <c r="AG5502" s="29"/>
    </row>
    <row r="5503" spans="2:33">
      <c r="B5503" s="29"/>
      <c r="D5503" s="29"/>
      <c r="E5503" s="20"/>
      <c r="F5503" s="20"/>
      <c r="AC5503" s="20"/>
      <c r="AG5503" s="29"/>
    </row>
    <row r="5504" spans="2:33">
      <c r="B5504" s="29"/>
      <c r="D5504" s="29"/>
      <c r="E5504" s="20"/>
      <c r="F5504" s="20"/>
      <c r="AC5504" s="20"/>
      <c r="AG5504" s="29"/>
    </row>
    <row r="5505" spans="2:33">
      <c r="B5505" s="29"/>
      <c r="D5505" s="29"/>
      <c r="E5505" s="20"/>
      <c r="F5505" s="20"/>
      <c r="AC5505" s="20"/>
      <c r="AG5505" s="29"/>
    </row>
    <row r="5506" spans="2:33">
      <c r="B5506" s="29"/>
      <c r="D5506" s="29"/>
      <c r="E5506" s="20"/>
      <c r="F5506" s="20"/>
      <c r="AC5506" s="20"/>
      <c r="AG5506" s="29"/>
    </row>
    <row r="5507" spans="2:33">
      <c r="B5507" s="29"/>
      <c r="D5507" s="29"/>
      <c r="E5507" s="20"/>
      <c r="F5507" s="20"/>
      <c r="AC5507" s="20"/>
      <c r="AG5507" s="29"/>
    </row>
    <row r="5508" spans="2:33">
      <c r="B5508" s="29"/>
      <c r="D5508" s="29"/>
      <c r="E5508" s="20"/>
      <c r="F5508" s="20"/>
      <c r="AC5508" s="20"/>
      <c r="AG5508" s="29"/>
    </row>
    <row r="5509" spans="2:33">
      <c r="B5509" s="29"/>
      <c r="D5509" s="29"/>
      <c r="E5509" s="20"/>
      <c r="F5509" s="20"/>
      <c r="AC5509" s="20"/>
      <c r="AG5509" s="29"/>
    </row>
    <row r="5510" spans="2:33">
      <c r="B5510" s="29"/>
      <c r="D5510" s="29"/>
      <c r="E5510" s="20"/>
      <c r="F5510" s="20"/>
      <c r="AC5510" s="20"/>
      <c r="AG5510" s="29"/>
    </row>
    <row r="5511" spans="2:33">
      <c r="B5511" s="29"/>
      <c r="D5511" s="29"/>
      <c r="E5511" s="20"/>
      <c r="F5511" s="20"/>
      <c r="AC5511" s="20"/>
      <c r="AG5511" s="29"/>
    </row>
    <row r="5512" spans="2:33">
      <c r="B5512" s="29"/>
      <c r="D5512" s="29"/>
      <c r="E5512" s="20"/>
      <c r="F5512" s="20"/>
      <c r="AC5512" s="20"/>
      <c r="AG5512" s="29"/>
    </row>
    <row r="5513" spans="2:33">
      <c r="B5513" s="29"/>
      <c r="D5513" s="29"/>
      <c r="E5513" s="20"/>
      <c r="F5513" s="20"/>
      <c r="AC5513" s="20"/>
      <c r="AG5513" s="29"/>
    </row>
    <row r="5514" spans="2:33">
      <c r="B5514" s="29"/>
      <c r="D5514" s="29"/>
      <c r="E5514" s="20"/>
      <c r="F5514" s="20"/>
      <c r="AC5514" s="20"/>
      <c r="AG5514" s="29"/>
    </row>
    <row r="5515" spans="2:33">
      <c r="B5515" s="29"/>
      <c r="D5515" s="29"/>
      <c r="E5515" s="20"/>
      <c r="F5515" s="20"/>
      <c r="AC5515" s="20"/>
      <c r="AG5515" s="29"/>
    </row>
    <row r="5516" spans="2:33">
      <c r="B5516" s="29"/>
      <c r="D5516" s="29"/>
      <c r="E5516" s="20"/>
      <c r="F5516" s="20"/>
      <c r="AC5516" s="20"/>
      <c r="AG5516" s="29"/>
    </row>
    <row r="5517" spans="2:33">
      <c r="B5517" s="29"/>
      <c r="D5517" s="29"/>
      <c r="E5517" s="20"/>
      <c r="F5517" s="20"/>
      <c r="AC5517" s="20"/>
      <c r="AG5517" s="29"/>
    </row>
    <row r="5518" spans="2:33">
      <c r="B5518" s="29"/>
      <c r="D5518" s="29"/>
      <c r="E5518" s="20"/>
      <c r="F5518" s="20"/>
      <c r="AC5518" s="20"/>
      <c r="AG5518" s="29"/>
    </row>
    <row r="5519" spans="2:33">
      <c r="B5519" s="29"/>
      <c r="D5519" s="29"/>
      <c r="E5519" s="20"/>
      <c r="F5519" s="20"/>
      <c r="AC5519" s="20"/>
      <c r="AG5519" s="29"/>
    </row>
    <row r="5520" spans="2:33">
      <c r="B5520" s="29"/>
      <c r="D5520" s="29"/>
      <c r="E5520" s="20"/>
      <c r="F5520" s="20"/>
      <c r="AC5520" s="20"/>
      <c r="AG5520" s="29"/>
    </row>
    <row r="5521" spans="2:33">
      <c r="B5521" s="29"/>
      <c r="D5521" s="29"/>
      <c r="E5521" s="20"/>
      <c r="F5521" s="20"/>
      <c r="AC5521" s="20"/>
      <c r="AG5521" s="29"/>
    </row>
    <row r="5522" spans="2:33">
      <c r="B5522" s="29"/>
      <c r="D5522" s="29"/>
      <c r="E5522" s="20"/>
      <c r="F5522" s="20"/>
      <c r="AC5522" s="20"/>
      <c r="AG5522" s="29"/>
    </row>
    <row r="5523" spans="2:33">
      <c r="B5523" s="29"/>
      <c r="D5523" s="29"/>
      <c r="E5523" s="20"/>
      <c r="F5523" s="20"/>
      <c r="AC5523" s="20"/>
      <c r="AG5523" s="29"/>
    </row>
    <row r="5524" spans="2:33">
      <c r="B5524" s="29"/>
      <c r="D5524" s="29"/>
      <c r="E5524" s="20"/>
      <c r="F5524" s="20"/>
      <c r="AC5524" s="20"/>
      <c r="AG5524" s="29"/>
    </row>
    <row r="5525" spans="2:33">
      <c r="B5525" s="29"/>
      <c r="D5525" s="29"/>
      <c r="E5525" s="20"/>
      <c r="F5525" s="20"/>
      <c r="AC5525" s="20"/>
      <c r="AG5525" s="29"/>
    </row>
    <row r="5526" spans="2:33">
      <c r="B5526" s="29"/>
      <c r="D5526" s="29"/>
      <c r="E5526" s="20"/>
      <c r="F5526" s="20"/>
      <c r="AC5526" s="20"/>
      <c r="AG5526" s="29"/>
    </row>
    <row r="5527" spans="2:33">
      <c r="B5527" s="29"/>
      <c r="D5527" s="29"/>
      <c r="E5527" s="20"/>
      <c r="F5527" s="20"/>
      <c r="AC5527" s="20"/>
      <c r="AG5527" s="29"/>
    </row>
    <row r="5528" spans="2:33">
      <c r="B5528" s="29"/>
      <c r="D5528" s="29"/>
      <c r="E5528" s="20"/>
      <c r="F5528" s="20"/>
      <c r="AC5528" s="20"/>
      <c r="AG5528" s="29"/>
    </row>
    <row r="5529" spans="2:33">
      <c r="B5529" s="29"/>
      <c r="D5529" s="29"/>
      <c r="E5529" s="20"/>
      <c r="F5529" s="20"/>
      <c r="AC5529" s="20"/>
      <c r="AG5529" s="29"/>
    </row>
    <row r="5530" spans="2:33">
      <c r="B5530" s="29"/>
      <c r="D5530" s="29"/>
      <c r="E5530" s="20"/>
      <c r="F5530" s="20"/>
      <c r="AC5530" s="20"/>
      <c r="AG5530" s="29"/>
    </row>
    <row r="5531" spans="2:33">
      <c r="B5531" s="29"/>
      <c r="D5531" s="29"/>
      <c r="E5531" s="20"/>
      <c r="F5531" s="20"/>
      <c r="AC5531" s="20"/>
      <c r="AG5531" s="29"/>
    </row>
    <row r="5532" spans="2:33">
      <c r="B5532" s="29"/>
      <c r="D5532" s="29"/>
      <c r="E5532" s="20"/>
      <c r="F5532" s="20"/>
      <c r="AC5532" s="20"/>
      <c r="AG5532" s="29"/>
    </row>
    <row r="5533" spans="2:33">
      <c r="B5533" s="29"/>
      <c r="D5533" s="29"/>
      <c r="E5533" s="20"/>
      <c r="F5533" s="20"/>
      <c r="AC5533" s="20"/>
      <c r="AG5533" s="29"/>
    </row>
    <row r="5534" spans="2:33">
      <c r="B5534" s="29"/>
      <c r="D5534" s="29"/>
      <c r="E5534" s="20"/>
      <c r="F5534" s="20"/>
      <c r="AC5534" s="20"/>
      <c r="AG5534" s="29"/>
    </row>
    <row r="5535" spans="2:33">
      <c r="B5535" s="29"/>
      <c r="D5535" s="29"/>
      <c r="E5535" s="20"/>
      <c r="F5535" s="20"/>
      <c r="AC5535" s="20"/>
      <c r="AG5535" s="29"/>
    </row>
    <row r="5536" spans="2:33">
      <c r="B5536" s="29"/>
      <c r="D5536" s="29"/>
      <c r="E5536" s="20"/>
      <c r="F5536" s="20"/>
      <c r="AC5536" s="20"/>
      <c r="AG5536" s="29"/>
    </row>
    <row r="5537" spans="2:33">
      <c r="B5537" s="29"/>
      <c r="D5537" s="29"/>
      <c r="E5537" s="20"/>
      <c r="F5537" s="20"/>
      <c r="AC5537" s="20"/>
      <c r="AG5537" s="29"/>
    </row>
    <row r="5538" spans="2:33">
      <c r="B5538" s="29"/>
      <c r="D5538" s="29"/>
      <c r="E5538" s="20"/>
      <c r="F5538" s="20"/>
      <c r="AC5538" s="20"/>
      <c r="AG5538" s="29"/>
    </row>
    <row r="5539" spans="2:33">
      <c r="B5539" s="29"/>
      <c r="D5539" s="29"/>
      <c r="E5539" s="20"/>
      <c r="F5539" s="20"/>
      <c r="AC5539" s="20"/>
      <c r="AG5539" s="29"/>
    </row>
    <row r="5540" spans="2:33">
      <c r="B5540" s="29"/>
      <c r="D5540" s="29"/>
      <c r="E5540" s="20"/>
      <c r="F5540" s="20"/>
      <c r="AC5540" s="20"/>
      <c r="AG5540" s="29"/>
    </row>
    <row r="5541" spans="2:33">
      <c r="B5541" s="29"/>
      <c r="D5541" s="29"/>
      <c r="E5541" s="20"/>
      <c r="F5541" s="20"/>
      <c r="AC5541" s="20"/>
      <c r="AG5541" s="29"/>
    </row>
    <row r="5542" spans="2:33">
      <c r="B5542" s="29"/>
      <c r="D5542" s="29"/>
      <c r="E5542" s="20"/>
      <c r="F5542" s="20"/>
      <c r="AC5542" s="20"/>
      <c r="AG5542" s="29"/>
    </row>
    <row r="5543" spans="2:33">
      <c r="B5543" s="29"/>
      <c r="D5543" s="29"/>
      <c r="E5543" s="20"/>
      <c r="F5543" s="20"/>
      <c r="AC5543" s="20"/>
      <c r="AG5543" s="29"/>
    </row>
    <row r="5544" spans="2:33">
      <c r="B5544" s="29"/>
      <c r="D5544" s="29"/>
      <c r="E5544" s="20"/>
      <c r="F5544" s="20"/>
      <c r="AC5544" s="20"/>
      <c r="AG5544" s="29"/>
    </row>
    <row r="5545" spans="2:33">
      <c r="B5545" s="29"/>
      <c r="D5545" s="29"/>
      <c r="E5545" s="20"/>
      <c r="F5545" s="20"/>
      <c r="AC5545" s="20"/>
      <c r="AG5545" s="29"/>
    </row>
    <row r="5546" spans="2:33">
      <c r="B5546" s="29"/>
      <c r="D5546" s="29"/>
      <c r="E5546" s="20"/>
      <c r="F5546" s="20"/>
      <c r="AC5546" s="20"/>
      <c r="AG5546" s="29"/>
    </row>
    <row r="5547" spans="2:33">
      <c r="B5547" s="29"/>
      <c r="D5547" s="29"/>
      <c r="E5547" s="20"/>
      <c r="F5547" s="20"/>
      <c r="AC5547" s="20"/>
      <c r="AG5547" s="29"/>
    </row>
    <row r="5548" spans="2:33">
      <c r="B5548" s="29"/>
      <c r="D5548" s="29"/>
      <c r="E5548" s="20"/>
      <c r="F5548" s="20"/>
      <c r="AC5548" s="20"/>
      <c r="AG5548" s="29"/>
    </row>
    <row r="5549" spans="2:33">
      <c r="B5549" s="29"/>
      <c r="D5549" s="29"/>
      <c r="E5549" s="20"/>
      <c r="F5549" s="20"/>
      <c r="AC5549" s="20"/>
      <c r="AG5549" s="29"/>
    </row>
    <row r="5550" spans="2:33">
      <c r="B5550" s="29"/>
      <c r="D5550" s="29"/>
      <c r="E5550" s="20"/>
      <c r="F5550" s="20"/>
      <c r="AC5550" s="20"/>
      <c r="AG5550" s="29"/>
    </row>
    <row r="5551" spans="2:33">
      <c r="B5551" s="29"/>
      <c r="D5551" s="29"/>
      <c r="E5551" s="20"/>
      <c r="F5551" s="20"/>
      <c r="AC5551" s="20"/>
      <c r="AG5551" s="29"/>
    </row>
    <row r="5552" spans="2:33">
      <c r="B5552" s="29"/>
      <c r="D5552" s="29"/>
      <c r="E5552" s="20"/>
      <c r="F5552" s="20"/>
      <c r="AC5552" s="20"/>
      <c r="AG5552" s="29"/>
    </row>
    <row r="5553" spans="2:33">
      <c r="B5553" s="29"/>
      <c r="D5553" s="29"/>
      <c r="E5553" s="20"/>
      <c r="F5553" s="20"/>
      <c r="AC5553" s="20"/>
      <c r="AG5553" s="29"/>
    </row>
    <row r="5554" spans="2:33">
      <c r="B5554" s="29"/>
      <c r="D5554" s="29"/>
      <c r="E5554" s="20"/>
      <c r="F5554" s="20"/>
      <c r="AC5554" s="20"/>
      <c r="AG5554" s="29"/>
    </row>
    <row r="5555" spans="2:33">
      <c r="B5555" s="29"/>
      <c r="D5555" s="29"/>
      <c r="E5555" s="20"/>
      <c r="F5555" s="20"/>
      <c r="AC5555" s="20"/>
      <c r="AG5555" s="29"/>
    </row>
    <row r="5556" spans="2:33">
      <c r="B5556" s="29"/>
      <c r="D5556" s="29"/>
      <c r="E5556" s="20"/>
      <c r="F5556" s="20"/>
      <c r="AC5556" s="20"/>
      <c r="AG5556" s="29"/>
    </row>
    <row r="5557" spans="2:33">
      <c r="B5557" s="29"/>
      <c r="D5557" s="29"/>
      <c r="E5557" s="20"/>
      <c r="F5557" s="20"/>
      <c r="AC5557" s="20"/>
      <c r="AG5557" s="29"/>
    </row>
    <row r="5558" spans="2:33">
      <c r="B5558" s="29"/>
      <c r="D5558" s="29"/>
      <c r="E5558" s="20"/>
      <c r="F5558" s="20"/>
      <c r="AC5558" s="20"/>
      <c r="AG5558" s="29"/>
    </row>
    <row r="5559" spans="2:33">
      <c r="B5559" s="29"/>
      <c r="D5559" s="29"/>
      <c r="E5559" s="20"/>
      <c r="F5559" s="20"/>
      <c r="AC5559" s="20"/>
      <c r="AG5559" s="29"/>
    </row>
    <row r="5560" spans="2:33">
      <c r="B5560" s="29"/>
      <c r="D5560" s="29"/>
      <c r="E5560" s="20"/>
      <c r="F5560" s="20"/>
      <c r="AC5560" s="20"/>
      <c r="AG5560" s="29"/>
    </row>
    <row r="5561" spans="2:33">
      <c r="B5561" s="29"/>
      <c r="D5561" s="29"/>
      <c r="E5561" s="20"/>
      <c r="F5561" s="20"/>
      <c r="AC5561" s="20"/>
      <c r="AG5561" s="29"/>
    </row>
    <row r="5562" spans="2:33">
      <c r="B5562" s="29"/>
      <c r="D5562" s="29"/>
      <c r="E5562" s="20"/>
      <c r="F5562" s="20"/>
      <c r="AC5562" s="20"/>
      <c r="AG5562" s="29"/>
    </row>
    <row r="5563" spans="2:33">
      <c r="B5563" s="29"/>
      <c r="D5563" s="29"/>
      <c r="E5563" s="20"/>
      <c r="F5563" s="20"/>
      <c r="AC5563" s="20"/>
      <c r="AG5563" s="29"/>
    </row>
    <row r="5564" spans="2:33">
      <c r="B5564" s="29"/>
      <c r="D5564" s="29"/>
      <c r="E5564" s="20"/>
      <c r="F5564" s="20"/>
      <c r="AC5564" s="20"/>
      <c r="AG5564" s="29"/>
    </row>
    <row r="5565" spans="2:33">
      <c r="B5565" s="29"/>
      <c r="D5565" s="29"/>
      <c r="E5565" s="20"/>
      <c r="F5565" s="20"/>
      <c r="AC5565" s="20"/>
      <c r="AG5565" s="29"/>
    </row>
    <row r="5566" spans="2:33">
      <c r="B5566" s="29"/>
      <c r="D5566" s="29"/>
      <c r="E5566" s="20"/>
      <c r="F5566" s="20"/>
      <c r="AC5566" s="20"/>
      <c r="AG5566" s="29"/>
    </row>
    <row r="5567" spans="2:33">
      <c r="B5567" s="29"/>
      <c r="D5567" s="29"/>
      <c r="E5567" s="20"/>
      <c r="F5567" s="20"/>
      <c r="AC5567" s="20"/>
      <c r="AG5567" s="29"/>
    </row>
    <row r="5568" spans="2:33">
      <c r="B5568" s="29"/>
      <c r="D5568" s="29"/>
      <c r="E5568" s="20"/>
      <c r="F5568" s="20"/>
      <c r="AC5568" s="20"/>
      <c r="AG5568" s="29"/>
    </row>
    <row r="5569" spans="2:33">
      <c r="B5569" s="29"/>
      <c r="D5569" s="29"/>
      <c r="E5569" s="20"/>
      <c r="F5569" s="20"/>
      <c r="AC5569" s="20"/>
      <c r="AG5569" s="29"/>
    </row>
    <row r="5570" spans="2:33">
      <c r="B5570" s="29"/>
      <c r="D5570" s="29"/>
      <c r="E5570" s="20"/>
      <c r="F5570" s="20"/>
      <c r="AC5570" s="20"/>
      <c r="AG5570" s="29"/>
    </row>
    <row r="5571" spans="2:33">
      <c r="B5571" s="29"/>
      <c r="D5571" s="29"/>
      <c r="E5571" s="20"/>
      <c r="F5571" s="20"/>
      <c r="AC5571" s="20"/>
      <c r="AG5571" s="29"/>
    </row>
    <row r="5572" spans="2:33">
      <c r="B5572" s="29"/>
      <c r="D5572" s="29"/>
      <c r="E5572" s="20"/>
      <c r="F5572" s="20"/>
      <c r="AC5572" s="20"/>
      <c r="AG5572" s="29"/>
    </row>
    <row r="5573" spans="2:33">
      <c r="B5573" s="29"/>
      <c r="D5573" s="29"/>
      <c r="E5573" s="20"/>
      <c r="F5573" s="20"/>
      <c r="AC5573" s="20"/>
      <c r="AG5573" s="29"/>
    </row>
    <row r="5574" spans="2:33">
      <c r="B5574" s="29"/>
      <c r="D5574" s="29"/>
      <c r="E5574" s="20"/>
      <c r="F5574" s="20"/>
      <c r="AC5574" s="20"/>
      <c r="AG5574" s="29"/>
    </row>
    <row r="5575" spans="2:33">
      <c r="B5575" s="29"/>
      <c r="D5575" s="29"/>
      <c r="E5575" s="20"/>
      <c r="F5575" s="20"/>
      <c r="AC5575" s="20"/>
      <c r="AG5575" s="29"/>
    </row>
    <row r="5576" spans="2:33">
      <c r="B5576" s="29"/>
      <c r="D5576" s="29"/>
      <c r="E5576" s="20"/>
      <c r="F5576" s="20"/>
      <c r="AC5576" s="20"/>
      <c r="AG5576" s="29"/>
    </row>
    <row r="5577" spans="2:33">
      <c r="B5577" s="29"/>
      <c r="D5577" s="29"/>
      <c r="E5577" s="20"/>
      <c r="F5577" s="20"/>
      <c r="AC5577" s="20"/>
      <c r="AG5577" s="29"/>
    </row>
    <row r="5578" spans="2:33">
      <c r="B5578" s="29"/>
      <c r="D5578" s="29"/>
      <c r="E5578" s="20"/>
      <c r="F5578" s="20"/>
      <c r="AC5578" s="20"/>
      <c r="AG5578" s="29"/>
    </row>
    <row r="5579" spans="2:33">
      <c r="B5579" s="29"/>
      <c r="D5579" s="29"/>
      <c r="E5579" s="20"/>
      <c r="F5579" s="20"/>
      <c r="AC5579" s="20"/>
      <c r="AG5579" s="29"/>
    </row>
    <row r="5580" spans="2:33">
      <c r="B5580" s="29"/>
      <c r="D5580" s="29"/>
      <c r="E5580" s="20"/>
      <c r="F5580" s="20"/>
      <c r="AC5580" s="20"/>
      <c r="AG5580" s="29"/>
    </row>
    <row r="5581" spans="2:33">
      <c r="B5581" s="29"/>
      <c r="D5581" s="29"/>
      <c r="E5581" s="20"/>
      <c r="F5581" s="20"/>
      <c r="AC5581" s="20"/>
      <c r="AG5581" s="29"/>
    </row>
    <row r="5582" spans="2:33">
      <c r="B5582" s="29"/>
      <c r="D5582" s="29"/>
      <c r="E5582" s="20"/>
      <c r="F5582" s="20"/>
      <c r="AC5582" s="20"/>
      <c r="AG5582" s="29"/>
    </row>
    <row r="5583" spans="2:33">
      <c r="B5583" s="29"/>
      <c r="D5583" s="29"/>
      <c r="E5583" s="20"/>
      <c r="F5583" s="20"/>
      <c r="AC5583" s="20"/>
      <c r="AG5583" s="29"/>
    </row>
    <row r="5584" spans="2:33">
      <c r="B5584" s="29"/>
      <c r="D5584" s="29"/>
      <c r="E5584" s="20"/>
      <c r="F5584" s="20"/>
      <c r="AC5584" s="20"/>
      <c r="AG5584" s="29"/>
    </row>
    <row r="5585" spans="2:33">
      <c r="B5585" s="29"/>
      <c r="D5585" s="29"/>
      <c r="E5585" s="20"/>
      <c r="F5585" s="20"/>
      <c r="AC5585" s="20"/>
      <c r="AG5585" s="29"/>
    </row>
    <row r="5586" spans="2:33">
      <c r="B5586" s="29"/>
      <c r="D5586" s="29"/>
      <c r="E5586" s="20"/>
      <c r="F5586" s="20"/>
      <c r="AC5586" s="20"/>
      <c r="AG5586" s="29"/>
    </row>
    <row r="5587" spans="2:33">
      <c r="B5587" s="29"/>
      <c r="D5587" s="29"/>
      <c r="E5587" s="20"/>
      <c r="F5587" s="20"/>
      <c r="AC5587" s="20"/>
      <c r="AG5587" s="29"/>
    </row>
    <row r="5588" spans="2:33">
      <c r="B5588" s="29"/>
      <c r="D5588" s="29"/>
      <c r="E5588" s="20"/>
      <c r="F5588" s="20"/>
      <c r="AC5588" s="20"/>
      <c r="AG5588" s="29"/>
    </row>
    <row r="5589" spans="2:33">
      <c r="B5589" s="29"/>
      <c r="D5589" s="29"/>
      <c r="E5589" s="20"/>
      <c r="F5589" s="20"/>
      <c r="AC5589" s="20"/>
      <c r="AG5589" s="29"/>
    </row>
    <row r="5590" spans="2:33">
      <c r="B5590" s="29"/>
      <c r="D5590" s="29"/>
      <c r="E5590" s="20"/>
      <c r="F5590" s="20"/>
      <c r="AC5590" s="20"/>
      <c r="AG5590" s="29"/>
    </row>
    <row r="5591" spans="2:33">
      <c r="B5591" s="29"/>
      <c r="D5591" s="29"/>
      <c r="E5591" s="20"/>
      <c r="F5591" s="20"/>
      <c r="AC5591" s="20"/>
      <c r="AG5591" s="29"/>
    </row>
    <row r="5592" spans="2:33">
      <c r="B5592" s="29"/>
      <c r="D5592" s="29"/>
      <c r="E5592" s="20"/>
      <c r="F5592" s="20"/>
      <c r="AC5592" s="20"/>
      <c r="AG5592" s="29"/>
    </row>
    <row r="5593" spans="2:33">
      <c r="B5593" s="29"/>
      <c r="D5593" s="29"/>
      <c r="E5593" s="20"/>
      <c r="F5593" s="20"/>
      <c r="AC5593" s="20"/>
      <c r="AG5593" s="29"/>
    </row>
    <row r="5594" spans="2:33">
      <c r="B5594" s="29"/>
      <c r="D5594" s="29"/>
      <c r="E5594" s="20"/>
      <c r="F5594" s="20"/>
      <c r="AC5594" s="20"/>
      <c r="AG5594" s="29"/>
    </row>
    <row r="5595" spans="2:33">
      <c r="B5595" s="29"/>
      <c r="D5595" s="29"/>
      <c r="E5595" s="20"/>
      <c r="F5595" s="20"/>
      <c r="AC5595" s="20"/>
      <c r="AG5595" s="29"/>
    </row>
    <row r="5596" spans="2:33">
      <c r="B5596" s="29"/>
      <c r="D5596" s="29"/>
      <c r="E5596" s="20"/>
      <c r="F5596" s="20"/>
      <c r="AC5596" s="20"/>
      <c r="AG5596" s="29"/>
    </row>
    <row r="5597" spans="2:33">
      <c r="B5597" s="29"/>
      <c r="D5597" s="29"/>
      <c r="E5597" s="20"/>
      <c r="F5597" s="20"/>
      <c r="AC5597" s="20"/>
      <c r="AG5597" s="29"/>
    </row>
    <row r="5598" spans="2:33">
      <c r="B5598" s="29"/>
      <c r="D5598" s="29"/>
      <c r="E5598" s="20"/>
      <c r="F5598" s="20"/>
      <c r="AC5598" s="20"/>
      <c r="AG5598" s="29"/>
    </row>
    <row r="5599" spans="2:33">
      <c r="B5599" s="29"/>
      <c r="D5599" s="29"/>
      <c r="E5599" s="20"/>
      <c r="F5599" s="20"/>
      <c r="AC5599" s="20"/>
      <c r="AG5599" s="29"/>
    </row>
    <row r="5600" spans="2:33">
      <c r="B5600" s="29"/>
      <c r="D5600" s="29"/>
      <c r="E5600" s="20"/>
      <c r="F5600" s="20"/>
      <c r="AC5600" s="20"/>
      <c r="AG5600" s="29"/>
    </row>
    <row r="5601" spans="2:33">
      <c r="B5601" s="29"/>
      <c r="D5601" s="29"/>
      <c r="E5601" s="20"/>
      <c r="F5601" s="20"/>
      <c r="AC5601" s="20"/>
      <c r="AG5601" s="29"/>
    </row>
    <row r="5602" spans="2:33">
      <c r="B5602" s="29"/>
      <c r="D5602" s="29"/>
      <c r="E5602" s="20"/>
      <c r="F5602" s="20"/>
      <c r="AC5602" s="20"/>
      <c r="AG5602" s="29"/>
    </row>
    <row r="5603" spans="2:33">
      <c r="B5603" s="29"/>
      <c r="D5603" s="29"/>
      <c r="E5603" s="20"/>
      <c r="F5603" s="20"/>
      <c r="AC5603" s="20"/>
      <c r="AG5603" s="29"/>
    </row>
    <row r="5604" spans="2:33">
      <c r="B5604" s="29"/>
      <c r="D5604" s="29"/>
      <c r="E5604" s="20"/>
      <c r="F5604" s="20"/>
      <c r="AC5604" s="20"/>
      <c r="AG5604" s="29"/>
    </row>
    <row r="5605" spans="2:33">
      <c r="B5605" s="29"/>
      <c r="D5605" s="29"/>
      <c r="E5605" s="20"/>
      <c r="F5605" s="20"/>
      <c r="AC5605" s="20"/>
      <c r="AG5605" s="29"/>
    </row>
    <row r="5606" spans="2:33">
      <c r="B5606" s="29"/>
      <c r="D5606" s="29"/>
      <c r="E5606" s="20"/>
      <c r="F5606" s="20"/>
      <c r="AC5606" s="20"/>
      <c r="AG5606" s="29"/>
    </row>
    <row r="5607" spans="2:33">
      <c r="B5607" s="29"/>
      <c r="D5607" s="29"/>
      <c r="E5607" s="20"/>
      <c r="F5607" s="20"/>
      <c r="AC5607" s="20"/>
      <c r="AG5607" s="29"/>
    </row>
    <row r="5608" spans="2:33">
      <c r="B5608" s="29"/>
      <c r="D5608" s="29"/>
      <c r="E5608" s="20"/>
      <c r="F5608" s="20"/>
      <c r="AC5608" s="20"/>
      <c r="AG5608" s="29"/>
    </row>
    <row r="5609" spans="2:33">
      <c r="B5609" s="29"/>
      <c r="D5609" s="29"/>
      <c r="E5609" s="20"/>
      <c r="F5609" s="20"/>
      <c r="AC5609" s="20"/>
      <c r="AG5609" s="29"/>
    </row>
    <row r="5610" spans="2:33">
      <c r="B5610" s="29"/>
      <c r="D5610" s="29"/>
      <c r="E5610" s="20"/>
      <c r="F5610" s="20"/>
      <c r="AC5610" s="20"/>
      <c r="AG5610" s="29"/>
    </row>
    <row r="5611" spans="2:33">
      <c r="B5611" s="29"/>
      <c r="D5611" s="29"/>
      <c r="E5611" s="20"/>
      <c r="F5611" s="20"/>
      <c r="AC5611" s="20"/>
      <c r="AG5611" s="29"/>
    </row>
    <row r="5612" spans="2:33">
      <c r="B5612" s="29"/>
      <c r="D5612" s="29"/>
      <c r="E5612" s="20"/>
      <c r="F5612" s="20"/>
      <c r="AC5612" s="20"/>
      <c r="AG5612" s="29"/>
    </row>
    <row r="5613" spans="2:33">
      <c r="B5613" s="29"/>
      <c r="D5613" s="29"/>
      <c r="E5613" s="20"/>
      <c r="F5613" s="20"/>
      <c r="AC5613" s="20"/>
      <c r="AG5613" s="29"/>
    </row>
    <row r="5614" spans="2:33">
      <c r="B5614" s="29"/>
      <c r="D5614" s="29"/>
      <c r="E5614" s="20"/>
      <c r="F5614" s="20"/>
      <c r="AC5614" s="20"/>
      <c r="AG5614" s="29"/>
    </row>
    <row r="5615" spans="2:33">
      <c r="B5615" s="29"/>
      <c r="D5615" s="29"/>
      <c r="E5615" s="20"/>
      <c r="F5615" s="20"/>
      <c r="AC5615" s="20"/>
      <c r="AG5615" s="29"/>
    </row>
    <row r="5616" spans="2:33">
      <c r="B5616" s="29"/>
      <c r="D5616" s="29"/>
      <c r="E5616" s="20"/>
      <c r="F5616" s="20"/>
      <c r="AC5616" s="20"/>
      <c r="AG5616" s="29"/>
    </row>
    <row r="5617" spans="2:33">
      <c r="B5617" s="29"/>
      <c r="D5617" s="29"/>
      <c r="E5617" s="20"/>
      <c r="F5617" s="20"/>
      <c r="AC5617" s="20"/>
      <c r="AG5617" s="29"/>
    </row>
    <row r="5618" spans="2:33">
      <c r="B5618" s="29"/>
      <c r="D5618" s="29"/>
      <c r="E5618" s="20"/>
      <c r="F5618" s="20"/>
      <c r="AC5618" s="20"/>
      <c r="AG5618" s="29"/>
    </row>
    <row r="5619" spans="2:33">
      <c r="B5619" s="29"/>
      <c r="D5619" s="29"/>
      <c r="E5619" s="20"/>
      <c r="F5619" s="20"/>
      <c r="AC5619" s="20"/>
      <c r="AG5619" s="29"/>
    </row>
    <row r="5620" spans="2:33">
      <c r="B5620" s="29"/>
      <c r="D5620" s="29"/>
      <c r="E5620" s="20"/>
      <c r="F5620" s="20"/>
      <c r="AC5620" s="20"/>
      <c r="AG5620" s="29"/>
    </row>
    <row r="5621" spans="2:33">
      <c r="B5621" s="29"/>
      <c r="D5621" s="29"/>
      <c r="E5621" s="20"/>
      <c r="F5621" s="20"/>
      <c r="AC5621" s="20"/>
      <c r="AG5621" s="29"/>
    </row>
    <row r="5622" spans="2:33">
      <c r="B5622" s="29"/>
      <c r="D5622" s="29"/>
      <c r="E5622" s="20"/>
      <c r="F5622" s="20"/>
      <c r="AC5622" s="20"/>
      <c r="AG5622" s="29"/>
    </row>
    <row r="5623" spans="2:33">
      <c r="B5623" s="29"/>
      <c r="D5623" s="29"/>
      <c r="E5623" s="20"/>
      <c r="F5623" s="20"/>
      <c r="AC5623" s="20"/>
      <c r="AG5623" s="29"/>
    </row>
    <row r="5624" spans="2:33">
      <c r="B5624" s="29"/>
      <c r="D5624" s="29"/>
      <c r="E5624" s="20"/>
      <c r="F5624" s="20"/>
      <c r="AC5624" s="20"/>
      <c r="AG5624" s="29"/>
    </row>
    <row r="5625" spans="2:33">
      <c r="B5625" s="29"/>
      <c r="D5625" s="29"/>
      <c r="E5625" s="20"/>
      <c r="F5625" s="20"/>
      <c r="AC5625" s="20"/>
      <c r="AG5625" s="29"/>
    </row>
    <row r="5626" spans="2:33">
      <c r="B5626" s="29"/>
      <c r="D5626" s="29"/>
      <c r="E5626" s="20"/>
      <c r="F5626" s="20"/>
      <c r="AC5626" s="20"/>
      <c r="AG5626" s="29"/>
    </row>
    <row r="5627" spans="2:33">
      <c r="B5627" s="29"/>
      <c r="D5627" s="29"/>
      <c r="E5627" s="20"/>
      <c r="F5627" s="20"/>
      <c r="AC5627" s="20"/>
      <c r="AG5627" s="29"/>
    </row>
    <row r="5628" spans="2:33">
      <c r="B5628" s="29"/>
      <c r="D5628" s="29"/>
      <c r="E5628" s="20"/>
      <c r="F5628" s="20"/>
      <c r="AC5628" s="20"/>
      <c r="AG5628" s="29"/>
    </row>
    <row r="5629" spans="2:33">
      <c r="B5629" s="29"/>
      <c r="D5629" s="29"/>
      <c r="E5629" s="20"/>
      <c r="F5629" s="20"/>
      <c r="AC5629" s="20"/>
      <c r="AG5629" s="29"/>
    </row>
    <row r="5630" spans="2:33">
      <c r="B5630" s="29"/>
      <c r="D5630" s="29"/>
      <c r="E5630" s="20"/>
      <c r="F5630" s="20"/>
      <c r="AC5630" s="20"/>
      <c r="AG5630" s="29"/>
    </row>
    <row r="5631" spans="2:33">
      <c r="B5631" s="29"/>
      <c r="D5631" s="29"/>
      <c r="E5631" s="20"/>
      <c r="F5631" s="20"/>
      <c r="AC5631" s="20"/>
      <c r="AG5631" s="29"/>
    </row>
    <row r="5632" spans="2:33">
      <c r="B5632" s="29"/>
      <c r="D5632" s="29"/>
      <c r="E5632" s="20"/>
      <c r="F5632" s="20"/>
      <c r="AC5632" s="20"/>
      <c r="AG5632" s="29"/>
    </row>
    <row r="5633" spans="2:33">
      <c r="B5633" s="29"/>
      <c r="D5633" s="29"/>
      <c r="E5633" s="20"/>
      <c r="F5633" s="20"/>
      <c r="AC5633" s="20"/>
      <c r="AG5633" s="29"/>
    </row>
    <row r="5634" spans="2:33">
      <c r="B5634" s="29"/>
      <c r="D5634" s="29"/>
      <c r="E5634" s="20"/>
      <c r="F5634" s="20"/>
      <c r="AC5634" s="20"/>
      <c r="AG5634" s="29"/>
    </row>
    <row r="5635" spans="2:33">
      <c r="B5635" s="29"/>
      <c r="D5635" s="29"/>
      <c r="E5635" s="20"/>
      <c r="F5635" s="20"/>
      <c r="AC5635" s="20"/>
      <c r="AG5635" s="29"/>
    </row>
    <row r="5636" spans="2:33">
      <c r="B5636" s="29"/>
      <c r="D5636" s="29"/>
      <c r="E5636" s="20"/>
      <c r="F5636" s="20"/>
      <c r="AC5636" s="20"/>
      <c r="AG5636" s="29"/>
    </row>
    <row r="5637" spans="2:33">
      <c r="B5637" s="29"/>
      <c r="D5637" s="29"/>
      <c r="E5637" s="20"/>
      <c r="F5637" s="20"/>
      <c r="AC5637" s="20"/>
      <c r="AG5637" s="29"/>
    </row>
    <row r="5638" spans="2:33">
      <c r="B5638" s="29"/>
      <c r="D5638" s="29"/>
      <c r="E5638" s="20"/>
      <c r="F5638" s="20"/>
      <c r="AC5638" s="20"/>
      <c r="AG5638" s="29"/>
    </row>
    <row r="5639" spans="2:33">
      <c r="B5639" s="29"/>
      <c r="D5639" s="29"/>
      <c r="E5639" s="20"/>
      <c r="F5639" s="20"/>
      <c r="AC5639" s="20"/>
      <c r="AG5639" s="29"/>
    </row>
    <row r="5640" spans="2:33">
      <c r="B5640" s="29"/>
      <c r="D5640" s="29"/>
      <c r="E5640" s="20"/>
      <c r="F5640" s="20"/>
      <c r="AC5640" s="20"/>
      <c r="AG5640" s="29"/>
    </row>
    <row r="5641" spans="2:33">
      <c r="B5641" s="29"/>
      <c r="D5641" s="29"/>
      <c r="E5641" s="20"/>
      <c r="F5641" s="20"/>
      <c r="AC5641" s="20"/>
      <c r="AG5641" s="29"/>
    </row>
    <row r="5642" spans="2:33">
      <c r="B5642" s="29"/>
      <c r="D5642" s="29"/>
      <c r="E5642" s="20"/>
      <c r="F5642" s="20"/>
      <c r="AC5642" s="20"/>
      <c r="AG5642" s="29"/>
    </row>
    <row r="5643" spans="2:33">
      <c r="B5643" s="29"/>
      <c r="D5643" s="29"/>
      <c r="E5643" s="20"/>
      <c r="F5643" s="20"/>
      <c r="AC5643" s="20"/>
      <c r="AG5643" s="29"/>
    </row>
    <row r="5644" spans="2:33">
      <c r="B5644" s="29"/>
      <c r="D5644" s="29"/>
      <c r="E5644" s="20"/>
      <c r="F5644" s="20"/>
      <c r="AC5644" s="20"/>
      <c r="AG5644" s="29"/>
    </row>
    <row r="5645" spans="2:33">
      <c r="B5645" s="29"/>
      <c r="D5645" s="29"/>
      <c r="E5645" s="20"/>
      <c r="F5645" s="20"/>
      <c r="AC5645" s="20"/>
      <c r="AG5645" s="29"/>
    </row>
    <row r="5646" spans="2:33">
      <c r="B5646" s="29"/>
      <c r="D5646" s="29"/>
      <c r="E5646" s="20"/>
      <c r="F5646" s="20"/>
      <c r="AC5646" s="20"/>
      <c r="AG5646" s="29"/>
    </row>
    <row r="5647" spans="2:33">
      <c r="B5647" s="29"/>
      <c r="D5647" s="29"/>
      <c r="E5647" s="20"/>
      <c r="F5647" s="20"/>
      <c r="AC5647" s="20"/>
      <c r="AG5647" s="29"/>
    </row>
    <row r="5648" spans="2:33">
      <c r="B5648" s="29"/>
      <c r="D5648" s="29"/>
      <c r="E5648" s="20"/>
      <c r="F5648" s="20"/>
      <c r="AC5648" s="20"/>
      <c r="AG5648" s="29"/>
    </row>
    <row r="5649" spans="2:33">
      <c r="B5649" s="29"/>
      <c r="D5649" s="29"/>
      <c r="E5649" s="20"/>
      <c r="F5649" s="20"/>
      <c r="AC5649" s="20"/>
      <c r="AG5649" s="29"/>
    </row>
    <row r="5650" spans="2:33">
      <c r="B5650" s="29"/>
      <c r="D5650" s="29"/>
      <c r="E5650" s="20"/>
      <c r="F5650" s="20"/>
      <c r="AC5650" s="20"/>
      <c r="AG5650" s="29"/>
    </row>
    <row r="5651" spans="2:33">
      <c r="B5651" s="29"/>
      <c r="D5651" s="29"/>
      <c r="E5651" s="20"/>
      <c r="F5651" s="20"/>
      <c r="AC5651" s="20"/>
      <c r="AG5651" s="29"/>
    </row>
    <row r="5652" spans="2:33">
      <c r="B5652" s="29"/>
      <c r="D5652" s="29"/>
      <c r="E5652" s="20"/>
      <c r="F5652" s="20"/>
      <c r="AC5652" s="20"/>
      <c r="AG5652" s="29"/>
    </row>
    <row r="5653" spans="2:33">
      <c r="B5653" s="29"/>
      <c r="D5653" s="29"/>
      <c r="E5653" s="20"/>
      <c r="F5653" s="20"/>
      <c r="AC5653" s="20"/>
      <c r="AG5653" s="29"/>
    </row>
    <row r="5654" spans="2:33">
      <c r="B5654" s="29"/>
      <c r="D5654" s="29"/>
      <c r="E5654" s="20"/>
      <c r="F5654" s="20"/>
      <c r="AC5654" s="20"/>
      <c r="AG5654" s="29"/>
    </row>
    <row r="5655" spans="2:33">
      <c r="B5655" s="29"/>
      <c r="D5655" s="29"/>
      <c r="E5655" s="20"/>
      <c r="F5655" s="20"/>
      <c r="AC5655" s="20"/>
      <c r="AG5655" s="29"/>
    </row>
    <row r="5656" spans="2:33">
      <c r="B5656" s="29"/>
      <c r="D5656" s="29"/>
      <c r="E5656" s="20"/>
      <c r="F5656" s="20"/>
      <c r="AC5656" s="20"/>
      <c r="AG5656" s="29"/>
    </row>
    <row r="5657" spans="2:33">
      <c r="B5657" s="29"/>
      <c r="D5657" s="29"/>
      <c r="E5657" s="20"/>
      <c r="F5657" s="20"/>
      <c r="AC5657" s="20"/>
      <c r="AG5657" s="29"/>
    </row>
    <row r="5658" spans="2:33">
      <c r="B5658" s="29"/>
      <c r="D5658" s="29"/>
      <c r="E5658" s="20"/>
      <c r="F5658" s="20"/>
      <c r="AC5658" s="20"/>
      <c r="AG5658" s="29"/>
    </row>
    <row r="5659" spans="2:33">
      <c r="B5659" s="29"/>
      <c r="D5659" s="29"/>
      <c r="E5659" s="20"/>
      <c r="F5659" s="20"/>
      <c r="AC5659" s="20"/>
      <c r="AG5659" s="29"/>
    </row>
    <row r="5660" spans="2:33">
      <c r="B5660" s="29"/>
      <c r="D5660" s="29"/>
      <c r="E5660" s="20"/>
      <c r="F5660" s="20"/>
      <c r="AC5660" s="20"/>
      <c r="AG5660" s="29"/>
    </row>
    <row r="5661" spans="2:33">
      <c r="B5661" s="29"/>
      <c r="D5661" s="29"/>
      <c r="E5661" s="20"/>
      <c r="F5661" s="20"/>
      <c r="AC5661" s="20"/>
      <c r="AG5661" s="29"/>
    </row>
    <row r="5662" spans="2:33">
      <c r="B5662" s="29"/>
      <c r="D5662" s="29"/>
      <c r="E5662" s="20"/>
      <c r="F5662" s="20"/>
      <c r="AC5662" s="20"/>
      <c r="AG5662" s="29"/>
    </row>
    <row r="5663" spans="2:33">
      <c r="B5663" s="29"/>
      <c r="D5663" s="29"/>
      <c r="E5663" s="20"/>
      <c r="F5663" s="20"/>
      <c r="AC5663" s="20"/>
      <c r="AG5663" s="29"/>
    </row>
    <row r="5664" spans="2:33">
      <c r="B5664" s="29"/>
      <c r="D5664" s="29"/>
      <c r="E5664" s="20"/>
      <c r="F5664" s="20"/>
      <c r="AC5664" s="20"/>
      <c r="AG5664" s="29"/>
    </row>
    <row r="5665" spans="2:33">
      <c r="B5665" s="29"/>
      <c r="D5665" s="29"/>
      <c r="E5665" s="20"/>
      <c r="F5665" s="20"/>
      <c r="AC5665" s="20"/>
      <c r="AG5665" s="29"/>
    </row>
    <row r="5666" spans="2:33">
      <c r="B5666" s="29"/>
      <c r="D5666" s="29"/>
      <c r="E5666" s="20"/>
      <c r="F5666" s="20"/>
      <c r="AC5666" s="20"/>
      <c r="AG5666" s="29"/>
    </row>
    <row r="5667" spans="2:33">
      <c r="B5667" s="29"/>
      <c r="D5667" s="29"/>
      <c r="E5667" s="20"/>
      <c r="F5667" s="20"/>
      <c r="AC5667" s="20"/>
      <c r="AG5667" s="29"/>
    </row>
    <row r="5668" spans="2:33">
      <c r="B5668" s="29"/>
      <c r="D5668" s="29"/>
      <c r="E5668" s="20"/>
      <c r="F5668" s="20"/>
      <c r="AC5668" s="20"/>
      <c r="AG5668" s="29"/>
    </row>
    <row r="5669" spans="2:33">
      <c r="B5669" s="29"/>
      <c r="D5669" s="29"/>
      <c r="E5669" s="20"/>
      <c r="F5669" s="20"/>
      <c r="AC5669" s="20"/>
      <c r="AG5669" s="29"/>
    </row>
    <row r="5670" spans="2:33">
      <c r="B5670" s="29"/>
      <c r="D5670" s="29"/>
      <c r="E5670" s="20"/>
      <c r="F5670" s="20"/>
      <c r="AC5670" s="20"/>
      <c r="AG5670" s="29"/>
    </row>
    <row r="5671" spans="2:33">
      <c r="B5671" s="29"/>
      <c r="D5671" s="29"/>
      <c r="E5671" s="20"/>
      <c r="F5671" s="20"/>
      <c r="AC5671" s="20"/>
      <c r="AG5671" s="29"/>
    </row>
    <row r="5672" spans="2:33">
      <c r="B5672" s="29"/>
      <c r="D5672" s="29"/>
      <c r="E5672" s="20"/>
      <c r="F5672" s="20"/>
      <c r="AC5672" s="20"/>
      <c r="AG5672" s="29"/>
    </row>
    <row r="5673" spans="2:33">
      <c r="B5673" s="29"/>
      <c r="D5673" s="29"/>
      <c r="E5673" s="20"/>
      <c r="F5673" s="20"/>
      <c r="AC5673" s="20"/>
      <c r="AG5673" s="29"/>
    </row>
    <row r="5674" spans="2:33">
      <c r="B5674" s="29"/>
      <c r="D5674" s="29"/>
      <c r="E5674" s="20"/>
      <c r="F5674" s="20"/>
      <c r="AC5674" s="20"/>
      <c r="AG5674" s="29"/>
    </row>
    <row r="5675" spans="2:33">
      <c r="B5675" s="29"/>
      <c r="D5675" s="29"/>
      <c r="E5675" s="20"/>
      <c r="F5675" s="20"/>
      <c r="AC5675" s="20"/>
      <c r="AG5675" s="29"/>
    </row>
    <row r="5676" spans="2:33">
      <c r="B5676" s="29"/>
      <c r="D5676" s="29"/>
      <c r="E5676" s="20"/>
      <c r="F5676" s="20"/>
      <c r="AC5676" s="20"/>
      <c r="AG5676" s="29"/>
    </row>
    <row r="5677" spans="2:33">
      <c r="B5677" s="29"/>
      <c r="D5677" s="29"/>
      <c r="E5677" s="20"/>
      <c r="F5677" s="20"/>
      <c r="AC5677" s="20"/>
      <c r="AG5677" s="29"/>
    </row>
    <row r="5678" spans="2:33">
      <c r="B5678" s="29"/>
      <c r="D5678" s="29"/>
      <c r="E5678" s="20"/>
      <c r="F5678" s="20"/>
      <c r="AC5678" s="20"/>
      <c r="AG5678" s="29"/>
    </row>
    <row r="5679" spans="2:33">
      <c r="B5679" s="29"/>
      <c r="D5679" s="29"/>
      <c r="E5679" s="20"/>
      <c r="F5679" s="20"/>
      <c r="AC5679" s="20"/>
      <c r="AG5679" s="29"/>
    </row>
    <row r="5680" spans="2:33">
      <c r="B5680" s="29"/>
      <c r="D5680" s="29"/>
      <c r="E5680" s="20"/>
      <c r="F5680" s="20"/>
      <c r="AC5680" s="20"/>
      <c r="AG5680" s="29"/>
    </row>
    <row r="5681" spans="2:33">
      <c r="B5681" s="29"/>
      <c r="D5681" s="29"/>
      <c r="E5681" s="20"/>
      <c r="F5681" s="20"/>
      <c r="AC5681" s="20"/>
      <c r="AG5681" s="29"/>
    </row>
    <row r="5682" spans="2:33">
      <c r="B5682" s="29"/>
      <c r="D5682" s="29"/>
      <c r="E5682" s="20"/>
      <c r="F5682" s="20"/>
      <c r="AC5682" s="20"/>
      <c r="AG5682" s="29"/>
    </row>
    <row r="5683" spans="2:33">
      <c r="B5683" s="29"/>
      <c r="D5683" s="29"/>
      <c r="E5683" s="20"/>
      <c r="F5683" s="20"/>
      <c r="AC5683" s="20"/>
      <c r="AG5683" s="29"/>
    </row>
    <row r="5684" spans="2:33">
      <c r="B5684" s="29"/>
      <c r="D5684" s="29"/>
      <c r="E5684" s="20"/>
      <c r="F5684" s="20"/>
      <c r="AC5684" s="20"/>
      <c r="AG5684" s="29"/>
    </row>
    <row r="5685" spans="2:33">
      <c r="B5685" s="29"/>
      <c r="D5685" s="29"/>
      <c r="E5685" s="20"/>
      <c r="F5685" s="20"/>
      <c r="AC5685" s="20"/>
      <c r="AG5685" s="29"/>
    </row>
    <row r="5686" spans="2:33">
      <c r="B5686" s="29"/>
      <c r="D5686" s="29"/>
      <c r="E5686" s="20"/>
      <c r="F5686" s="20"/>
      <c r="AC5686" s="20"/>
      <c r="AG5686" s="29"/>
    </row>
    <row r="5687" spans="2:33">
      <c r="B5687" s="29"/>
      <c r="D5687" s="29"/>
      <c r="E5687" s="20"/>
      <c r="F5687" s="20"/>
      <c r="AC5687" s="20"/>
      <c r="AG5687" s="29"/>
    </row>
    <row r="5688" spans="2:33">
      <c r="B5688" s="29"/>
      <c r="D5688" s="29"/>
      <c r="E5688" s="20"/>
      <c r="F5688" s="20"/>
      <c r="AC5688" s="20"/>
      <c r="AG5688" s="29"/>
    </row>
    <row r="5689" spans="2:33">
      <c r="B5689" s="29"/>
      <c r="D5689" s="29"/>
      <c r="E5689" s="20"/>
      <c r="F5689" s="20"/>
      <c r="AC5689" s="20"/>
      <c r="AG5689" s="29"/>
    </row>
    <row r="5690" spans="2:33">
      <c r="B5690" s="29"/>
      <c r="D5690" s="29"/>
      <c r="E5690" s="20"/>
      <c r="F5690" s="20"/>
      <c r="AC5690" s="20"/>
      <c r="AG5690" s="29"/>
    </row>
    <row r="5691" spans="2:33">
      <c r="B5691" s="29"/>
      <c r="D5691" s="29"/>
      <c r="E5691" s="20"/>
      <c r="F5691" s="20"/>
      <c r="AC5691" s="20"/>
      <c r="AG5691" s="29"/>
    </row>
    <row r="5692" spans="2:33">
      <c r="B5692" s="29"/>
      <c r="D5692" s="29"/>
      <c r="E5692" s="20"/>
      <c r="F5692" s="20"/>
      <c r="AC5692" s="20"/>
      <c r="AG5692" s="29"/>
    </row>
    <row r="5693" spans="2:33">
      <c r="B5693" s="29"/>
      <c r="D5693" s="29"/>
      <c r="E5693" s="20"/>
      <c r="F5693" s="20"/>
      <c r="AC5693" s="20"/>
      <c r="AG5693" s="29"/>
    </row>
    <row r="5694" spans="2:33">
      <c r="B5694" s="29"/>
      <c r="D5694" s="29"/>
      <c r="E5694" s="20"/>
      <c r="F5694" s="20"/>
      <c r="AC5694" s="20"/>
      <c r="AG5694" s="29"/>
    </row>
    <row r="5695" spans="2:33">
      <c r="B5695" s="29"/>
      <c r="D5695" s="29"/>
      <c r="E5695" s="20"/>
      <c r="F5695" s="20"/>
      <c r="AC5695" s="20"/>
      <c r="AG5695" s="29"/>
    </row>
    <row r="5696" spans="2:33">
      <c r="B5696" s="29"/>
      <c r="D5696" s="29"/>
      <c r="E5696" s="20"/>
      <c r="F5696" s="20"/>
      <c r="AC5696" s="20"/>
      <c r="AG5696" s="29"/>
    </row>
    <row r="5697" spans="2:33">
      <c r="B5697" s="29"/>
      <c r="D5697" s="29"/>
      <c r="E5697" s="20"/>
      <c r="F5697" s="20"/>
      <c r="AC5697" s="20"/>
      <c r="AG5697" s="29"/>
    </row>
    <row r="5698" spans="2:33">
      <c r="B5698" s="29"/>
      <c r="D5698" s="29"/>
      <c r="E5698" s="20"/>
      <c r="F5698" s="20"/>
      <c r="AC5698" s="20"/>
      <c r="AG5698" s="29"/>
    </row>
    <row r="5699" spans="2:33">
      <c r="B5699" s="29"/>
      <c r="D5699" s="29"/>
      <c r="E5699" s="20"/>
      <c r="F5699" s="20"/>
      <c r="AC5699" s="20"/>
      <c r="AG5699" s="29"/>
    </row>
    <row r="5700" spans="2:33">
      <c r="B5700" s="29"/>
      <c r="D5700" s="29"/>
      <c r="E5700" s="20"/>
      <c r="F5700" s="20"/>
      <c r="AC5700" s="20"/>
      <c r="AG5700" s="29"/>
    </row>
    <row r="5701" spans="2:33">
      <c r="B5701" s="29"/>
      <c r="D5701" s="29"/>
      <c r="E5701" s="20"/>
      <c r="F5701" s="20"/>
      <c r="AC5701" s="20"/>
      <c r="AG5701" s="29"/>
    </row>
    <row r="5702" spans="2:33">
      <c r="B5702" s="29"/>
      <c r="D5702" s="29"/>
      <c r="E5702" s="20"/>
      <c r="F5702" s="20"/>
      <c r="AC5702" s="20"/>
      <c r="AG5702" s="29"/>
    </row>
    <row r="5703" spans="2:33">
      <c r="B5703" s="29"/>
      <c r="D5703" s="29"/>
      <c r="E5703" s="20"/>
      <c r="F5703" s="20"/>
      <c r="AC5703" s="20"/>
      <c r="AG5703" s="29"/>
    </row>
    <row r="5704" spans="2:33">
      <c r="B5704" s="29"/>
      <c r="D5704" s="29"/>
      <c r="E5704" s="20"/>
      <c r="F5704" s="20"/>
      <c r="AC5704" s="20"/>
      <c r="AG5704" s="29"/>
    </row>
    <row r="5705" spans="2:33">
      <c r="B5705" s="29"/>
      <c r="D5705" s="29"/>
      <c r="E5705" s="20"/>
      <c r="F5705" s="20"/>
      <c r="AC5705" s="20"/>
      <c r="AG5705" s="29"/>
    </row>
    <row r="5706" spans="2:33">
      <c r="B5706" s="29"/>
      <c r="D5706" s="29"/>
      <c r="E5706" s="20"/>
      <c r="F5706" s="20"/>
      <c r="AC5706" s="20"/>
      <c r="AG5706" s="29"/>
    </row>
    <row r="5707" spans="2:33">
      <c r="B5707" s="29"/>
      <c r="D5707" s="29"/>
      <c r="E5707" s="20"/>
      <c r="F5707" s="20"/>
      <c r="AC5707" s="20"/>
      <c r="AG5707" s="29"/>
    </row>
    <row r="5708" spans="2:33">
      <c r="B5708" s="29"/>
      <c r="D5708" s="29"/>
      <c r="E5708" s="20"/>
      <c r="F5708" s="20"/>
      <c r="AC5708" s="20"/>
      <c r="AG5708" s="29"/>
    </row>
    <row r="5709" spans="2:33">
      <c r="B5709" s="29"/>
      <c r="D5709" s="29"/>
      <c r="E5709" s="20"/>
      <c r="F5709" s="20"/>
      <c r="AC5709" s="20"/>
      <c r="AG5709" s="29"/>
    </row>
    <row r="5710" spans="2:33">
      <c r="B5710" s="29"/>
      <c r="D5710" s="29"/>
      <c r="E5710" s="20"/>
      <c r="F5710" s="20"/>
      <c r="AC5710" s="20"/>
      <c r="AG5710" s="29"/>
    </row>
    <row r="5711" spans="2:33">
      <c r="B5711" s="29"/>
      <c r="D5711" s="29"/>
      <c r="E5711" s="20"/>
      <c r="F5711" s="20"/>
      <c r="AC5711" s="20"/>
      <c r="AG5711" s="29"/>
    </row>
    <row r="5712" spans="2:33">
      <c r="B5712" s="29"/>
      <c r="D5712" s="29"/>
      <c r="E5712" s="20"/>
      <c r="F5712" s="20"/>
      <c r="AC5712" s="20"/>
      <c r="AG5712" s="29"/>
    </row>
    <row r="5713" spans="2:33">
      <c r="B5713" s="29"/>
      <c r="D5713" s="29"/>
      <c r="E5713" s="20"/>
      <c r="F5713" s="20"/>
      <c r="AC5713" s="20"/>
      <c r="AG5713" s="29"/>
    </row>
    <row r="5714" spans="2:33">
      <c r="B5714" s="29"/>
      <c r="D5714" s="29"/>
      <c r="E5714" s="20"/>
      <c r="F5714" s="20"/>
      <c r="AC5714" s="20"/>
      <c r="AG5714" s="29"/>
    </row>
    <row r="5715" spans="2:33">
      <c r="B5715" s="29"/>
      <c r="D5715" s="29"/>
      <c r="E5715" s="20"/>
      <c r="F5715" s="20"/>
      <c r="AC5715" s="20"/>
      <c r="AG5715" s="29"/>
    </row>
    <row r="5716" spans="2:33">
      <c r="B5716" s="29"/>
      <c r="D5716" s="29"/>
      <c r="E5716" s="20"/>
      <c r="F5716" s="20"/>
      <c r="AC5716" s="20"/>
      <c r="AG5716" s="29"/>
    </row>
    <row r="5717" spans="2:33">
      <c r="B5717" s="29"/>
      <c r="D5717" s="29"/>
      <c r="E5717" s="20"/>
      <c r="F5717" s="20"/>
      <c r="AC5717" s="20"/>
      <c r="AG5717" s="29"/>
    </row>
    <row r="5718" spans="2:33">
      <c r="B5718" s="29"/>
      <c r="D5718" s="29"/>
      <c r="E5718" s="20"/>
      <c r="F5718" s="20"/>
      <c r="AC5718" s="20"/>
      <c r="AG5718" s="29"/>
    </row>
    <row r="5719" spans="2:33">
      <c r="B5719" s="29"/>
      <c r="D5719" s="29"/>
      <c r="E5719" s="20"/>
      <c r="F5719" s="20"/>
      <c r="AC5719" s="20"/>
      <c r="AG5719" s="29"/>
    </row>
    <row r="5720" spans="2:33">
      <c r="B5720" s="29"/>
      <c r="D5720" s="29"/>
      <c r="E5720" s="20"/>
      <c r="F5720" s="20"/>
      <c r="AC5720" s="20"/>
      <c r="AG5720" s="29"/>
    </row>
    <row r="5721" spans="2:33">
      <c r="B5721" s="29"/>
      <c r="D5721" s="29"/>
      <c r="E5721" s="20"/>
      <c r="F5721" s="20"/>
      <c r="AC5721" s="20"/>
      <c r="AG5721" s="29"/>
    </row>
    <row r="5722" spans="2:33">
      <c r="B5722" s="29"/>
      <c r="D5722" s="29"/>
      <c r="E5722" s="20"/>
      <c r="F5722" s="20"/>
      <c r="AC5722" s="20"/>
      <c r="AG5722" s="29"/>
    </row>
    <row r="5723" spans="2:33">
      <c r="B5723" s="29"/>
      <c r="D5723" s="29"/>
      <c r="E5723" s="20"/>
      <c r="F5723" s="20"/>
      <c r="AC5723" s="20"/>
      <c r="AG5723" s="29"/>
    </row>
    <row r="5724" spans="2:33">
      <c r="B5724" s="29"/>
      <c r="D5724" s="29"/>
      <c r="E5724" s="20"/>
      <c r="F5724" s="20"/>
      <c r="AC5724" s="20"/>
      <c r="AG5724" s="29"/>
    </row>
    <row r="5725" spans="2:33">
      <c r="B5725" s="29"/>
      <c r="D5725" s="29"/>
      <c r="E5725" s="20"/>
      <c r="F5725" s="20"/>
      <c r="AC5725" s="20"/>
      <c r="AG5725" s="29"/>
    </row>
    <row r="5726" spans="2:33">
      <c r="B5726" s="29"/>
      <c r="D5726" s="29"/>
      <c r="E5726" s="20"/>
      <c r="F5726" s="20"/>
      <c r="AC5726" s="20"/>
      <c r="AG5726" s="29"/>
    </row>
    <row r="5727" spans="2:33">
      <c r="B5727" s="29"/>
      <c r="D5727" s="29"/>
      <c r="E5727" s="20"/>
      <c r="F5727" s="20"/>
      <c r="AC5727" s="20"/>
      <c r="AG5727" s="29"/>
    </row>
    <row r="5728" spans="2:33">
      <c r="B5728" s="29"/>
      <c r="D5728" s="29"/>
      <c r="E5728" s="20"/>
      <c r="F5728" s="20"/>
      <c r="AC5728" s="20"/>
      <c r="AG5728" s="29"/>
    </row>
    <row r="5729" spans="2:33">
      <c r="B5729" s="29"/>
      <c r="D5729" s="29"/>
      <c r="E5729" s="20"/>
      <c r="F5729" s="20"/>
      <c r="AC5729" s="20"/>
      <c r="AG5729" s="29"/>
    </row>
    <row r="5730" spans="2:33">
      <c r="B5730" s="29"/>
      <c r="D5730" s="29"/>
      <c r="E5730" s="20"/>
      <c r="F5730" s="20"/>
      <c r="AC5730" s="20"/>
      <c r="AG5730" s="29"/>
    </row>
    <row r="5731" spans="2:33">
      <c r="B5731" s="29"/>
      <c r="D5731" s="29"/>
      <c r="E5731" s="20"/>
      <c r="F5731" s="20"/>
      <c r="AC5731" s="20"/>
      <c r="AG5731" s="29"/>
    </row>
    <row r="5732" spans="2:33">
      <c r="B5732" s="29"/>
      <c r="D5732" s="29"/>
      <c r="E5732" s="20"/>
      <c r="F5732" s="20"/>
      <c r="AC5732" s="20"/>
      <c r="AG5732" s="29"/>
    </row>
    <row r="5733" spans="2:33">
      <c r="B5733" s="29"/>
      <c r="D5733" s="29"/>
      <c r="E5733" s="20"/>
      <c r="F5733" s="20"/>
      <c r="AC5733" s="20"/>
      <c r="AG5733" s="29"/>
    </row>
    <row r="5734" spans="2:33">
      <c r="B5734" s="29"/>
      <c r="D5734" s="29"/>
      <c r="E5734" s="20"/>
      <c r="F5734" s="20"/>
      <c r="AC5734" s="20"/>
      <c r="AG5734" s="29"/>
    </row>
    <row r="5735" spans="2:33">
      <c r="B5735" s="29"/>
      <c r="D5735" s="29"/>
      <c r="E5735" s="20"/>
      <c r="F5735" s="20"/>
      <c r="AC5735" s="20"/>
      <c r="AG5735" s="29"/>
    </row>
    <row r="5736" spans="2:33">
      <c r="B5736" s="29"/>
      <c r="D5736" s="29"/>
      <c r="E5736" s="20"/>
      <c r="F5736" s="20"/>
      <c r="AC5736" s="20"/>
      <c r="AG5736" s="29"/>
    </row>
    <row r="5737" spans="2:33">
      <c r="B5737" s="29"/>
      <c r="D5737" s="29"/>
      <c r="E5737" s="20"/>
      <c r="F5737" s="20"/>
      <c r="AC5737" s="20"/>
      <c r="AG5737" s="29"/>
    </row>
    <row r="5738" spans="2:33">
      <c r="B5738" s="29"/>
      <c r="D5738" s="29"/>
      <c r="E5738" s="20"/>
      <c r="F5738" s="20"/>
      <c r="AC5738" s="20"/>
      <c r="AG5738" s="29"/>
    </row>
    <row r="5739" spans="2:33">
      <c r="B5739" s="29"/>
      <c r="D5739" s="29"/>
      <c r="E5739" s="20"/>
      <c r="F5739" s="20"/>
      <c r="AC5739" s="20"/>
      <c r="AG5739" s="29"/>
    </row>
    <row r="5740" spans="2:33">
      <c r="B5740" s="29"/>
      <c r="D5740" s="29"/>
      <c r="E5740" s="20"/>
      <c r="F5740" s="20"/>
      <c r="AC5740" s="20"/>
      <c r="AG5740" s="29"/>
    </row>
    <row r="5741" spans="2:33">
      <c r="B5741" s="29"/>
      <c r="D5741" s="29"/>
      <c r="E5741" s="20"/>
      <c r="F5741" s="20"/>
      <c r="AC5741" s="20"/>
      <c r="AG5741" s="29"/>
    </row>
    <row r="5742" spans="2:33">
      <c r="B5742" s="29"/>
      <c r="D5742" s="29"/>
      <c r="E5742" s="20"/>
      <c r="F5742" s="20"/>
      <c r="AC5742" s="20"/>
      <c r="AG5742" s="29"/>
    </row>
    <row r="5743" spans="2:33">
      <c r="B5743" s="29"/>
      <c r="D5743" s="29"/>
      <c r="E5743" s="20"/>
      <c r="F5743" s="20"/>
      <c r="AC5743" s="20"/>
      <c r="AG5743" s="29"/>
    </row>
    <row r="5744" spans="2:33">
      <c r="B5744" s="29"/>
      <c r="D5744" s="29"/>
      <c r="E5744" s="20"/>
      <c r="F5744" s="20"/>
      <c r="AC5744" s="20"/>
      <c r="AG5744" s="29"/>
    </row>
    <row r="5745" spans="2:33">
      <c r="B5745" s="29"/>
      <c r="D5745" s="29"/>
      <c r="E5745" s="20"/>
      <c r="F5745" s="20"/>
      <c r="AC5745" s="20"/>
      <c r="AG5745" s="29"/>
    </row>
    <row r="5746" spans="2:33">
      <c r="B5746" s="29"/>
      <c r="D5746" s="29"/>
      <c r="E5746" s="20"/>
      <c r="F5746" s="20"/>
      <c r="AC5746" s="20"/>
      <c r="AG5746" s="29"/>
    </row>
    <row r="5747" spans="2:33">
      <c r="B5747" s="29"/>
      <c r="D5747" s="29"/>
      <c r="E5747" s="20"/>
      <c r="F5747" s="20"/>
      <c r="AC5747" s="20"/>
      <c r="AG5747" s="29"/>
    </row>
    <row r="5748" spans="2:33">
      <c r="B5748" s="29"/>
      <c r="D5748" s="29"/>
      <c r="E5748" s="20"/>
      <c r="F5748" s="20"/>
      <c r="AC5748" s="20"/>
      <c r="AG5748" s="29"/>
    </row>
    <row r="5749" spans="2:33">
      <c r="B5749" s="29"/>
      <c r="D5749" s="29"/>
      <c r="E5749" s="20"/>
      <c r="F5749" s="20"/>
      <c r="AC5749" s="20"/>
      <c r="AG5749" s="29"/>
    </row>
    <row r="5750" spans="2:33">
      <c r="B5750" s="29"/>
      <c r="D5750" s="29"/>
      <c r="E5750" s="20"/>
      <c r="F5750" s="20"/>
      <c r="AC5750" s="20"/>
      <c r="AG5750" s="29"/>
    </row>
    <row r="5751" spans="2:33">
      <c r="B5751" s="29"/>
      <c r="D5751" s="29"/>
      <c r="E5751" s="20"/>
      <c r="F5751" s="20"/>
      <c r="AC5751" s="20"/>
      <c r="AG5751" s="29"/>
    </row>
    <row r="5752" spans="2:33">
      <c r="B5752" s="29"/>
      <c r="D5752" s="29"/>
      <c r="E5752" s="20"/>
      <c r="F5752" s="20"/>
      <c r="AC5752" s="20"/>
      <c r="AG5752" s="29"/>
    </row>
    <row r="5753" spans="2:33">
      <c r="B5753" s="29"/>
      <c r="D5753" s="29"/>
      <c r="E5753" s="20"/>
      <c r="F5753" s="20"/>
      <c r="AC5753" s="20"/>
      <c r="AG5753" s="29"/>
    </row>
    <row r="5754" spans="2:33">
      <c r="B5754" s="29"/>
      <c r="D5754" s="29"/>
      <c r="E5754" s="20"/>
      <c r="F5754" s="20"/>
      <c r="AC5754" s="20"/>
      <c r="AG5754" s="29"/>
    </row>
    <row r="5755" spans="2:33">
      <c r="B5755" s="29"/>
      <c r="D5755" s="29"/>
      <c r="E5755" s="20"/>
      <c r="F5755" s="20"/>
      <c r="AC5755" s="20"/>
      <c r="AG5755" s="29"/>
    </row>
    <row r="5756" spans="2:33">
      <c r="B5756" s="29"/>
      <c r="D5756" s="29"/>
      <c r="E5756" s="20"/>
      <c r="F5756" s="20"/>
      <c r="AC5756" s="20"/>
      <c r="AG5756" s="29"/>
    </row>
    <row r="5757" spans="2:33">
      <c r="B5757" s="29"/>
      <c r="D5757" s="29"/>
      <c r="E5757" s="20"/>
      <c r="F5757" s="20"/>
      <c r="AC5757" s="20"/>
      <c r="AG5757" s="29"/>
    </row>
    <row r="5758" spans="2:33">
      <c r="B5758" s="29"/>
      <c r="D5758" s="29"/>
      <c r="E5758" s="20"/>
      <c r="F5758" s="20"/>
      <c r="AC5758" s="20"/>
      <c r="AG5758" s="29"/>
    </row>
    <row r="5759" spans="2:33">
      <c r="B5759" s="29"/>
      <c r="D5759" s="29"/>
      <c r="E5759" s="20"/>
      <c r="F5759" s="20"/>
      <c r="AC5759" s="20"/>
      <c r="AG5759" s="29"/>
    </row>
    <row r="5760" spans="2:33">
      <c r="B5760" s="29"/>
      <c r="D5760" s="29"/>
      <c r="E5760" s="20"/>
      <c r="F5760" s="20"/>
      <c r="AC5760" s="20"/>
      <c r="AG5760" s="29"/>
    </row>
    <row r="5761" spans="2:33">
      <c r="B5761" s="29"/>
      <c r="D5761" s="29"/>
      <c r="E5761" s="20"/>
      <c r="F5761" s="20"/>
      <c r="AC5761" s="20"/>
      <c r="AG5761" s="29"/>
    </row>
    <row r="5762" spans="2:33">
      <c r="B5762" s="29"/>
      <c r="D5762" s="29"/>
      <c r="E5762" s="20"/>
      <c r="F5762" s="20"/>
      <c r="AC5762" s="20"/>
      <c r="AG5762" s="29"/>
    </row>
    <row r="5763" spans="2:33">
      <c r="B5763" s="29"/>
      <c r="D5763" s="29"/>
      <c r="E5763" s="20"/>
      <c r="F5763" s="20"/>
      <c r="AC5763" s="20"/>
      <c r="AG5763" s="29"/>
    </row>
    <row r="5764" spans="2:33">
      <c r="B5764" s="29"/>
      <c r="D5764" s="29"/>
      <c r="E5764" s="20"/>
      <c r="F5764" s="20"/>
      <c r="AC5764" s="20"/>
      <c r="AG5764" s="29"/>
    </row>
    <row r="5765" spans="2:33">
      <c r="B5765" s="29"/>
      <c r="D5765" s="29"/>
      <c r="E5765" s="20"/>
      <c r="F5765" s="20"/>
      <c r="AC5765" s="20"/>
      <c r="AG5765" s="29"/>
    </row>
    <row r="5766" spans="2:33">
      <c r="B5766" s="29"/>
      <c r="D5766" s="29"/>
      <c r="E5766" s="20"/>
      <c r="F5766" s="20"/>
      <c r="AC5766" s="20"/>
      <c r="AG5766" s="29"/>
    </row>
    <row r="5767" spans="2:33">
      <c r="B5767" s="29"/>
      <c r="D5767" s="29"/>
      <c r="E5767" s="20"/>
      <c r="F5767" s="20"/>
      <c r="AC5767" s="20"/>
      <c r="AG5767" s="29"/>
    </row>
    <row r="5768" spans="2:33">
      <c r="B5768" s="29"/>
      <c r="D5768" s="29"/>
      <c r="E5768" s="20"/>
      <c r="F5768" s="20"/>
      <c r="AC5768" s="20"/>
      <c r="AG5768" s="29"/>
    </row>
    <row r="5769" spans="2:33">
      <c r="B5769" s="29"/>
      <c r="D5769" s="29"/>
      <c r="E5769" s="20"/>
      <c r="F5769" s="20"/>
      <c r="AC5769" s="20"/>
      <c r="AG5769" s="29"/>
    </row>
    <row r="5770" spans="2:33">
      <c r="B5770" s="29"/>
      <c r="D5770" s="29"/>
      <c r="E5770" s="20"/>
      <c r="F5770" s="20"/>
      <c r="AC5770" s="20"/>
      <c r="AG5770" s="29"/>
    </row>
    <row r="5771" spans="2:33">
      <c r="B5771" s="29"/>
      <c r="D5771" s="29"/>
      <c r="E5771" s="20"/>
      <c r="F5771" s="20"/>
      <c r="AC5771" s="20"/>
      <c r="AG5771" s="29"/>
    </row>
    <row r="5772" spans="2:33">
      <c r="B5772" s="29"/>
      <c r="D5772" s="29"/>
      <c r="E5772" s="20"/>
      <c r="F5772" s="20"/>
      <c r="AC5772" s="20"/>
      <c r="AG5772" s="29"/>
    </row>
    <row r="5773" spans="2:33">
      <c r="B5773" s="29"/>
      <c r="D5773" s="29"/>
      <c r="E5773" s="20"/>
      <c r="F5773" s="20"/>
      <c r="AC5773" s="20"/>
      <c r="AG5773" s="29"/>
    </row>
    <row r="5774" spans="2:33">
      <c r="B5774" s="29"/>
      <c r="D5774" s="29"/>
      <c r="E5774" s="20"/>
      <c r="F5774" s="20"/>
      <c r="AC5774" s="20"/>
      <c r="AG5774" s="29"/>
    </row>
    <row r="5775" spans="2:33">
      <c r="B5775" s="29"/>
      <c r="D5775" s="29"/>
      <c r="E5775" s="20"/>
      <c r="F5775" s="20"/>
      <c r="AC5775" s="20"/>
      <c r="AG5775" s="29"/>
    </row>
    <row r="5776" spans="2:33">
      <c r="B5776" s="29"/>
      <c r="D5776" s="29"/>
      <c r="E5776" s="20"/>
      <c r="F5776" s="20"/>
      <c r="AC5776" s="20"/>
      <c r="AG5776" s="29"/>
    </row>
    <row r="5777" spans="2:33">
      <c r="B5777" s="29"/>
      <c r="D5777" s="29"/>
      <c r="E5777" s="20"/>
      <c r="F5777" s="20"/>
      <c r="AC5777" s="20"/>
      <c r="AG5777" s="29"/>
    </row>
    <row r="5778" spans="2:33">
      <c r="B5778" s="29"/>
      <c r="D5778" s="29"/>
      <c r="E5778" s="20"/>
      <c r="F5778" s="20"/>
      <c r="AC5778" s="20"/>
      <c r="AG5778" s="29"/>
    </row>
    <row r="5779" spans="2:33">
      <c r="B5779" s="29"/>
      <c r="D5779" s="29"/>
      <c r="E5779" s="20"/>
      <c r="F5779" s="20"/>
      <c r="AC5779" s="20"/>
      <c r="AG5779" s="29"/>
    </row>
    <row r="5780" spans="2:33">
      <c r="B5780" s="29"/>
      <c r="D5780" s="29"/>
      <c r="E5780" s="20"/>
      <c r="F5780" s="20"/>
      <c r="AC5780" s="20"/>
      <c r="AG5780" s="29"/>
    </row>
    <row r="5781" spans="2:33">
      <c r="B5781" s="29"/>
      <c r="D5781" s="29"/>
      <c r="E5781" s="20"/>
      <c r="F5781" s="20"/>
      <c r="AC5781" s="20"/>
      <c r="AG5781" s="29"/>
    </row>
    <row r="5782" spans="2:33">
      <c r="B5782" s="29"/>
      <c r="D5782" s="29"/>
      <c r="E5782" s="20"/>
      <c r="F5782" s="20"/>
      <c r="AC5782" s="20"/>
      <c r="AG5782" s="29"/>
    </row>
    <row r="5783" spans="2:33">
      <c r="B5783" s="29"/>
      <c r="D5783" s="29"/>
      <c r="E5783" s="20"/>
      <c r="F5783" s="20"/>
      <c r="AC5783" s="20"/>
      <c r="AG5783" s="29"/>
    </row>
    <row r="5784" spans="2:33">
      <c r="B5784" s="29"/>
      <c r="D5784" s="29"/>
      <c r="E5784" s="20"/>
      <c r="F5784" s="20"/>
      <c r="AC5784" s="20"/>
      <c r="AG5784" s="29"/>
    </row>
    <row r="5785" spans="2:33">
      <c r="B5785" s="29"/>
      <c r="D5785" s="29"/>
      <c r="E5785" s="20"/>
      <c r="F5785" s="20"/>
      <c r="AC5785" s="20"/>
      <c r="AG5785" s="29"/>
    </row>
    <row r="5786" spans="2:33">
      <c r="B5786" s="29"/>
      <c r="D5786" s="29"/>
      <c r="E5786" s="20"/>
      <c r="F5786" s="20"/>
      <c r="AC5786" s="20"/>
      <c r="AG5786" s="29"/>
    </row>
    <row r="5787" spans="2:33">
      <c r="B5787" s="29"/>
      <c r="D5787" s="29"/>
      <c r="E5787" s="20"/>
      <c r="F5787" s="20"/>
      <c r="AC5787" s="20"/>
      <c r="AG5787" s="29"/>
    </row>
    <row r="5788" spans="2:33">
      <c r="B5788" s="29"/>
      <c r="D5788" s="29"/>
      <c r="E5788" s="20"/>
      <c r="F5788" s="20"/>
      <c r="AC5788" s="20"/>
      <c r="AG5788" s="29"/>
    </row>
    <row r="5789" spans="2:33">
      <c r="B5789" s="29"/>
      <c r="D5789" s="29"/>
      <c r="E5789" s="20"/>
      <c r="F5789" s="20"/>
      <c r="AC5789" s="20"/>
      <c r="AG5789" s="29"/>
    </row>
    <row r="5790" spans="2:33">
      <c r="B5790" s="29"/>
      <c r="D5790" s="29"/>
      <c r="E5790" s="20"/>
      <c r="F5790" s="20"/>
      <c r="AC5790" s="20"/>
      <c r="AG5790" s="29"/>
    </row>
    <row r="5791" spans="2:33">
      <c r="B5791" s="29"/>
      <c r="D5791" s="29"/>
      <c r="E5791" s="20"/>
      <c r="F5791" s="20"/>
      <c r="AC5791" s="20"/>
      <c r="AG5791" s="29"/>
    </row>
    <row r="5792" spans="2:33">
      <c r="B5792" s="29"/>
      <c r="D5792" s="29"/>
      <c r="E5792" s="20"/>
      <c r="F5792" s="20"/>
      <c r="AC5792" s="20"/>
      <c r="AG5792" s="29"/>
    </row>
    <row r="5793" spans="2:33">
      <c r="B5793" s="29"/>
      <c r="D5793" s="29"/>
      <c r="E5793" s="20"/>
      <c r="F5793" s="20"/>
      <c r="AC5793" s="20"/>
      <c r="AG5793" s="29"/>
    </row>
    <row r="5794" spans="2:33">
      <c r="B5794" s="29"/>
      <c r="D5794" s="29"/>
      <c r="E5794" s="20"/>
      <c r="F5794" s="20"/>
      <c r="AC5794" s="20"/>
      <c r="AG5794" s="29"/>
    </row>
    <row r="5795" spans="2:33">
      <c r="B5795" s="29"/>
      <c r="D5795" s="29"/>
      <c r="E5795" s="20"/>
      <c r="F5795" s="20"/>
      <c r="AC5795" s="20"/>
      <c r="AG5795" s="29"/>
    </row>
    <row r="5796" spans="2:33">
      <c r="B5796" s="29"/>
      <c r="D5796" s="29"/>
      <c r="E5796" s="20"/>
      <c r="F5796" s="20"/>
      <c r="AC5796" s="20"/>
      <c r="AG5796" s="29"/>
    </row>
    <row r="5797" spans="2:33">
      <c r="B5797" s="29"/>
      <c r="D5797" s="29"/>
      <c r="E5797" s="20"/>
      <c r="F5797" s="20"/>
      <c r="AC5797" s="20"/>
      <c r="AG5797" s="29"/>
    </row>
    <row r="5798" spans="2:33">
      <c r="B5798" s="29"/>
      <c r="D5798" s="29"/>
      <c r="E5798" s="20"/>
      <c r="F5798" s="20"/>
      <c r="AC5798" s="20"/>
      <c r="AG5798" s="29"/>
    </row>
    <row r="5799" spans="2:33">
      <c r="B5799" s="29"/>
      <c r="D5799" s="29"/>
      <c r="E5799" s="20"/>
      <c r="F5799" s="20"/>
      <c r="AC5799" s="20"/>
      <c r="AG5799" s="29"/>
    </row>
    <row r="5800" spans="2:33">
      <c r="B5800" s="29"/>
      <c r="D5800" s="29"/>
      <c r="E5800" s="20"/>
      <c r="F5800" s="20"/>
      <c r="AC5800" s="20"/>
      <c r="AG5800" s="29"/>
    </row>
    <row r="5801" spans="2:33">
      <c r="B5801" s="29"/>
      <c r="D5801" s="29"/>
      <c r="E5801" s="20"/>
      <c r="F5801" s="20"/>
      <c r="AC5801" s="20"/>
      <c r="AG5801" s="29"/>
    </row>
    <row r="5802" spans="2:33">
      <c r="B5802" s="29"/>
      <c r="D5802" s="29"/>
      <c r="E5802" s="20"/>
      <c r="F5802" s="20"/>
      <c r="AC5802" s="20"/>
      <c r="AG5802" s="29"/>
    </row>
    <row r="5803" spans="2:33">
      <c r="B5803" s="29"/>
      <c r="D5803" s="29"/>
      <c r="E5803" s="20"/>
      <c r="F5803" s="20"/>
      <c r="AC5803" s="20"/>
      <c r="AG5803" s="29"/>
    </row>
    <row r="5804" spans="2:33">
      <c r="B5804" s="29"/>
      <c r="D5804" s="29"/>
      <c r="E5804" s="20"/>
      <c r="F5804" s="20"/>
      <c r="AC5804" s="20"/>
      <c r="AG5804" s="29"/>
    </row>
    <row r="5805" spans="2:33">
      <c r="B5805" s="29"/>
      <c r="D5805" s="29"/>
      <c r="E5805" s="20"/>
      <c r="F5805" s="20"/>
      <c r="AC5805" s="20"/>
      <c r="AG5805" s="29"/>
    </row>
    <row r="5806" spans="2:33">
      <c r="B5806" s="29"/>
      <c r="D5806" s="29"/>
      <c r="E5806" s="20"/>
      <c r="F5806" s="20"/>
      <c r="AC5806" s="20"/>
      <c r="AG5806" s="29"/>
    </row>
    <row r="5807" spans="2:33">
      <c r="B5807" s="29"/>
      <c r="D5807" s="29"/>
      <c r="E5807" s="20"/>
      <c r="F5807" s="20"/>
      <c r="AC5807" s="20"/>
      <c r="AG5807" s="29"/>
    </row>
    <row r="5808" spans="2:33">
      <c r="B5808" s="29"/>
      <c r="D5808" s="29"/>
      <c r="E5808" s="20"/>
      <c r="F5808" s="20"/>
      <c r="AC5808" s="20"/>
      <c r="AG5808" s="29"/>
    </row>
    <row r="5809" spans="2:33">
      <c r="B5809" s="29"/>
      <c r="D5809" s="29"/>
      <c r="E5809" s="20"/>
      <c r="F5809" s="20"/>
      <c r="AC5809" s="20"/>
      <c r="AG5809" s="29"/>
    </row>
    <row r="5810" spans="2:33">
      <c r="B5810" s="29"/>
      <c r="D5810" s="29"/>
      <c r="E5810" s="20"/>
      <c r="F5810" s="20"/>
      <c r="AC5810" s="20"/>
      <c r="AG5810" s="29"/>
    </row>
    <row r="5811" spans="2:33">
      <c r="B5811" s="29"/>
      <c r="D5811" s="29"/>
      <c r="E5811" s="20"/>
      <c r="F5811" s="20"/>
      <c r="AC5811" s="20"/>
      <c r="AG5811" s="29"/>
    </row>
    <row r="5812" spans="2:33">
      <c r="B5812" s="29"/>
      <c r="D5812" s="29"/>
      <c r="E5812" s="20"/>
      <c r="F5812" s="20"/>
      <c r="AC5812" s="20"/>
      <c r="AG5812" s="29"/>
    </row>
    <row r="5813" spans="2:33">
      <c r="B5813" s="29"/>
      <c r="D5813" s="29"/>
      <c r="E5813" s="20"/>
      <c r="F5813" s="20"/>
      <c r="AC5813" s="20"/>
      <c r="AG5813" s="29"/>
    </row>
    <row r="5814" spans="2:33">
      <c r="B5814" s="29"/>
      <c r="D5814" s="29"/>
      <c r="E5814" s="20"/>
      <c r="F5814" s="20"/>
      <c r="AC5814" s="20"/>
      <c r="AG5814" s="29"/>
    </row>
    <row r="5815" spans="2:33">
      <c r="B5815" s="29"/>
      <c r="D5815" s="29"/>
      <c r="E5815" s="20"/>
      <c r="F5815" s="20"/>
      <c r="AC5815" s="20"/>
      <c r="AG5815" s="29"/>
    </row>
    <row r="5816" spans="2:33">
      <c r="B5816" s="29"/>
      <c r="D5816" s="29"/>
      <c r="E5816" s="20"/>
      <c r="F5816" s="20"/>
      <c r="AC5816" s="20"/>
      <c r="AG5816" s="29"/>
    </row>
    <row r="5817" spans="2:33">
      <c r="B5817" s="29"/>
      <c r="D5817" s="29"/>
      <c r="E5817" s="20"/>
      <c r="F5817" s="20"/>
      <c r="AC5817" s="20"/>
      <c r="AG5817" s="29"/>
    </row>
    <row r="5818" spans="2:33">
      <c r="B5818" s="29"/>
      <c r="D5818" s="29"/>
      <c r="E5818" s="20"/>
      <c r="F5818" s="20"/>
      <c r="AC5818" s="20"/>
      <c r="AG5818" s="29"/>
    </row>
    <row r="5819" spans="2:33">
      <c r="B5819" s="29"/>
      <c r="D5819" s="29"/>
      <c r="E5819" s="20"/>
      <c r="F5819" s="20"/>
      <c r="AC5819" s="20"/>
      <c r="AG5819" s="29"/>
    </row>
    <row r="5820" spans="2:33">
      <c r="B5820" s="29"/>
      <c r="D5820" s="29"/>
      <c r="E5820" s="20"/>
      <c r="F5820" s="20"/>
      <c r="AC5820" s="20"/>
      <c r="AG5820" s="29"/>
    </row>
    <row r="5821" spans="2:33">
      <c r="B5821" s="29"/>
      <c r="D5821" s="29"/>
      <c r="E5821" s="20"/>
      <c r="F5821" s="20"/>
      <c r="AC5821" s="20"/>
      <c r="AG5821" s="29"/>
    </row>
    <row r="5822" spans="2:33">
      <c r="B5822" s="29"/>
      <c r="D5822" s="29"/>
      <c r="E5822" s="20"/>
      <c r="F5822" s="20"/>
      <c r="AC5822" s="20"/>
      <c r="AG5822" s="29"/>
    </row>
    <row r="5823" spans="2:33">
      <c r="B5823" s="29"/>
      <c r="D5823" s="29"/>
      <c r="E5823" s="20"/>
      <c r="F5823" s="20"/>
      <c r="AC5823" s="20"/>
      <c r="AG5823" s="29"/>
    </row>
    <row r="5824" spans="2:33">
      <c r="B5824" s="29"/>
      <c r="D5824" s="29"/>
      <c r="E5824" s="20"/>
      <c r="F5824" s="20"/>
      <c r="AC5824" s="20"/>
      <c r="AG5824" s="29"/>
    </row>
    <row r="5825" spans="2:33">
      <c r="B5825" s="29"/>
      <c r="D5825" s="29"/>
      <c r="E5825" s="20"/>
      <c r="F5825" s="20"/>
      <c r="AC5825" s="20"/>
      <c r="AG5825" s="29"/>
    </row>
    <row r="5826" spans="2:33">
      <c r="B5826" s="29"/>
      <c r="D5826" s="29"/>
      <c r="E5826" s="20"/>
      <c r="F5826" s="20"/>
      <c r="AC5826" s="20"/>
      <c r="AG5826" s="29"/>
    </row>
    <row r="5827" spans="2:33">
      <c r="B5827" s="29"/>
      <c r="D5827" s="29"/>
      <c r="E5827" s="20"/>
      <c r="F5827" s="20"/>
      <c r="AC5827" s="20"/>
      <c r="AG5827" s="29"/>
    </row>
    <row r="5828" spans="2:33">
      <c r="B5828" s="29"/>
      <c r="D5828" s="29"/>
      <c r="E5828" s="20"/>
      <c r="F5828" s="20"/>
      <c r="AC5828" s="20"/>
      <c r="AG5828" s="29"/>
    </row>
    <row r="5829" spans="2:33">
      <c r="B5829" s="29"/>
      <c r="D5829" s="29"/>
      <c r="E5829" s="20"/>
      <c r="F5829" s="20"/>
      <c r="AC5829" s="20"/>
      <c r="AG5829" s="29"/>
    </row>
    <row r="5830" spans="2:33">
      <c r="B5830" s="29"/>
      <c r="D5830" s="29"/>
      <c r="E5830" s="20"/>
      <c r="F5830" s="20"/>
      <c r="AC5830" s="20"/>
      <c r="AG5830" s="29"/>
    </row>
    <row r="5831" spans="2:33">
      <c r="B5831" s="29"/>
      <c r="D5831" s="29"/>
      <c r="E5831" s="20"/>
      <c r="F5831" s="20"/>
      <c r="AC5831" s="20"/>
      <c r="AG5831" s="29"/>
    </row>
    <row r="5832" spans="2:33">
      <c r="B5832" s="29"/>
      <c r="D5832" s="29"/>
      <c r="E5832" s="20"/>
      <c r="F5832" s="20"/>
      <c r="AC5832" s="20"/>
      <c r="AG5832" s="29"/>
    </row>
    <row r="5833" spans="2:33">
      <c r="B5833" s="29"/>
      <c r="D5833" s="29"/>
      <c r="E5833" s="20"/>
      <c r="F5833" s="20"/>
      <c r="AC5833" s="20"/>
      <c r="AG5833" s="29"/>
    </row>
    <row r="5834" spans="2:33">
      <c r="B5834" s="29"/>
      <c r="D5834" s="29"/>
      <c r="E5834" s="20"/>
      <c r="F5834" s="20"/>
      <c r="AC5834" s="20"/>
      <c r="AG5834" s="29"/>
    </row>
    <row r="5835" spans="2:33">
      <c r="B5835" s="29"/>
      <c r="D5835" s="29"/>
      <c r="E5835" s="20"/>
      <c r="F5835" s="20"/>
      <c r="AC5835" s="20"/>
      <c r="AG5835" s="29"/>
    </row>
    <row r="5836" spans="2:33">
      <c r="B5836" s="29"/>
      <c r="D5836" s="29"/>
      <c r="E5836" s="20"/>
      <c r="F5836" s="20"/>
      <c r="AC5836" s="20"/>
      <c r="AG5836" s="29"/>
    </row>
    <row r="5837" spans="2:33">
      <c r="B5837" s="29"/>
      <c r="D5837" s="29"/>
      <c r="E5837" s="20"/>
      <c r="F5837" s="20"/>
      <c r="AC5837" s="20"/>
      <c r="AG5837" s="29"/>
    </row>
    <row r="5838" spans="2:33">
      <c r="B5838" s="29"/>
      <c r="D5838" s="29"/>
      <c r="E5838" s="20"/>
      <c r="F5838" s="20"/>
      <c r="AC5838" s="20"/>
      <c r="AG5838" s="29"/>
    </row>
    <row r="5839" spans="2:33">
      <c r="B5839" s="29"/>
      <c r="D5839" s="29"/>
      <c r="E5839" s="20"/>
      <c r="F5839" s="20"/>
      <c r="AC5839" s="20"/>
      <c r="AG5839" s="29"/>
    </row>
    <row r="5840" spans="2:33">
      <c r="B5840" s="29"/>
      <c r="D5840" s="29"/>
      <c r="E5840" s="20"/>
      <c r="F5840" s="20"/>
      <c r="AC5840" s="20"/>
      <c r="AG5840" s="29"/>
    </row>
    <row r="5841" spans="2:33">
      <c r="B5841" s="29"/>
      <c r="D5841" s="29"/>
      <c r="E5841" s="20"/>
      <c r="F5841" s="20"/>
      <c r="AC5841" s="20"/>
      <c r="AG5841" s="29"/>
    </row>
    <row r="5842" spans="2:33">
      <c r="B5842" s="29"/>
      <c r="D5842" s="29"/>
      <c r="E5842" s="20"/>
      <c r="F5842" s="20"/>
      <c r="AC5842" s="20"/>
      <c r="AG5842" s="29"/>
    </row>
    <row r="5843" spans="2:33">
      <c r="B5843" s="29"/>
      <c r="D5843" s="29"/>
      <c r="E5843" s="20"/>
      <c r="F5843" s="20"/>
      <c r="AC5843" s="20"/>
      <c r="AG5843" s="29"/>
    </row>
    <row r="5844" spans="2:33">
      <c r="B5844" s="29"/>
      <c r="D5844" s="29"/>
      <c r="E5844" s="20"/>
      <c r="F5844" s="20"/>
      <c r="AC5844" s="20"/>
      <c r="AG5844" s="29"/>
    </row>
    <row r="5845" spans="2:33">
      <c r="B5845" s="29"/>
      <c r="D5845" s="29"/>
      <c r="E5845" s="20"/>
      <c r="F5845" s="20"/>
      <c r="AC5845" s="20"/>
      <c r="AG5845" s="29"/>
    </row>
    <row r="5846" spans="2:33">
      <c r="B5846" s="29"/>
      <c r="D5846" s="29"/>
      <c r="E5846" s="20"/>
      <c r="F5846" s="20"/>
      <c r="AC5846" s="20"/>
      <c r="AG5846" s="29"/>
    </row>
    <row r="5847" spans="2:33">
      <c r="B5847" s="29"/>
      <c r="D5847" s="29"/>
      <c r="E5847" s="20"/>
      <c r="F5847" s="20"/>
      <c r="AC5847" s="20"/>
      <c r="AG5847" s="29"/>
    </row>
    <row r="5848" spans="2:33">
      <c r="B5848" s="29"/>
      <c r="D5848" s="29"/>
      <c r="E5848" s="20"/>
      <c r="F5848" s="20"/>
      <c r="AC5848" s="20"/>
      <c r="AG5848" s="29"/>
    </row>
    <row r="5849" spans="2:33">
      <c r="B5849" s="29"/>
      <c r="D5849" s="29"/>
      <c r="E5849" s="20"/>
      <c r="F5849" s="20"/>
      <c r="AC5849" s="20"/>
      <c r="AG5849" s="29"/>
    </row>
    <row r="5850" spans="2:33">
      <c r="B5850" s="29"/>
      <c r="D5850" s="29"/>
      <c r="E5850" s="20"/>
      <c r="F5850" s="20"/>
      <c r="AC5850" s="20"/>
      <c r="AG5850" s="29"/>
    </row>
    <row r="5851" spans="2:33">
      <c r="B5851" s="29"/>
      <c r="D5851" s="29"/>
      <c r="E5851" s="20"/>
      <c r="F5851" s="20"/>
      <c r="AC5851" s="20"/>
      <c r="AG5851" s="29"/>
    </row>
    <row r="5852" spans="2:33">
      <c r="B5852" s="29"/>
      <c r="D5852" s="29"/>
      <c r="E5852" s="20"/>
      <c r="F5852" s="20"/>
      <c r="AC5852" s="20"/>
      <c r="AG5852" s="29"/>
    </row>
    <row r="5853" spans="2:33">
      <c r="B5853" s="29"/>
      <c r="D5853" s="29"/>
      <c r="E5853" s="20"/>
      <c r="F5853" s="20"/>
      <c r="AC5853" s="20"/>
      <c r="AG5853" s="29"/>
    </row>
    <row r="5854" spans="2:33">
      <c r="B5854" s="29"/>
      <c r="D5854" s="29"/>
      <c r="E5854" s="20"/>
      <c r="F5854" s="20"/>
      <c r="AC5854" s="20"/>
      <c r="AG5854" s="29"/>
    </row>
    <row r="5855" spans="2:33">
      <c r="B5855" s="29"/>
      <c r="D5855" s="29"/>
      <c r="E5855" s="20"/>
      <c r="F5855" s="20"/>
      <c r="AC5855" s="20"/>
      <c r="AG5855" s="29"/>
    </row>
    <row r="5856" spans="2:33">
      <c r="B5856" s="29"/>
      <c r="D5856" s="29"/>
      <c r="E5856" s="20"/>
      <c r="F5856" s="20"/>
      <c r="AC5856" s="20"/>
      <c r="AG5856" s="29"/>
    </row>
    <row r="5857" spans="2:33">
      <c r="B5857" s="29"/>
      <c r="D5857" s="29"/>
      <c r="E5857" s="20"/>
      <c r="F5857" s="20"/>
      <c r="AC5857" s="20"/>
      <c r="AG5857" s="29"/>
    </row>
    <row r="5858" spans="2:33">
      <c r="B5858" s="29"/>
      <c r="D5858" s="29"/>
      <c r="E5858" s="20"/>
      <c r="F5858" s="20"/>
      <c r="AC5858" s="20"/>
      <c r="AG5858" s="29"/>
    </row>
    <row r="5859" spans="2:33">
      <c r="B5859" s="29"/>
      <c r="D5859" s="29"/>
      <c r="E5859" s="20"/>
      <c r="F5859" s="20"/>
      <c r="AC5859" s="20"/>
      <c r="AG5859" s="29"/>
    </row>
    <row r="5860" spans="2:33">
      <c r="B5860" s="29"/>
      <c r="D5860" s="29"/>
      <c r="E5860" s="20"/>
      <c r="F5860" s="20"/>
      <c r="AC5860" s="20"/>
      <c r="AG5860" s="29"/>
    </row>
    <row r="5861" spans="2:33">
      <c r="B5861" s="29"/>
      <c r="D5861" s="29"/>
      <c r="E5861" s="20"/>
      <c r="F5861" s="20"/>
      <c r="AC5861" s="20"/>
      <c r="AG5861" s="29"/>
    </row>
    <row r="5862" spans="2:33">
      <c r="B5862" s="29"/>
      <c r="D5862" s="29"/>
      <c r="E5862" s="20"/>
      <c r="F5862" s="20"/>
      <c r="AC5862" s="20"/>
      <c r="AG5862" s="29"/>
    </row>
    <row r="5863" spans="2:33">
      <c r="B5863" s="29"/>
      <c r="D5863" s="29"/>
      <c r="E5863" s="20"/>
      <c r="F5863" s="20"/>
      <c r="AC5863" s="20"/>
      <c r="AG5863" s="29"/>
    </row>
    <row r="5864" spans="2:33">
      <c r="B5864" s="29"/>
      <c r="D5864" s="29"/>
      <c r="E5864" s="20"/>
      <c r="F5864" s="20"/>
      <c r="AC5864" s="20"/>
      <c r="AG5864" s="29"/>
    </row>
    <row r="5865" spans="2:33">
      <c r="B5865" s="29"/>
      <c r="D5865" s="29"/>
      <c r="E5865" s="20"/>
      <c r="F5865" s="20"/>
      <c r="AC5865" s="20"/>
      <c r="AG5865" s="29"/>
    </row>
    <row r="5866" spans="2:33">
      <c r="B5866" s="29"/>
      <c r="D5866" s="29"/>
      <c r="E5866" s="20"/>
      <c r="F5866" s="20"/>
      <c r="AC5866" s="20"/>
      <c r="AG5866" s="29"/>
    </row>
    <row r="5867" spans="2:33">
      <c r="B5867" s="29"/>
      <c r="D5867" s="29"/>
      <c r="E5867" s="20"/>
      <c r="F5867" s="20"/>
      <c r="AC5867" s="20"/>
      <c r="AG5867" s="29"/>
    </row>
    <row r="5868" spans="2:33">
      <c r="B5868" s="29"/>
      <c r="D5868" s="29"/>
      <c r="E5868" s="20"/>
      <c r="F5868" s="20"/>
      <c r="AC5868" s="20"/>
      <c r="AG5868" s="29"/>
    </row>
    <row r="5869" spans="2:33">
      <c r="B5869" s="29"/>
      <c r="D5869" s="29"/>
      <c r="E5869" s="20"/>
      <c r="F5869" s="20"/>
      <c r="AC5869" s="20"/>
      <c r="AG5869" s="29"/>
    </row>
    <row r="5870" spans="2:33">
      <c r="B5870" s="29"/>
      <c r="D5870" s="29"/>
      <c r="E5870" s="20"/>
      <c r="F5870" s="20"/>
      <c r="AC5870" s="20"/>
      <c r="AG5870" s="29"/>
    </row>
    <row r="5871" spans="2:33">
      <c r="B5871" s="29"/>
      <c r="D5871" s="29"/>
      <c r="E5871" s="20"/>
      <c r="F5871" s="20"/>
      <c r="AC5871" s="20"/>
      <c r="AG5871" s="29"/>
    </row>
    <row r="5872" spans="2:33">
      <c r="B5872" s="29"/>
      <c r="D5872" s="29"/>
      <c r="E5872" s="20"/>
      <c r="F5872" s="20"/>
      <c r="AC5872" s="20"/>
      <c r="AG5872" s="29"/>
    </row>
    <row r="5873" spans="2:33">
      <c r="B5873" s="29"/>
      <c r="D5873" s="29"/>
      <c r="E5873" s="20"/>
      <c r="F5873" s="20"/>
      <c r="AC5873" s="20"/>
      <c r="AG5873" s="29"/>
    </row>
    <row r="5874" spans="2:33">
      <c r="B5874" s="29"/>
      <c r="D5874" s="29"/>
      <c r="E5874" s="20"/>
      <c r="F5874" s="20"/>
      <c r="AC5874" s="20"/>
      <c r="AG5874" s="29"/>
    </row>
    <row r="5875" spans="2:33">
      <c r="B5875" s="29"/>
      <c r="D5875" s="29"/>
      <c r="E5875" s="20"/>
      <c r="F5875" s="20"/>
      <c r="AC5875" s="20"/>
      <c r="AG5875" s="29"/>
    </row>
    <row r="5876" spans="2:33">
      <c r="B5876" s="29"/>
      <c r="D5876" s="29"/>
      <c r="E5876" s="20"/>
      <c r="F5876" s="20"/>
      <c r="AC5876" s="20"/>
      <c r="AG5876" s="29"/>
    </row>
    <row r="5877" spans="2:33">
      <c r="B5877" s="29"/>
      <c r="D5877" s="29"/>
      <c r="E5877" s="20"/>
      <c r="F5877" s="20"/>
      <c r="AC5877" s="20"/>
      <c r="AG5877" s="29"/>
    </row>
    <row r="5878" spans="2:33">
      <c r="B5878" s="29"/>
      <c r="D5878" s="29"/>
      <c r="E5878" s="20"/>
      <c r="F5878" s="20"/>
      <c r="AC5878" s="20"/>
      <c r="AG5878" s="29"/>
    </row>
    <row r="5879" spans="2:33">
      <c r="B5879" s="29"/>
      <c r="D5879" s="29"/>
      <c r="E5879" s="20"/>
      <c r="F5879" s="20"/>
      <c r="AC5879" s="20"/>
      <c r="AG5879" s="29"/>
    </row>
    <row r="5880" spans="2:33">
      <c r="B5880" s="29"/>
      <c r="D5880" s="29"/>
      <c r="E5880" s="20"/>
      <c r="F5880" s="20"/>
      <c r="AC5880" s="20"/>
      <c r="AG5880" s="29"/>
    </row>
    <row r="5881" spans="2:33">
      <c r="B5881" s="29"/>
      <c r="D5881" s="29"/>
      <c r="E5881" s="20"/>
      <c r="F5881" s="20"/>
      <c r="AC5881" s="20"/>
      <c r="AG5881" s="29"/>
    </row>
    <row r="5882" spans="2:33">
      <c r="B5882" s="29"/>
      <c r="D5882" s="29"/>
      <c r="E5882" s="20"/>
      <c r="F5882" s="20"/>
      <c r="AC5882" s="20"/>
      <c r="AG5882" s="29"/>
    </row>
    <row r="5883" spans="2:33">
      <c r="B5883" s="29"/>
      <c r="D5883" s="29"/>
      <c r="E5883" s="20"/>
      <c r="F5883" s="20"/>
      <c r="AC5883" s="20"/>
      <c r="AG5883" s="29"/>
    </row>
    <row r="5884" spans="2:33">
      <c r="B5884" s="29"/>
      <c r="D5884" s="29"/>
      <c r="E5884" s="20"/>
      <c r="F5884" s="20"/>
      <c r="AC5884" s="20"/>
      <c r="AG5884" s="29"/>
    </row>
    <row r="5885" spans="2:33">
      <c r="B5885" s="29"/>
      <c r="D5885" s="29"/>
      <c r="E5885" s="20"/>
      <c r="F5885" s="20"/>
      <c r="AC5885" s="20"/>
      <c r="AG5885" s="29"/>
    </row>
    <row r="5886" spans="2:33">
      <c r="B5886" s="29"/>
      <c r="D5886" s="29"/>
      <c r="E5886" s="20"/>
      <c r="F5886" s="20"/>
      <c r="AC5886" s="20"/>
      <c r="AG5886" s="29"/>
    </row>
    <row r="5887" spans="2:33">
      <c r="B5887" s="29"/>
      <c r="D5887" s="29"/>
      <c r="E5887" s="20"/>
      <c r="F5887" s="20"/>
      <c r="AC5887" s="20"/>
      <c r="AG5887" s="29"/>
    </row>
    <row r="5888" spans="2:33">
      <c r="B5888" s="29"/>
      <c r="D5888" s="29"/>
      <c r="E5888" s="20"/>
      <c r="F5888" s="20"/>
      <c r="AC5888" s="20"/>
      <c r="AG5888" s="29"/>
    </row>
    <row r="5889" spans="2:33">
      <c r="B5889" s="29"/>
      <c r="D5889" s="29"/>
      <c r="E5889" s="20"/>
      <c r="F5889" s="20"/>
      <c r="AC5889" s="20"/>
      <c r="AG5889" s="29"/>
    </row>
    <row r="5890" spans="2:33">
      <c r="B5890" s="29"/>
      <c r="D5890" s="29"/>
      <c r="E5890" s="20"/>
      <c r="F5890" s="20"/>
      <c r="AC5890" s="20"/>
      <c r="AG5890" s="29"/>
    </row>
    <row r="5891" spans="2:33">
      <c r="B5891" s="29"/>
      <c r="D5891" s="29"/>
      <c r="E5891" s="20"/>
      <c r="F5891" s="20"/>
      <c r="AC5891" s="20"/>
      <c r="AG5891" s="29"/>
    </row>
    <row r="5892" spans="2:33">
      <c r="B5892" s="29"/>
      <c r="D5892" s="29"/>
      <c r="E5892" s="20"/>
      <c r="F5892" s="20"/>
      <c r="AC5892" s="20"/>
      <c r="AG5892" s="29"/>
    </row>
    <row r="5893" spans="2:33">
      <c r="B5893" s="29"/>
      <c r="D5893" s="29"/>
      <c r="E5893" s="20"/>
      <c r="F5893" s="20"/>
      <c r="AC5893" s="20"/>
      <c r="AG5893" s="29"/>
    </row>
    <row r="5894" spans="2:33">
      <c r="B5894" s="29"/>
      <c r="D5894" s="29"/>
      <c r="E5894" s="20"/>
      <c r="F5894" s="20"/>
      <c r="AC5894" s="20"/>
      <c r="AG5894" s="29"/>
    </row>
    <row r="5895" spans="2:33">
      <c r="B5895" s="29"/>
      <c r="D5895" s="29"/>
      <c r="E5895" s="20"/>
      <c r="F5895" s="20"/>
      <c r="AC5895" s="20"/>
      <c r="AG5895" s="29"/>
    </row>
    <row r="5896" spans="2:33">
      <c r="B5896" s="29"/>
      <c r="D5896" s="29"/>
      <c r="E5896" s="20"/>
      <c r="F5896" s="20"/>
      <c r="AC5896" s="20"/>
      <c r="AG5896" s="29"/>
    </row>
    <row r="5897" spans="2:33">
      <c r="B5897" s="29"/>
      <c r="D5897" s="29"/>
      <c r="E5897" s="20"/>
      <c r="F5897" s="20"/>
      <c r="AC5897" s="20"/>
      <c r="AG5897" s="29"/>
    </row>
    <row r="5898" spans="2:33">
      <c r="B5898" s="29"/>
      <c r="D5898" s="29"/>
      <c r="E5898" s="20"/>
      <c r="F5898" s="20"/>
      <c r="AC5898" s="20"/>
      <c r="AG5898" s="29"/>
    </row>
    <row r="5899" spans="2:33">
      <c r="B5899" s="29"/>
      <c r="D5899" s="29"/>
      <c r="E5899" s="20"/>
      <c r="F5899" s="20"/>
      <c r="AC5899" s="20"/>
      <c r="AG5899" s="29"/>
    </row>
    <row r="5900" spans="2:33">
      <c r="B5900" s="29"/>
      <c r="D5900" s="29"/>
      <c r="E5900" s="20"/>
      <c r="F5900" s="20"/>
      <c r="AC5900" s="20"/>
      <c r="AG5900" s="29"/>
    </row>
    <row r="5901" spans="2:33">
      <c r="B5901" s="29"/>
      <c r="D5901" s="29"/>
      <c r="E5901" s="20"/>
      <c r="F5901" s="20"/>
      <c r="AC5901" s="20"/>
      <c r="AG5901" s="29"/>
    </row>
    <row r="5902" spans="2:33">
      <c r="B5902" s="29"/>
      <c r="D5902" s="29"/>
      <c r="E5902" s="20"/>
      <c r="F5902" s="20"/>
      <c r="AC5902" s="20"/>
      <c r="AG5902" s="29"/>
    </row>
    <row r="5903" spans="2:33">
      <c r="B5903" s="29"/>
      <c r="D5903" s="29"/>
      <c r="E5903" s="20"/>
      <c r="F5903" s="20"/>
      <c r="AC5903" s="20"/>
      <c r="AG5903" s="29"/>
    </row>
    <row r="5904" spans="2:33">
      <c r="B5904" s="29"/>
      <c r="D5904" s="29"/>
      <c r="E5904" s="20"/>
      <c r="F5904" s="20"/>
      <c r="AC5904" s="20"/>
      <c r="AG5904" s="29"/>
    </row>
    <row r="5905" spans="2:33">
      <c r="B5905" s="29"/>
      <c r="D5905" s="29"/>
      <c r="E5905" s="20"/>
      <c r="F5905" s="20"/>
      <c r="AC5905" s="20"/>
      <c r="AG5905" s="29"/>
    </row>
    <row r="5906" spans="2:33">
      <c r="B5906" s="29"/>
      <c r="D5906" s="29"/>
      <c r="E5906" s="20"/>
      <c r="F5906" s="20"/>
      <c r="AC5906" s="20"/>
      <c r="AG5906" s="29"/>
    </row>
    <row r="5907" spans="2:33">
      <c r="B5907" s="29"/>
      <c r="D5907" s="29"/>
      <c r="E5907" s="20"/>
      <c r="F5907" s="20"/>
      <c r="AC5907" s="20"/>
      <c r="AG5907" s="29"/>
    </row>
    <row r="5908" spans="2:33">
      <c r="B5908" s="29"/>
      <c r="D5908" s="29"/>
      <c r="E5908" s="20"/>
      <c r="F5908" s="20"/>
      <c r="AC5908" s="20"/>
      <c r="AG5908" s="29"/>
    </row>
    <row r="5909" spans="2:33">
      <c r="B5909" s="29"/>
      <c r="D5909" s="29"/>
      <c r="E5909" s="20"/>
      <c r="F5909" s="20"/>
      <c r="AC5909" s="20"/>
      <c r="AG5909" s="29"/>
    </row>
    <row r="5910" spans="2:33">
      <c r="B5910" s="29"/>
      <c r="D5910" s="29"/>
      <c r="E5910" s="20"/>
      <c r="F5910" s="20"/>
      <c r="AC5910" s="20"/>
      <c r="AG5910" s="29"/>
    </row>
    <row r="5911" spans="2:33">
      <c r="B5911" s="29"/>
      <c r="D5911" s="29"/>
      <c r="E5911" s="20"/>
      <c r="F5911" s="20"/>
      <c r="AC5911" s="20"/>
      <c r="AG5911" s="29"/>
    </row>
    <row r="5912" spans="2:33">
      <c r="B5912" s="29"/>
      <c r="D5912" s="29"/>
      <c r="E5912" s="20"/>
      <c r="F5912" s="20"/>
      <c r="AC5912" s="20"/>
      <c r="AG5912" s="29"/>
    </row>
    <row r="5913" spans="2:33">
      <c r="B5913" s="29"/>
      <c r="D5913" s="29"/>
      <c r="E5913" s="20"/>
      <c r="F5913" s="20"/>
      <c r="AC5913" s="20"/>
      <c r="AG5913" s="29"/>
    </row>
    <row r="5914" spans="2:33">
      <c r="B5914" s="29"/>
      <c r="D5914" s="29"/>
      <c r="E5914" s="20"/>
      <c r="F5914" s="20"/>
      <c r="AC5914" s="20"/>
      <c r="AG5914" s="29"/>
    </row>
    <row r="5915" spans="2:33">
      <c r="B5915" s="29"/>
      <c r="D5915" s="29"/>
      <c r="E5915" s="20"/>
      <c r="F5915" s="20"/>
      <c r="AC5915" s="20"/>
      <c r="AG5915" s="29"/>
    </row>
    <row r="5916" spans="2:33">
      <c r="B5916" s="29"/>
      <c r="D5916" s="29"/>
      <c r="E5916" s="20"/>
      <c r="F5916" s="20"/>
      <c r="AC5916" s="20"/>
      <c r="AG5916" s="29"/>
    </row>
    <row r="5917" spans="2:33">
      <c r="B5917" s="29"/>
      <c r="D5917" s="29"/>
      <c r="E5917" s="20"/>
      <c r="F5917" s="20"/>
      <c r="AC5917" s="20"/>
      <c r="AG5917" s="29"/>
    </row>
    <row r="5918" spans="2:33">
      <c r="B5918" s="29"/>
      <c r="D5918" s="29"/>
      <c r="E5918" s="20"/>
      <c r="F5918" s="20"/>
      <c r="AC5918" s="20"/>
      <c r="AG5918" s="29"/>
    </row>
    <row r="5919" spans="2:33">
      <c r="B5919" s="29"/>
      <c r="D5919" s="29"/>
      <c r="E5919" s="20"/>
      <c r="F5919" s="20"/>
      <c r="AC5919" s="20"/>
      <c r="AG5919" s="29"/>
    </row>
    <row r="5920" spans="2:33">
      <c r="B5920" s="29"/>
      <c r="D5920" s="29"/>
      <c r="E5920" s="20"/>
      <c r="F5920" s="20"/>
      <c r="AC5920" s="20"/>
      <c r="AG5920" s="29"/>
    </row>
    <row r="5921" spans="2:33">
      <c r="B5921" s="29"/>
      <c r="D5921" s="29"/>
      <c r="E5921" s="20"/>
      <c r="F5921" s="20"/>
      <c r="AC5921" s="20"/>
      <c r="AG5921" s="29"/>
    </row>
    <row r="5922" spans="2:33">
      <c r="B5922" s="29"/>
      <c r="D5922" s="29"/>
      <c r="E5922" s="20"/>
      <c r="F5922" s="20"/>
      <c r="AC5922" s="20"/>
      <c r="AG5922" s="29"/>
    </row>
    <row r="5923" spans="2:33">
      <c r="B5923" s="29"/>
      <c r="D5923" s="29"/>
      <c r="E5923" s="20"/>
      <c r="F5923" s="20"/>
      <c r="AC5923" s="20"/>
      <c r="AG5923" s="29"/>
    </row>
    <row r="5924" spans="2:33">
      <c r="B5924" s="29"/>
      <c r="D5924" s="29"/>
      <c r="E5924" s="20"/>
      <c r="F5924" s="20"/>
      <c r="AC5924" s="20"/>
      <c r="AG5924" s="29"/>
    </row>
    <row r="5925" spans="2:33">
      <c r="B5925" s="29"/>
      <c r="D5925" s="29"/>
      <c r="E5925" s="20"/>
      <c r="F5925" s="20"/>
      <c r="AC5925" s="20"/>
      <c r="AG5925" s="29"/>
    </row>
    <row r="5926" spans="2:33">
      <c r="B5926" s="29"/>
      <c r="D5926" s="29"/>
      <c r="E5926" s="20"/>
      <c r="F5926" s="20"/>
      <c r="AC5926" s="20"/>
      <c r="AG5926" s="29"/>
    </row>
    <row r="5927" spans="2:33">
      <c r="B5927" s="29"/>
      <c r="D5927" s="29"/>
      <c r="E5927" s="20"/>
      <c r="F5927" s="20"/>
      <c r="AC5927" s="20"/>
      <c r="AG5927" s="29"/>
    </row>
    <row r="5928" spans="2:33">
      <c r="B5928" s="29"/>
      <c r="D5928" s="29"/>
      <c r="E5928" s="20"/>
      <c r="F5928" s="20"/>
      <c r="AC5928" s="20"/>
      <c r="AG5928" s="29"/>
    </row>
    <row r="5929" spans="2:33">
      <c r="B5929" s="29"/>
      <c r="D5929" s="29"/>
      <c r="E5929" s="20"/>
      <c r="F5929" s="20"/>
      <c r="AC5929" s="20"/>
      <c r="AG5929" s="29"/>
    </row>
    <row r="5930" spans="2:33">
      <c r="B5930" s="29"/>
      <c r="D5930" s="29"/>
      <c r="E5930" s="20"/>
      <c r="F5930" s="20"/>
      <c r="AC5930" s="20"/>
      <c r="AG5930" s="29"/>
    </row>
    <row r="5931" spans="2:33">
      <c r="B5931" s="29"/>
      <c r="D5931" s="29"/>
      <c r="E5931" s="20"/>
      <c r="F5931" s="20"/>
      <c r="AC5931" s="20"/>
      <c r="AG5931" s="29"/>
    </row>
    <row r="5932" spans="2:33">
      <c r="B5932" s="29"/>
      <c r="D5932" s="29"/>
      <c r="E5932" s="20"/>
      <c r="F5932" s="20"/>
      <c r="AC5932" s="20"/>
      <c r="AG5932" s="29"/>
    </row>
    <row r="5933" spans="2:33">
      <c r="B5933" s="29"/>
      <c r="D5933" s="29"/>
      <c r="E5933" s="20"/>
      <c r="F5933" s="20"/>
      <c r="AC5933" s="20"/>
      <c r="AG5933" s="29"/>
    </row>
    <row r="5934" spans="2:33">
      <c r="B5934" s="29"/>
      <c r="D5934" s="29"/>
      <c r="E5934" s="20"/>
      <c r="F5934" s="20"/>
      <c r="AC5934" s="20"/>
      <c r="AG5934" s="29"/>
    </row>
    <row r="5935" spans="2:33">
      <c r="B5935" s="29"/>
      <c r="D5935" s="29"/>
      <c r="E5935" s="20"/>
      <c r="F5935" s="20"/>
      <c r="AC5935" s="20"/>
      <c r="AG5935" s="29"/>
    </row>
    <row r="5936" spans="2:33">
      <c r="B5936" s="29"/>
      <c r="D5936" s="29"/>
      <c r="E5936" s="20"/>
      <c r="F5936" s="20"/>
      <c r="AC5936" s="20"/>
      <c r="AG5936" s="29"/>
    </row>
    <row r="5937" spans="2:33">
      <c r="B5937" s="29"/>
      <c r="D5937" s="29"/>
      <c r="E5937" s="20"/>
      <c r="F5937" s="20"/>
      <c r="AC5937" s="20"/>
      <c r="AG5937" s="29"/>
    </row>
    <row r="5938" spans="2:33">
      <c r="B5938" s="29"/>
      <c r="D5938" s="29"/>
      <c r="E5938" s="20"/>
      <c r="F5938" s="20"/>
      <c r="AC5938" s="20"/>
      <c r="AG5938" s="29"/>
    </row>
    <row r="5939" spans="2:33">
      <c r="B5939" s="29"/>
      <c r="D5939" s="29"/>
      <c r="E5939" s="20"/>
      <c r="F5939" s="20"/>
      <c r="AC5939" s="20"/>
      <c r="AG5939" s="29"/>
    </row>
    <row r="5940" spans="2:33">
      <c r="B5940" s="29"/>
      <c r="D5940" s="29"/>
      <c r="E5940" s="20"/>
      <c r="F5940" s="20"/>
      <c r="AC5940" s="20"/>
      <c r="AG5940" s="29"/>
    </row>
    <row r="5941" spans="2:33">
      <c r="B5941" s="29"/>
      <c r="D5941" s="29"/>
      <c r="E5941" s="20"/>
      <c r="F5941" s="20"/>
      <c r="AC5941" s="20"/>
      <c r="AG5941" s="29"/>
    </row>
    <row r="5942" spans="2:33">
      <c r="B5942" s="29"/>
      <c r="D5942" s="29"/>
      <c r="E5942" s="20"/>
      <c r="F5942" s="20"/>
      <c r="AC5942" s="20"/>
      <c r="AG5942" s="29"/>
    </row>
    <row r="5943" spans="2:33">
      <c r="B5943" s="29"/>
      <c r="D5943" s="29"/>
      <c r="E5943" s="20"/>
      <c r="F5943" s="20"/>
      <c r="AC5943" s="20"/>
      <c r="AG5943" s="29"/>
    </row>
    <row r="5944" spans="2:33">
      <c r="B5944" s="29"/>
      <c r="D5944" s="29"/>
      <c r="E5944" s="20"/>
      <c r="F5944" s="20"/>
      <c r="AC5944" s="20"/>
      <c r="AG5944" s="29"/>
    </row>
    <row r="5945" spans="2:33">
      <c r="B5945" s="29"/>
      <c r="D5945" s="29"/>
      <c r="E5945" s="20"/>
      <c r="F5945" s="20"/>
      <c r="AC5945" s="20"/>
      <c r="AG5945" s="29"/>
    </row>
    <row r="5946" spans="2:33">
      <c r="B5946" s="29"/>
      <c r="D5946" s="29"/>
      <c r="E5946" s="20"/>
      <c r="F5946" s="20"/>
      <c r="AC5946" s="20"/>
      <c r="AG5946" s="29"/>
    </row>
    <row r="5947" spans="2:33">
      <c r="B5947" s="29"/>
      <c r="D5947" s="29"/>
      <c r="E5947" s="20"/>
      <c r="F5947" s="20"/>
      <c r="AC5947" s="20"/>
      <c r="AG5947" s="29"/>
    </row>
    <row r="5948" spans="2:33">
      <c r="B5948" s="29"/>
      <c r="D5948" s="29"/>
      <c r="E5948" s="20"/>
      <c r="F5948" s="20"/>
      <c r="AC5948" s="20"/>
      <c r="AG5948" s="29"/>
    </row>
    <row r="5949" spans="2:33">
      <c r="B5949" s="29"/>
      <c r="D5949" s="29"/>
      <c r="E5949" s="20"/>
      <c r="F5949" s="20"/>
      <c r="AC5949" s="20"/>
      <c r="AG5949" s="29"/>
    </row>
    <row r="5950" spans="2:33">
      <c r="B5950" s="29"/>
      <c r="D5950" s="29"/>
      <c r="E5950" s="20"/>
      <c r="F5950" s="20"/>
      <c r="AC5950" s="20"/>
      <c r="AG5950" s="29"/>
    </row>
    <row r="5951" spans="2:33">
      <c r="B5951" s="29"/>
      <c r="D5951" s="29"/>
      <c r="E5951" s="20"/>
      <c r="F5951" s="20"/>
      <c r="AC5951" s="20"/>
      <c r="AG5951" s="29"/>
    </row>
    <row r="5952" spans="2:33">
      <c r="B5952" s="29"/>
      <c r="D5952" s="29"/>
      <c r="E5952" s="20"/>
      <c r="F5952" s="20"/>
      <c r="AC5952" s="20"/>
      <c r="AG5952" s="29"/>
    </row>
    <row r="5953" spans="2:33">
      <c r="B5953" s="29"/>
      <c r="D5953" s="29"/>
      <c r="E5953" s="20"/>
      <c r="F5953" s="20"/>
      <c r="AC5953" s="20"/>
      <c r="AG5953" s="29"/>
    </row>
    <row r="5954" spans="2:33">
      <c r="B5954" s="29"/>
      <c r="D5954" s="29"/>
      <c r="E5954" s="20"/>
      <c r="F5954" s="20"/>
      <c r="AC5954" s="20"/>
      <c r="AG5954" s="29"/>
    </row>
    <row r="5955" spans="2:33">
      <c r="B5955" s="29"/>
      <c r="D5955" s="29"/>
      <c r="E5955" s="20"/>
      <c r="F5955" s="20"/>
      <c r="AC5955" s="20"/>
      <c r="AG5955" s="29"/>
    </row>
    <row r="5956" spans="2:33">
      <c r="B5956" s="29"/>
      <c r="D5956" s="29"/>
      <c r="E5956" s="20"/>
      <c r="F5956" s="20"/>
      <c r="AC5956" s="20"/>
      <c r="AG5956" s="29"/>
    </row>
    <row r="5957" spans="2:33">
      <c r="B5957" s="29"/>
      <c r="D5957" s="29"/>
      <c r="E5957" s="20"/>
      <c r="F5957" s="20"/>
      <c r="AC5957" s="20"/>
      <c r="AG5957" s="29"/>
    </row>
    <row r="5958" spans="2:33">
      <c r="B5958" s="29"/>
      <c r="D5958" s="29"/>
      <c r="E5958" s="20"/>
      <c r="F5958" s="20"/>
      <c r="AC5958" s="20"/>
      <c r="AG5958" s="29"/>
    </row>
    <row r="5959" spans="2:33">
      <c r="B5959" s="29"/>
      <c r="D5959" s="29"/>
      <c r="E5959" s="20"/>
      <c r="F5959" s="20"/>
      <c r="AC5959" s="20"/>
      <c r="AG5959" s="29"/>
    </row>
    <row r="5960" spans="2:33">
      <c r="B5960" s="29"/>
      <c r="D5960" s="29"/>
      <c r="E5960" s="20"/>
      <c r="F5960" s="20"/>
      <c r="AC5960" s="20"/>
      <c r="AG5960" s="29"/>
    </row>
    <row r="5961" spans="2:33">
      <c r="B5961" s="29"/>
      <c r="D5961" s="29"/>
      <c r="E5961" s="20"/>
      <c r="F5961" s="20"/>
      <c r="AC5961" s="20"/>
      <c r="AG5961" s="29"/>
    </row>
    <row r="5962" spans="2:33">
      <c r="B5962" s="29"/>
      <c r="D5962" s="29"/>
      <c r="E5962" s="20"/>
      <c r="F5962" s="20"/>
      <c r="AC5962" s="20"/>
      <c r="AG5962" s="29"/>
    </row>
    <row r="5963" spans="2:33">
      <c r="B5963" s="29"/>
      <c r="D5963" s="29"/>
      <c r="E5963" s="20"/>
      <c r="F5963" s="20"/>
      <c r="AC5963" s="20"/>
      <c r="AG5963" s="29"/>
    </row>
    <row r="5964" spans="2:33">
      <c r="B5964" s="29"/>
      <c r="D5964" s="29"/>
      <c r="E5964" s="20"/>
      <c r="F5964" s="20"/>
      <c r="AC5964" s="20"/>
      <c r="AG5964" s="29"/>
    </row>
    <row r="5965" spans="2:33">
      <c r="B5965" s="29"/>
      <c r="D5965" s="29"/>
      <c r="E5965" s="20"/>
      <c r="F5965" s="20"/>
      <c r="AC5965" s="20"/>
      <c r="AG5965" s="29"/>
    </row>
    <row r="5966" spans="2:33">
      <c r="B5966" s="29"/>
      <c r="D5966" s="29"/>
      <c r="E5966" s="20"/>
      <c r="F5966" s="20"/>
      <c r="AC5966" s="20"/>
      <c r="AG5966" s="29"/>
    </row>
    <row r="5967" spans="2:33">
      <c r="B5967" s="29"/>
      <c r="D5967" s="29"/>
      <c r="E5967" s="20"/>
      <c r="F5967" s="20"/>
      <c r="AC5967" s="20"/>
      <c r="AG5967" s="29"/>
    </row>
    <row r="5968" spans="2:33">
      <c r="B5968" s="29"/>
      <c r="D5968" s="29"/>
      <c r="E5968" s="20"/>
      <c r="F5968" s="20"/>
      <c r="AC5968" s="20"/>
      <c r="AG5968" s="29"/>
    </row>
    <row r="5969" spans="2:33">
      <c r="B5969" s="29"/>
      <c r="D5969" s="29"/>
      <c r="E5969" s="20"/>
      <c r="F5969" s="20"/>
      <c r="AC5969" s="20"/>
      <c r="AG5969" s="29"/>
    </row>
    <row r="5970" spans="2:33">
      <c r="B5970" s="29"/>
      <c r="D5970" s="29"/>
      <c r="E5970" s="20"/>
      <c r="F5970" s="20"/>
      <c r="AC5970" s="20"/>
      <c r="AG5970" s="29"/>
    </row>
    <row r="5971" spans="2:33">
      <c r="B5971" s="29"/>
      <c r="D5971" s="29"/>
      <c r="E5971" s="20"/>
      <c r="F5971" s="20"/>
      <c r="AC5971" s="20"/>
      <c r="AG5971" s="29"/>
    </row>
    <row r="5972" spans="2:33">
      <c r="B5972" s="29"/>
      <c r="D5972" s="29"/>
      <c r="E5972" s="20"/>
      <c r="F5972" s="20"/>
      <c r="AC5972" s="20"/>
      <c r="AG5972" s="29"/>
    </row>
    <row r="5973" spans="2:33">
      <c r="B5973" s="29"/>
      <c r="D5973" s="29"/>
      <c r="E5973" s="20"/>
      <c r="F5973" s="20"/>
      <c r="AC5973" s="20"/>
      <c r="AG5973" s="29"/>
    </row>
    <row r="5974" spans="2:33">
      <c r="B5974" s="29"/>
      <c r="D5974" s="29"/>
      <c r="E5974" s="20"/>
      <c r="F5974" s="20"/>
      <c r="AC5974" s="20"/>
      <c r="AG5974" s="29"/>
    </row>
    <row r="5975" spans="2:33">
      <c r="B5975" s="29"/>
      <c r="D5975" s="29"/>
      <c r="E5975" s="20"/>
      <c r="F5975" s="20"/>
      <c r="AC5975" s="20"/>
      <c r="AG5975" s="29"/>
    </row>
    <row r="5976" spans="2:33">
      <c r="B5976" s="29"/>
      <c r="D5976" s="29"/>
      <c r="E5976" s="20"/>
      <c r="F5976" s="20"/>
      <c r="AC5976" s="20"/>
      <c r="AG5976" s="29"/>
    </row>
    <row r="5977" spans="2:33">
      <c r="B5977" s="29"/>
      <c r="D5977" s="29"/>
      <c r="E5977" s="20"/>
      <c r="F5977" s="20"/>
      <c r="AC5977" s="20"/>
      <c r="AG5977" s="29"/>
    </row>
    <row r="5978" spans="2:33">
      <c r="B5978" s="29"/>
      <c r="D5978" s="29"/>
      <c r="E5978" s="20"/>
      <c r="F5978" s="20"/>
      <c r="AC5978" s="20"/>
      <c r="AG5978" s="29"/>
    </row>
    <row r="5979" spans="2:33">
      <c r="B5979" s="29"/>
      <c r="D5979" s="29"/>
      <c r="E5979" s="20"/>
      <c r="F5979" s="20"/>
      <c r="AC5979" s="20"/>
      <c r="AG5979" s="29"/>
    </row>
    <row r="5980" spans="2:33">
      <c r="B5980" s="29"/>
      <c r="D5980" s="29"/>
      <c r="E5980" s="20"/>
      <c r="F5980" s="20"/>
      <c r="AC5980" s="20"/>
      <c r="AG5980" s="29"/>
    </row>
    <row r="5981" spans="2:33">
      <c r="B5981" s="29"/>
      <c r="D5981" s="29"/>
      <c r="E5981" s="20"/>
      <c r="F5981" s="20"/>
      <c r="AC5981" s="20"/>
      <c r="AG5981" s="29"/>
    </row>
    <row r="5982" spans="2:33">
      <c r="B5982" s="29"/>
      <c r="D5982" s="29"/>
      <c r="E5982" s="20"/>
      <c r="F5982" s="20"/>
      <c r="AC5982" s="20"/>
      <c r="AG5982" s="29"/>
    </row>
    <row r="5983" spans="2:33">
      <c r="B5983" s="29"/>
      <c r="D5983" s="29"/>
      <c r="E5983" s="20"/>
      <c r="F5983" s="20"/>
      <c r="AC5983" s="20"/>
      <c r="AG5983" s="29"/>
    </row>
    <row r="5984" spans="2:33">
      <c r="B5984" s="29"/>
      <c r="D5984" s="29"/>
      <c r="E5984" s="20"/>
      <c r="F5984" s="20"/>
      <c r="AC5984" s="20"/>
      <c r="AG5984" s="29"/>
    </row>
    <row r="5985" spans="2:33">
      <c r="B5985" s="29"/>
      <c r="D5985" s="29"/>
      <c r="E5985" s="20"/>
      <c r="F5985" s="20"/>
      <c r="AC5985" s="20"/>
      <c r="AG5985" s="29"/>
    </row>
    <row r="5986" spans="2:33">
      <c r="B5986" s="29"/>
      <c r="D5986" s="29"/>
      <c r="E5986" s="20"/>
      <c r="F5986" s="20"/>
      <c r="AC5986" s="20"/>
      <c r="AG5986" s="29"/>
    </row>
    <row r="5987" spans="2:33">
      <c r="B5987" s="29"/>
      <c r="D5987" s="29"/>
      <c r="E5987" s="20"/>
      <c r="F5987" s="20"/>
      <c r="AC5987" s="20"/>
      <c r="AG5987" s="29"/>
    </row>
    <row r="5988" spans="2:33">
      <c r="B5988" s="29"/>
      <c r="D5988" s="29"/>
      <c r="E5988" s="20"/>
      <c r="F5988" s="20"/>
      <c r="AC5988" s="20"/>
      <c r="AG5988" s="29"/>
    </row>
    <row r="5989" spans="2:33">
      <c r="B5989" s="29"/>
      <c r="D5989" s="29"/>
      <c r="E5989" s="20"/>
      <c r="F5989" s="20"/>
      <c r="AC5989" s="20"/>
      <c r="AG5989" s="29"/>
    </row>
    <row r="5990" spans="2:33">
      <c r="B5990" s="29"/>
      <c r="D5990" s="29"/>
      <c r="E5990" s="20"/>
      <c r="F5990" s="20"/>
      <c r="AC5990" s="20"/>
      <c r="AG5990" s="29"/>
    </row>
    <row r="5991" spans="2:33">
      <c r="B5991" s="29"/>
      <c r="D5991" s="29"/>
      <c r="E5991" s="20"/>
      <c r="F5991" s="20"/>
      <c r="AC5991" s="20"/>
      <c r="AG5991" s="29"/>
    </row>
    <row r="5992" spans="2:33">
      <c r="B5992" s="29"/>
      <c r="D5992" s="29"/>
      <c r="E5992" s="20"/>
      <c r="F5992" s="20"/>
      <c r="AC5992" s="20"/>
      <c r="AG5992" s="29"/>
    </row>
    <row r="5993" spans="2:33">
      <c r="B5993" s="29"/>
      <c r="D5993" s="29"/>
      <c r="E5993" s="20"/>
      <c r="F5993" s="20"/>
      <c r="AC5993" s="20"/>
      <c r="AG5993" s="29"/>
    </row>
    <row r="5994" spans="2:33">
      <c r="B5994" s="29"/>
      <c r="D5994" s="29"/>
      <c r="E5994" s="20"/>
      <c r="F5994" s="20"/>
      <c r="AC5994" s="20"/>
      <c r="AG5994" s="29"/>
    </row>
    <row r="5995" spans="2:33">
      <c r="B5995" s="29"/>
      <c r="D5995" s="29"/>
      <c r="E5995" s="20"/>
      <c r="F5995" s="20"/>
      <c r="AC5995" s="20"/>
      <c r="AG5995" s="29"/>
    </row>
    <row r="5996" spans="2:33">
      <c r="B5996" s="29"/>
      <c r="D5996" s="29"/>
      <c r="E5996" s="20"/>
      <c r="F5996" s="20"/>
      <c r="AC5996" s="20"/>
      <c r="AG5996" s="29"/>
    </row>
    <row r="5997" spans="2:33">
      <c r="B5997" s="29"/>
      <c r="D5997" s="29"/>
      <c r="E5997" s="20"/>
      <c r="F5997" s="20"/>
      <c r="AC5997" s="20"/>
      <c r="AG5997" s="29"/>
    </row>
    <row r="5998" spans="2:33">
      <c r="B5998" s="29"/>
      <c r="D5998" s="29"/>
      <c r="E5998" s="20"/>
      <c r="F5998" s="20"/>
      <c r="AC5998" s="20"/>
      <c r="AG5998" s="29"/>
    </row>
    <row r="5999" spans="2:33">
      <c r="B5999" s="29"/>
      <c r="D5999" s="29"/>
      <c r="E5999" s="20"/>
      <c r="F5999" s="20"/>
      <c r="AC5999" s="20"/>
      <c r="AG5999" s="29"/>
    </row>
    <row r="6000" spans="2:33">
      <c r="B6000" s="29"/>
      <c r="D6000" s="29"/>
      <c r="E6000" s="20"/>
      <c r="F6000" s="20"/>
      <c r="AC6000" s="20"/>
      <c r="AG6000" s="29"/>
    </row>
    <row r="6001" spans="2:33">
      <c r="B6001" s="29"/>
      <c r="D6001" s="29"/>
      <c r="E6001" s="20"/>
      <c r="F6001" s="20"/>
      <c r="AC6001" s="20"/>
      <c r="AG6001" s="29"/>
    </row>
    <row r="6002" spans="2:33">
      <c r="B6002" s="29"/>
      <c r="D6002" s="29"/>
      <c r="E6002" s="20"/>
      <c r="F6002" s="20"/>
      <c r="AC6002" s="20"/>
      <c r="AG6002" s="29"/>
    </row>
    <row r="6003" spans="2:33">
      <c r="B6003" s="29"/>
      <c r="D6003" s="29"/>
      <c r="E6003" s="20"/>
      <c r="F6003" s="20"/>
      <c r="AC6003" s="20"/>
      <c r="AG6003" s="29"/>
    </row>
    <row r="6004" spans="2:33">
      <c r="B6004" s="29"/>
      <c r="D6004" s="29"/>
      <c r="E6004" s="20"/>
      <c r="F6004" s="20"/>
      <c r="AC6004" s="20"/>
      <c r="AG6004" s="29"/>
    </row>
    <row r="6005" spans="2:33">
      <c r="B6005" s="29"/>
      <c r="D6005" s="29"/>
      <c r="E6005" s="20"/>
      <c r="F6005" s="20"/>
      <c r="AC6005" s="20"/>
      <c r="AG6005" s="29"/>
    </row>
    <row r="6006" spans="2:33">
      <c r="B6006" s="29"/>
      <c r="D6006" s="29"/>
      <c r="E6006" s="20"/>
      <c r="F6006" s="20"/>
      <c r="AC6006" s="20"/>
      <c r="AG6006" s="29"/>
    </row>
    <row r="6007" spans="2:33">
      <c r="B6007" s="29"/>
      <c r="D6007" s="29"/>
      <c r="E6007" s="20"/>
      <c r="F6007" s="20"/>
      <c r="AC6007" s="20"/>
      <c r="AG6007" s="29"/>
    </row>
    <row r="6008" spans="2:33">
      <c r="B6008" s="29"/>
      <c r="D6008" s="29"/>
      <c r="E6008" s="20"/>
      <c r="F6008" s="20"/>
      <c r="AC6008" s="20"/>
      <c r="AG6008" s="29"/>
    </row>
    <row r="6009" spans="2:33">
      <c r="B6009" s="29"/>
      <c r="D6009" s="29"/>
      <c r="E6009" s="20"/>
      <c r="F6009" s="20"/>
      <c r="AC6009" s="20"/>
      <c r="AG6009" s="29"/>
    </row>
    <row r="6010" spans="2:33">
      <c r="B6010" s="29"/>
      <c r="D6010" s="29"/>
      <c r="E6010" s="20"/>
      <c r="F6010" s="20"/>
      <c r="AC6010" s="20"/>
      <c r="AG6010" s="29"/>
    </row>
    <row r="6011" spans="2:33">
      <c r="B6011" s="29"/>
      <c r="D6011" s="29"/>
      <c r="E6011" s="20"/>
      <c r="F6011" s="20"/>
      <c r="AC6011" s="20"/>
      <c r="AG6011" s="29"/>
    </row>
    <row r="6012" spans="2:33">
      <c r="B6012" s="29"/>
      <c r="D6012" s="29"/>
      <c r="E6012" s="20"/>
      <c r="F6012" s="20"/>
      <c r="AC6012" s="20"/>
      <c r="AG6012" s="29"/>
    </row>
    <row r="6013" spans="2:33">
      <c r="B6013" s="29"/>
      <c r="D6013" s="29"/>
      <c r="E6013" s="20"/>
      <c r="F6013" s="20"/>
      <c r="AC6013" s="20"/>
      <c r="AG6013" s="29"/>
    </row>
    <row r="6014" spans="2:33">
      <c r="B6014" s="29"/>
      <c r="D6014" s="29"/>
      <c r="E6014" s="20"/>
      <c r="F6014" s="20"/>
      <c r="AC6014" s="20"/>
      <c r="AG6014" s="29"/>
    </row>
    <row r="6015" spans="2:33">
      <c r="B6015" s="29"/>
      <c r="D6015" s="29"/>
      <c r="E6015" s="20"/>
      <c r="F6015" s="20"/>
      <c r="AC6015" s="20"/>
      <c r="AG6015" s="29"/>
    </row>
    <row r="6016" spans="2:33">
      <c r="B6016" s="29"/>
      <c r="D6016" s="29"/>
      <c r="E6016" s="20"/>
      <c r="F6016" s="20"/>
      <c r="AC6016" s="20"/>
      <c r="AG6016" s="29"/>
    </row>
    <row r="6017" spans="2:33">
      <c r="B6017" s="29"/>
      <c r="D6017" s="29"/>
      <c r="E6017" s="20"/>
      <c r="F6017" s="20"/>
      <c r="AC6017" s="20"/>
      <c r="AG6017" s="29"/>
    </row>
    <row r="6018" spans="2:33">
      <c r="B6018" s="29"/>
      <c r="D6018" s="29"/>
      <c r="E6018" s="20"/>
      <c r="F6018" s="20"/>
      <c r="AC6018" s="20"/>
      <c r="AG6018" s="29"/>
    </row>
    <row r="6019" spans="2:33">
      <c r="B6019" s="29"/>
      <c r="D6019" s="29"/>
      <c r="E6019" s="20"/>
      <c r="F6019" s="20"/>
      <c r="AC6019" s="20"/>
      <c r="AG6019" s="29"/>
    </row>
    <row r="6020" spans="2:33">
      <c r="B6020" s="29"/>
      <c r="D6020" s="29"/>
      <c r="E6020" s="20"/>
      <c r="F6020" s="20"/>
      <c r="AC6020" s="20"/>
      <c r="AG6020" s="29"/>
    </row>
    <row r="6021" spans="2:33">
      <c r="B6021" s="29"/>
      <c r="D6021" s="29"/>
      <c r="E6021" s="20"/>
      <c r="F6021" s="20"/>
      <c r="AC6021" s="20"/>
      <c r="AG6021" s="29"/>
    </row>
    <row r="6022" spans="2:33">
      <c r="B6022" s="29"/>
      <c r="D6022" s="29"/>
      <c r="E6022" s="20"/>
      <c r="F6022" s="20"/>
      <c r="AC6022" s="20"/>
      <c r="AG6022" s="29"/>
    </row>
    <row r="6023" spans="2:33">
      <c r="B6023" s="29"/>
      <c r="D6023" s="29"/>
      <c r="E6023" s="20"/>
      <c r="F6023" s="20"/>
      <c r="AC6023" s="20"/>
      <c r="AG6023" s="29"/>
    </row>
    <row r="6024" spans="2:33">
      <c r="B6024" s="29"/>
      <c r="D6024" s="29"/>
      <c r="E6024" s="20"/>
      <c r="F6024" s="20"/>
      <c r="AC6024" s="20"/>
      <c r="AG6024" s="29"/>
    </row>
    <row r="6025" spans="2:33">
      <c r="B6025" s="29"/>
      <c r="D6025" s="29"/>
      <c r="E6025" s="20"/>
      <c r="F6025" s="20"/>
      <c r="AC6025" s="20"/>
      <c r="AG6025" s="29"/>
    </row>
    <row r="6026" spans="2:33">
      <c r="B6026" s="29"/>
      <c r="D6026" s="29"/>
      <c r="E6026" s="20"/>
      <c r="F6026" s="20"/>
      <c r="AC6026" s="20"/>
      <c r="AG6026" s="29"/>
    </row>
    <row r="6027" spans="2:33">
      <c r="B6027" s="29"/>
      <c r="D6027" s="29"/>
      <c r="E6027" s="20"/>
      <c r="F6027" s="20"/>
      <c r="AC6027" s="20"/>
      <c r="AG6027" s="29"/>
    </row>
    <row r="6028" spans="2:33">
      <c r="B6028" s="29"/>
      <c r="D6028" s="29"/>
      <c r="E6028" s="20"/>
      <c r="F6028" s="20"/>
      <c r="AC6028" s="20"/>
      <c r="AG6028" s="29"/>
    </row>
    <row r="6029" spans="2:33">
      <c r="B6029" s="29"/>
      <c r="D6029" s="29"/>
      <c r="E6029" s="20"/>
      <c r="F6029" s="20"/>
      <c r="AC6029" s="20"/>
      <c r="AG6029" s="29"/>
    </row>
    <row r="6030" spans="2:33">
      <c r="B6030" s="29"/>
      <c r="D6030" s="29"/>
      <c r="E6030" s="20"/>
      <c r="F6030" s="20"/>
      <c r="AC6030" s="20"/>
      <c r="AG6030" s="29"/>
    </row>
    <row r="6031" spans="2:33">
      <c r="B6031" s="29"/>
      <c r="D6031" s="29"/>
      <c r="E6031" s="20"/>
      <c r="F6031" s="20"/>
      <c r="AC6031" s="20"/>
      <c r="AG6031" s="29"/>
    </row>
    <row r="6032" spans="2:33">
      <c r="B6032" s="29"/>
      <c r="D6032" s="29"/>
      <c r="E6032" s="20"/>
      <c r="F6032" s="20"/>
      <c r="AC6032" s="20"/>
      <c r="AG6032" s="29"/>
    </row>
    <row r="6033" spans="2:33">
      <c r="B6033" s="29"/>
      <c r="D6033" s="29"/>
      <c r="E6033" s="20"/>
      <c r="F6033" s="20"/>
      <c r="AC6033" s="20"/>
      <c r="AG6033" s="29"/>
    </row>
    <row r="6034" spans="2:33">
      <c r="B6034" s="29"/>
      <c r="D6034" s="29"/>
      <c r="E6034" s="20"/>
      <c r="F6034" s="20"/>
      <c r="AC6034" s="20"/>
      <c r="AG6034" s="29"/>
    </row>
    <row r="6035" spans="2:33">
      <c r="B6035" s="29"/>
      <c r="D6035" s="29"/>
      <c r="E6035" s="20"/>
      <c r="F6035" s="20"/>
      <c r="AC6035" s="20"/>
      <c r="AG6035" s="29"/>
    </row>
    <row r="6036" spans="2:33">
      <c r="B6036" s="29"/>
      <c r="D6036" s="29"/>
      <c r="E6036" s="20"/>
      <c r="F6036" s="20"/>
      <c r="AC6036" s="20"/>
      <c r="AG6036" s="29"/>
    </row>
    <row r="6037" spans="2:33">
      <c r="B6037" s="29"/>
      <c r="D6037" s="29"/>
      <c r="E6037" s="20"/>
      <c r="F6037" s="20"/>
      <c r="AC6037" s="20"/>
      <c r="AG6037" s="29"/>
    </row>
    <row r="6038" spans="2:33">
      <c r="B6038" s="29"/>
      <c r="D6038" s="29"/>
      <c r="E6038" s="20"/>
      <c r="F6038" s="20"/>
      <c r="AC6038" s="20"/>
      <c r="AG6038" s="29"/>
    </row>
    <row r="6039" spans="2:33">
      <c r="B6039" s="29"/>
      <c r="D6039" s="29"/>
      <c r="E6039" s="20"/>
      <c r="F6039" s="20"/>
      <c r="AC6039" s="20"/>
      <c r="AG6039" s="29"/>
    </row>
    <row r="6040" spans="2:33">
      <c r="B6040" s="29"/>
      <c r="D6040" s="29"/>
      <c r="E6040" s="20"/>
      <c r="F6040" s="20"/>
      <c r="AC6040" s="20"/>
      <c r="AG6040" s="29"/>
    </row>
    <row r="6041" spans="2:33">
      <c r="B6041" s="29"/>
      <c r="D6041" s="29"/>
      <c r="E6041" s="20"/>
      <c r="F6041" s="20"/>
      <c r="AC6041" s="20"/>
      <c r="AG6041" s="29"/>
    </row>
    <row r="6042" spans="2:33">
      <c r="B6042" s="29"/>
      <c r="D6042" s="29"/>
      <c r="E6042" s="20"/>
      <c r="F6042" s="20"/>
      <c r="AC6042" s="20"/>
      <c r="AG6042" s="29"/>
    </row>
    <row r="6043" spans="2:33">
      <c r="B6043" s="29"/>
      <c r="D6043" s="29"/>
      <c r="E6043" s="20"/>
      <c r="F6043" s="20"/>
      <c r="AC6043" s="20"/>
      <c r="AG6043" s="29"/>
    </row>
    <row r="6044" spans="2:33">
      <c r="B6044" s="29"/>
      <c r="D6044" s="29"/>
      <c r="E6044" s="20"/>
      <c r="F6044" s="20"/>
      <c r="AC6044" s="20"/>
      <c r="AG6044" s="29"/>
    </row>
    <row r="6045" spans="2:33">
      <c r="B6045" s="29"/>
      <c r="D6045" s="29"/>
      <c r="E6045" s="20"/>
      <c r="F6045" s="20"/>
      <c r="AC6045" s="20"/>
      <c r="AG6045" s="29"/>
    </row>
    <row r="6046" spans="2:33">
      <c r="B6046" s="29"/>
      <c r="D6046" s="29"/>
      <c r="E6046" s="20"/>
      <c r="F6046" s="20"/>
      <c r="AC6046" s="20"/>
      <c r="AG6046" s="29"/>
    </row>
    <row r="6047" spans="2:33">
      <c r="B6047" s="29"/>
      <c r="D6047" s="29"/>
      <c r="E6047" s="20"/>
      <c r="F6047" s="20"/>
      <c r="AC6047" s="20"/>
      <c r="AG6047" s="29"/>
    </row>
    <row r="6048" spans="2:33">
      <c r="B6048" s="29"/>
      <c r="D6048" s="29"/>
      <c r="E6048" s="20"/>
      <c r="F6048" s="20"/>
      <c r="AC6048" s="20"/>
      <c r="AG6048" s="29"/>
    </row>
    <row r="6049" spans="2:33">
      <c r="B6049" s="29"/>
      <c r="D6049" s="29"/>
      <c r="E6049" s="20"/>
      <c r="F6049" s="20"/>
      <c r="AC6049" s="20"/>
      <c r="AG6049" s="29"/>
    </row>
    <row r="6050" spans="2:33">
      <c r="B6050" s="29"/>
      <c r="D6050" s="29"/>
      <c r="E6050" s="20"/>
      <c r="F6050" s="20"/>
      <c r="AC6050" s="20"/>
      <c r="AG6050" s="29"/>
    </row>
    <row r="6051" spans="2:33">
      <c r="B6051" s="29"/>
      <c r="D6051" s="29"/>
      <c r="E6051" s="20"/>
      <c r="F6051" s="20"/>
      <c r="AC6051" s="20"/>
      <c r="AG6051" s="29"/>
    </row>
    <row r="6052" spans="2:33">
      <c r="B6052" s="29"/>
      <c r="D6052" s="29"/>
      <c r="E6052" s="20"/>
      <c r="F6052" s="20"/>
      <c r="AC6052" s="20"/>
      <c r="AG6052" s="29"/>
    </row>
    <row r="6053" spans="2:33">
      <c r="B6053" s="29"/>
      <c r="D6053" s="29"/>
      <c r="E6053" s="20"/>
      <c r="F6053" s="20"/>
      <c r="AC6053" s="20"/>
      <c r="AG6053" s="29"/>
    </row>
    <row r="6054" spans="2:33">
      <c r="B6054" s="29"/>
      <c r="D6054" s="29"/>
      <c r="E6054" s="20"/>
      <c r="F6054" s="20"/>
      <c r="AC6054" s="20"/>
      <c r="AG6054" s="29"/>
    </row>
    <row r="6055" spans="2:33">
      <c r="B6055" s="29"/>
      <c r="D6055" s="29"/>
      <c r="E6055" s="20"/>
      <c r="F6055" s="20"/>
      <c r="AC6055" s="20"/>
      <c r="AG6055" s="29"/>
    </row>
    <row r="6056" spans="2:33">
      <c r="B6056" s="29"/>
      <c r="D6056" s="29"/>
      <c r="E6056" s="20"/>
      <c r="F6056" s="20"/>
      <c r="AC6056" s="20"/>
      <c r="AG6056" s="29"/>
    </row>
    <row r="6057" spans="2:33">
      <c r="B6057" s="29"/>
      <c r="D6057" s="29"/>
      <c r="E6057" s="20"/>
      <c r="F6057" s="20"/>
      <c r="AC6057" s="20"/>
      <c r="AG6057" s="29"/>
    </row>
    <row r="6058" spans="2:33">
      <c r="B6058" s="29"/>
      <c r="D6058" s="29"/>
      <c r="E6058" s="20"/>
      <c r="F6058" s="20"/>
      <c r="AC6058" s="20"/>
      <c r="AG6058" s="29"/>
    </row>
    <row r="6059" spans="2:33">
      <c r="B6059" s="29"/>
      <c r="D6059" s="29"/>
      <c r="E6059" s="20"/>
      <c r="F6059" s="20"/>
      <c r="AC6059" s="20"/>
      <c r="AG6059" s="29"/>
    </row>
    <row r="6060" spans="2:33">
      <c r="B6060" s="29"/>
      <c r="D6060" s="29"/>
      <c r="E6060" s="20"/>
      <c r="F6060" s="20"/>
      <c r="AC6060" s="20"/>
      <c r="AG6060" s="29"/>
    </row>
    <row r="6061" spans="2:33">
      <c r="B6061" s="29"/>
      <c r="D6061" s="29"/>
      <c r="E6061" s="20"/>
      <c r="F6061" s="20"/>
      <c r="AC6061" s="20"/>
      <c r="AG6061" s="29"/>
    </row>
    <row r="6062" spans="2:33">
      <c r="B6062" s="29"/>
      <c r="D6062" s="29"/>
      <c r="E6062" s="20"/>
      <c r="F6062" s="20"/>
      <c r="AC6062" s="20"/>
      <c r="AG6062" s="29"/>
    </row>
    <row r="6063" spans="2:33">
      <c r="B6063" s="29"/>
      <c r="D6063" s="29"/>
      <c r="E6063" s="20"/>
      <c r="F6063" s="20"/>
      <c r="AC6063" s="20"/>
      <c r="AG6063" s="29"/>
    </row>
    <row r="6064" spans="2:33">
      <c r="B6064" s="29"/>
      <c r="D6064" s="29"/>
      <c r="E6064" s="20"/>
      <c r="F6064" s="20"/>
      <c r="AC6064" s="20"/>
      <c r="AG6064" s="29"/>
    </row>
    <row r="6065" spans="2:33">
      <c r="B6065" s="29"/>
      <c r="D6065" s="29"/>
      <c r="E6065" s="20"/>
      <c r="F6065" s="20"/>
      <c r="AC6065" s="20"/>
      <c r="AG6065" s="29"/>
    </row>
    <row r="6066" spans="2:33">
      <c r="B6066" s="29"/>
      <c r="D6066" s="29"/>
      <c r="E6066" s="20"/>
      <c r="F6066" s="20"/>
      <c r="AC6066" s="20"/>
      <c r="AG6066" s="29"/>
    </row>
    <row r="6067" spans="2:33">
      <c r="B6067" s="29"/>
      <c r="D6067" s="29"/>
      <c r="E6067" s="20"/>
      <c r="F6067" s="20"/>
      <c r="AC6067" s="20"/>
      <c r="AG6067" s="29"/>
    </row>
    <row r="6068" spans="2:33">
      <c r="B6068" s="29"/>
      <c r="D6068" s="29"/>
      <c r="E6068" s="20"/>
      <c r="F6068" s="20"/>
      <c r="AC6068" s="20"/>
      <c r="AG6068" s="29"/>
    </row>
    <row r="6069" spans="2:33">
      <c r="B6069" s="29"/>
      <c r="D6069" s="29"/>
      <c r="E6069" s="20"/>
      <c r="F6069" s="20"/>
      <c r="AC6069" s="20"/>
      <c r="AG6069" s="29"/>
    </row>
    <row r="6070" spans="2:33">
      <c r="B6070" s="29"/>
      <c r="D6070" s="29"/>
      <c r="E6070" s="20"/>
      <c r="F6070" s="20"/>
      <c r="AC6070" s="20"/>
      <c r="AG6070" s="29"/>
    </row>
    <row r="6071" spans="2:33">
      <c r="B6071" s="29"/>
      <c r="D6071" s="29"/>
      <c r="E6071" s="20"/>
      <c r="F6071" s="20"/>
      <c r="AC6071" s="20"/>
      <c r="AG6071" s="29"/>
    </row>
    <row r="6072" spans="2:33">
      <c r="B6072" s="29"/>
      <c r="D6072" s="29"/>
      <c r="E6072" s="20"/>
      <c r="F6072" s="20"/>
      <c r="AC6072" s="20"/>
      <c r="AG6072" s="29"/>
    </row>
    <row r="6073" spans="2:33">
      <c r="B6073" s="29"/>
      <c r="D6073" s="29"/>
      <c r="E6073" s="20"/>
      <c r="F6073" s="20"/>
      <c r="AC6073" s="20"/>
      <c r="AG6073" s="29"/>
    </row>
    <row r="6074" spans="2:33">
      <c r="B6074" s="29"/>
      <c r="D6074" s="29"/>
      <c r="E6074" s="20"/>
      <c r="F6074" s="20"/>
      <c r="AC6074" s="20"/>
      <c r="AG6074" s="29"/>
    </row>
    <row r="6075" spans="2:33">
      <c r="B6075" s="29"/>
      <c r="D6075" s="29"/>
      <c r="E6075" s="20"/>
      <c r="F6075" s="20"/>
      <c r="AC6075" s="20"/>
      <c r="AG6075" s="29"/>
    </row>
    <row r="6076" spans="2:33">
      <c r="B6076" s="29"/>
      <c r="D6076" s="29"/>
      <c r="E6076" s="20"/>
      <c r="F6076" s="20"/>
      <c r="AC6076" s="20"/>
      <c r="AG6076" s="29"/>
    </row>
    <row r="6077" spans="2:33">
      <c r="B6077" s="29"/>
      <c r="D6077" s="29"/>
      <c r="E6077" s="20"/>
      <c r="F6077" s="20"/>
      <c r="AC6077" s="20"/>
      <c r="AG6077" s="29"/>
    </row>
    <row r="6078" spans="2:33">
      <c r="B6078" s="29"/>
      <c r="D6078" s="29"/>
      <c r="E6078" s="20"/>
      <c r="F6078" s="20"/>
      <c r="AC6078" s="20"/>
      <c r="AG6078" s="29"/>
    </row>
    <row r="6079" spans="2:33">
      <c r="B6079" s="29"/>
      <c r="D6079" s="29"/>
      <c r="E6079" s="20"/>
      <c r="F6079" s="20"/>
      <c r="AC6079" s="20"/>
      <c r="AG6079" s="29"/>
    </row>
    <row r="6080" spans="2:33">
      <c r="B6080" s="29"/>
      <c r="D6080" s="29"/>
      <c r="E6080" s="20"/>
      <c r="F6080" s="20"/>
      <c r="AC6080" s="20"/>
      <c r="AG6080" s="29"/>
    </row>
    <row r="6081" spans="2:33">
      <c r="B6081" s="29"/>
      <c r="D6081" s="29"/>
      <c r="E6081" s="20"/>
      <c r="F6081" s="20"/>
      <c r="AC6081" s="20"/>
      <c r="AG6081" s="29"/>
    </row>
    <row r="6082" spans="2:33">
      <c r="B6082" s="29"/>
      <c r="D6082" s="29"/>
      <c r="E6082" s="20"/>
      <c r="F6082" s="20"/>
      <c r="AC6082" s="20"/>
      <c r="AG6082" s="29"/>
    </row>
    <row r="6083" spans="2:33">
      <c r="B6083" s="29"/>
      <c r="D6083" s="29"/>
      <c r="E6083" s="20"/>
      <c r="F6083" s="20"/>
      <c r="AC6083" s="20"/>
      <c r="AG6083" s="29"/>
    </row>
    <row r="6084" spans="2:33">
      <c r="B6084" s="29"/>
      <c r="D6084" s="29"/>
      <c r="E6084" s="20"/>
      <c r="F6084" s="20"/>
      <c r="AC6084" s="20"/>
      <c r="AG6084" s="29"/>
    </row>
    <row r="6085" spans="2:33">
      <c r="B6085" s="29"/>
      <c r="D6085" s="29"/>
      <c r="E6085" s="20"/>
      <c r="F6085" s="20"/>
      <c r="AC6085" s="20"/>
      <c r="AG6085" s="29"/>
    </row>
    <row r="6086" spans="2:33">
      <c r="B6086" s="29"/>
      <c r="D6086" s="29"/>
      <c r="E6086" s="20"/>
      <c r="F6086" s="20"/>
      <c r="AC6086" s="20"/>
      <c r="AG6086" s="29"/>
    </row>
    <row r="6087" spans="2:33">
      <c r="B6087" s="29"/>
      <c r="D6087" s="29"/>
      <c r="E6087" s="20"/>
      <c r="F6087" s="20"/>
      <c r="AC6087" s="20"/>
      <c r="AG6087" s="29"/>
    </row>
    <row r="6088" spans="2:33">
      <c r="B6088" s="29"/>
      <c r="D6088" s="29"/>
      <c r="E6088" s="20"/>
      <c r="F6088" s="20"/>
      <c r="AC6088" s="20"/>
      <c r="AG6088" s="29"/>
    </row>
    <row r="6089" spans="2:33">
      <c r="B6089" s="29"/>
      <c r="D6089" s="29"/>
      <c r="E6089" s="20"/>
      <c r="F6089" s="20"/>
      <c r="AC6089" s="20"/>
      <c r="AG6089" s="29"/>
    </row>
    <row r="6090" spans="2:33">
      <c r="B6090" s="29"/>
      <c r="D6090" s="29"/>
      <c r="E6090" s="20"/>
      <c r="F6090" s="20"/>
      <c r="AC6090" s="20"/>
      <c r="AG6090" s="29"/>
    </row>
    <row r="6091" spans="2:33">
      <c r="B6091" s="29"/>
      <c r="D6091" s="29"/>
      <c r="E6091" s="20"/>
      <c r="F6091" s="20"/>
      <c r="AC6091" s="20"/>
      <c r="AG6091" s="29"/>
    </row>
    <row r="6092" spans="2:33">
      <c r="B6092" s="29"/>
      <c r="D6092" s="29"/>
      <c r="E6092" s="20"/>
      <c r="F6092" s="20"/>
      <c r="AC6092" s="20"/>
      <c r="AG6092" s="29"/>
    </row>
    <row r="6093" spans="2:33">
      <c r="B6093" s="29"/>
      <c r="D6093" s="29"/>
      <c r="E6093" s="20"/>
      <c r="F6093" s="20"/>
      <c r="AC6093" s="20"/>
      <c r="AG6093" s="29"/>
    </row>
    <row r="6094" spans="2:33">
      <c r="B6094" s="29"/>
      <c r="D6094" s="29"/>
      <c r="E6094" s="20"/>
      <c r="F6094" s="20"/>
      <c r="AC6094" s="20"/>
      <c r="AG6094" s="29"/>
    </row>
    <row r="6095" spans="2:33">
      <c r="B6095" s="29"/>
      <c r="D6095" s="29"/>
      <c r="E6095" s="20"/>
      <c r="F6095" s="20"/>
      <c r="AC6095" s="20"/>
      <c r="AG6095" s="29"/>
    </row>
    <row r="6096" spans="2:33">
      <c r="B6096" s="29"/>
      <c r="D6096" s="29"/>
      <c r="E6096" s="20"/>
      <c r="F6096" s="20"/>
      <c r="AC6096" s="20"/>
      <c r="AG6096" s="29"/>
    </row>
    <row r="6097" spans="2:33">
      <c r="B6097" s="29"/>
      <c r="D6097" s="29"/>
      <c r="E6097" s="20"/>
      <c r="F6097" s="20"/>
      <c r="AC6097" s="20"/>
      <c r="AG6097" s="29"/>
    </row>
    <row r="6098" spans="2:33">
      <c r="B6098" s="29"/>
      <c r="D6098" s="29"/>
      <c r="E6098" s="20"/>
      <c r="F6098" s="20"/>
      <c r="AC6098" s="20"/>
      <c r="AG6098" s="29"/>
    </row>
    <row r="6099" spans="2:33">
      <c r="B6099" s="29"/>
      <c r="D6099" s="29"/>
      <c r="E6099" s="20"/>
      <c r="F6099" s="20"/>
      <c r="AC6099" s="20"/>
      <c r="AG6099" s="29"/>
    </row>
    <row r="6100" spans="2:33">
      <c r="B6100" s="29"/>
      <c r="D6100" s="29"/>
      <c r="E6100" s="20"/>
      <c r="F6100" s="20"/>
      <c r="AC6100" s="20"/>
      <c r="AG6100" s="29"/>
    </row>
    <row r="6101" spans="2:33">
      <c r="B6101" s="29"/>
      <c r="D6101" s="29"/>
      <c r="E6101" s="20"/>
      <c r="F6101" s="20"/>
      <c r="AC6101" s="20"/>
      <c r="AG6101" s="29"/>
    </row>
    <row r="6102" spans="2:33">
      <c r="B6102" s="29"/>
      <c r="D6102" s="29"/>
      <c r="E6102" s="20"/>
      <c r="F6102" s="20"/>
      <c r="AC6102" s="20"/>
      <c r="AG6102" s="29"/>
    </row>
    <row r="6103" spans="2:33">
      <c r="B6103" s="29"/>
      <c r="D6103" s="29"/>
      <c r="E6103" s="20"/>
      <c r="F6103" s="20"/>
      <c r="AC6103" s="20"/>
      <c r="AG6103" s="29"/>
    </row>
    <row r="6104" spans="2:33">
      <c r="B6104" s="29"/>
      <c r="D6104" s="29"/>
      <c r="E6104" s="20"/>
      <c r="F6104" s="20"/>
      <c r="AC6104" s="20"/>
      <c r="AG6104" s="29"/>
    </row>
    <row r="6105" spans="2:33">
      <c r="B6105" s="29"/>
      <c r="D6105" s="29"/>
      <c r="E6105" s="20"/>
      <c r="F6105" s="20"/>
      <c r="AC6105" s="20"/>
      <c r="AG6105" s="29"/>
    </row>
    <row r="6106" spans="2:33">
      <c r="B6106" s="29"/>
      <c r="D6106" s="29"/>
      <c r="E6106" s="20"/>
      <c r="F6106" s="20"/>
      <c r="AC6106" s="20"/>
      <c r="AG6106" s="29"/>
    </row>
    <row r="6107" spans="2:33">
      <c r="B6107" s="29"/>
      <c r="D6107" s="29"/>
      <c r="E6107" s="20"/>
      <c r="F6107" s="20"/>
      <c r="AC6107" s="20"/>
      <c r="AG6107" s="29"/>
    </row>
    <row r="6108" spans="2:33">
      <c r="B6108" s="29"/>
      <c r="D6108" s="29"/>
      <c r="E6108" s="20"/>
      <c r="F6108" s="20"/>
      <c r="AC6108" s="20"/>
      <c r="AG6108" s="29"/>
    </row>
    <row r="6109" spans="2:33">
      <c r="B6109" s="29"/>
      <c r="D6109" s="29"/>
      <c r="E6109" s="20"/>
      <c r="F6109" s="20"/>
      <c r="AC6109" s="20"/>
      <c r="AG6109" s="29"/>
    </row>
    <row r="6110" spans="2:33">
      <c r="B6110" s="29"/>
      <c r="D6110" s="29"/>
      <c r="E6110" s="20"/>
      <c r="F6110" s="20"/>
      <c r="AC6110" s="20"/>
      <c r="AG6110" s="29"/>
    </row>
    <row r="6111" spans="2:33">
      <c r="B6111" s="29"/>
      <c r="D6111" s="29"/>
      <c r="E6111" s="20"/>
      <c r="F6111" s="20"/>
      <c r="AC6111" s="20"/>
      <c r="AG6111" s="29"/>
    </row>
    <row r="6112" spans="2:33">
      <c r="B6112" s="29"/>
      <c r="D6112" s="29"/>
      <c r="E6112" s="20"/>
      <c r="F6112" s="20"/>
      <c r="AC6112" s="20"/>
      <c r="AG6112" s="29"/>
    </row>
    <row r="6113" spans="2:33">
      <c r="B6113" s="29"/>
      <c r="D6113" s="29"/>
      <c r="E6113" s="20"/>
      <c r="F6113" s="20"/>
      <c r="AC6113" s="20"/>
      <c r="AG6113" s="29"/>
    </row>
    <row r="6114" spans="2:33">
      <c r="B6114" s="29"/>
      <c r="D6114" s="29"/>
      <c r="E6114" s="20"/>
      <c r="F6114" s="20"/>
      <c r="AC6114" s="20"/>
      <c r="AG6114" s="29"/>
    </row>
    <row r="6115" spans="2:33">
      <c r="B6115" s="29"/>
      <c r="D6115" s="29"/>
      <c r="E6115" s="20"/>
      <c r="F6115" s="20"/>
      <c r="AC6115" s="20"/>
      <c r="AG6115" s="29"/>
    </row>
    <row r="6116" spans="2:33">
      <c r="B6116" s="29"/>
      <c r="D6116" s="29"/>
      <c r="E6116" s="20"/>
      <c r="F6116" s="20"/>
      <c r="AC6116" s="20"/>
      <c r="AG6116" s="29"/>
    </row>
    <row r="6117" spans="2:33">
      <c r="B6117" s="29"/>
      <c r="D6117" s="29"/>
      <c r="E6117" s="20"/>
      <c r="F6117" s="20"/>
      <c r="AC6117" s="20"/>
      <c r="AG6117" s="29"/>
    </row>
    <row r="6118" spans="2:33">
      <c r="B6118" s="29"/>
      <c r="D6118" s="29"/>
      <c r="E6118" s="20"/>
      <c r="F6118" s="20"/>
      <c r="AC6118" s="20"/>
      <c r="AG6118" s="29"/>
    </row>
    <row r="6119" spans="2:33">
      <c r="B6119" s="29"/>
      <c r="D6119" s="29"/>
      <c r="E6119" s="20"/>
      <c r="F6119" s="20"/>
      <c r="AC6119" s="20"/>
      <c r="AG6119" s="29"/>
    </row>
    <row r="6120" spans="2:33">
      <c r="B6120" s="29"/>
      <c r="D6120" s="29"/>
      <c r="E6120" s="20"/>
      <c r="F6120" s="20"/>
      <c r="AC6120" s="20"/>
      <c r="AG6120" s="29"/>
    </row>
    <row r="6121" spans="2:33">
      <c r="B6121" s="29"/>
      <c r="D6121" s="29"/>
      <c r="E6121" s="20"/>
      <c r="F6121" s="20"/>
      <c r="AC6121" s="20"/>
      <c r="AG6121" s="29"/>
    </row>
    <row r="6122" spans="2:33">
      <c r="B6122" s="29"/>
      <c r="D6122" s="29"/>
      <c r="E6122" s="20"/>
      <c r="F6122" s="20"/>
      <c r="AC6122" s="20"/>
      <c r="AG6122" s="29"/>
    </row>
    <row r="6123" spans="2:33">
      <c r="B6123" s="29"/>
      <c r="D6123" s="29"/>
      <c r="E6123" s="20"/>
      <c r="F6123" s="20"/>
      <c r="AC6123" s="20"/>
      <c r="AG6123" s="29"/>
    </row>
    <row r="6124" spans="2:33">
      <c r="B6124" s="29"/>
      <c r="D6124" s="29"/>
      <c r="E6124" s="20"/>
      <c r="F6124" s="20"/>
      <c r="AC6124" s="20"/>
      <c r="AG6124" s="29"/>
    </row>
    <row r="6125" spans="2:33">
      <c r="B6125" s="29"/>
      <c r="D6125" s="29"/>
      <c r="E6125" s="20"/>
      <c r="F6125" s="20"/>
      <c r="AC6125" s="20"/>
      <c r="AG6125" s="29"/>
    </row>
    <row r="6126" spans="2:33">
      <c r="B6126" s="29"/>
      <c r="D6126" s="29"/>
      <c r="E6126" s="20"/>
      <c r="F6126" s="20"/>
      <c r="AC6126" s="20"/>
      <c r="AG6126" s="29"/>
    </row>
    <row r="6127" spans="2:33">
      <c r="B6127" s="29"/>
      <c r="D6127" s="29"/>
      <c r="E6127" s="20"/>
      <c r="F6127" s="20"/>
      <c r="AC6127" s="20"/>
      <c r="AG6127" s="29"/>
    </row>
    <row r="6128" spans="2:33">
      <c r="B6128" s="29"/>
      <c r="D6128" s="29"/>
      <c r="E6128" s="20"/>
      <c r="F6128" s="20"/>
      <c r="AC6128" s="20"/>
      <c r="AG6128" s="29"/>
    </row>
    <row r="6129" spans="2:33">
      <c r="B6129" s="29"/>
      <c r="D6129" s="29"/>
      <c r="E6129" s="20"/>
      <c r="F6129" s="20"/>
      <c r="AC6129" s="20"/>
      <c r="AG6129" s="29"/>
    </row>
    <row r="6130" spans="2:33">
      <c r="B6130" s="29"/>
      <c r="D6130" s="29"/>
      <c r="E6130" s="20"/>
      <c r="F6130" s="20"/>
      <c r="AC6130" s="20"/>
      <c r="AG6130" s="29"/>
    </row>
    <row r="6131" spans="2:33">
      <c r="B6131" s="29"/>
      <c r="D6131" s="29"/>
      <c r="E6131" s="20"/>
      <c r="F6131" s="20"/>
      <c r="AC6131" s="20"/>
      <c r="AG6131" s="29"/>
    </row>
    <row r="6132" spans="2:33">
      <c r="B6132" s="29"/>
      <c r="D6132" s="29"/>
      <c r="E6132" s="20"/>
      <c r="F6132" s="20"/>
      <c r="AC6132" s="20"/>
      <c r="AG6132" s="29"/>
    </row>
    <row r="6133" spans="2:33">
      <c r="B6133" s="29"/>
      <c r="D6133" s="29"/>
      <c r="E6133" s="20"/>
      <c r="F6133" s="20"/>
      <c r="AC6133" s="20"/>
      <c r="AG6133" s="29"/>
    </row>
    <row r="6134" spans="2:33">
      <c r="B6134" s="29"/>
      <c r="D6134" s="29"/>
      <c r="E6134" s="20"/>
      <c r="F6134" s="20"/>
      <c r="AC6134" s="20"/>
      <c r="AG6134" s="29"/>
    </row>
    <row r="6135" spans="2:33">
      <c r="B6135" s="29"/>
      <c r="D6135" s="29"/>
      <c r="E6135" s="20"/>
      <c r="F6135" s="20"/>
      <c r="AC6135" s="20"/>
      <c r="AG6135" s="29"/>
    </row>
    <row r="6136" spans="2:33">
      <c r="B6136" s="29"/>
      <c r="D6136" s="29"/>
      <c r="E6136" s="20"/>
      <c r="F6136" s="20"/>
      <c r="AC6136" s="20"/>
      <c r="AG6136" s="29"/>
    </row>
    <row r="6137" spans="2:33">
      <c r="B6137" s="29"/>
      <c r="D6137" s="29"/>
      <c r="E6137" s="20"/>
      <c r="F6137" s="20"/>
      <c r="AC6137" s="20"/>
      <c r="AG6137" s="29"/>
    </row>
    <row r="6138" spans="2:33">
      <c r="B6138" s="29"/>
      <c r="D6138" s="29"/>
      <c r="E6138" s="20"/>
      <c r="F6138" s="20"/>
      <c r="AC6138" s="20"/>
      <c r="AG6138" s="29"/>
    </row>
    <row r="6139" spans="2:33">
      <c r="B6139" s="29"/>
      <c r="D6139" s="29"/>
      <c r="E6139" s="20"/>
      <c r="F6139" s="20"/>
      <c r="AC6139" s="20"/>
      <c r="AG6139" s="29"/>
    </row>
    <row r="6140" spans="2:33">
      <c r="B6140" s="29"/>
      <c r="D6140" s="29"/>
      <c r="E6140" s="20"/>
      <c r="F6140" s="20"/>
      <c r="AC6140" s="20"/>
      <c r="AG6140" s="29"/>
    </row>
    <row r="6141" spans="2:33">
      <c r="B6141" s="29"/>
      <c r="D6141" s="29"/>
      <c r="E6141" s="20"/>
      <c r="F6141" s="20"/>
      <c r="AC6141" s="20"/>
      <c r="AG6141" s="29"/>
    </row>
    <row r="6142" spans="2:33">
      <c r="B6142" s="29"/>
      <c r="D6142" s="29"/>
      <c r="E6142" s="20"/>
      <c r="F6142" s="20"/>
      <c r="AC6142" s="20"/>
      <c r="AG6142" s="29"/>
    </row>
    <row r="6143" spans="2:33">
      <c r="B6143" s="29"/>
      <c r="D6143" s="29"/>
      <c r="E6143" s="20"/>
      <c r="F6143" s="20"/>
      <c r="AC6143" s="20"/>
      <c r="AG6143" s="29"/>
    </row>
    <row r="6144" spans="2:33">
      <c r="B6144" s="29"/>
      <c r="D6144" s="29"/>
      <c r="E6144" s="20"/>
      <c r="F6144" s="20"/>
      <c r="AC6144" s="20"/>
      <c r="AG6144" s="29"/>
    </row>
    <row r="6145" spans="2:33">
      <c r="B6145" s="29"/>
      <c r="D6145" s="29"/>
      <c r="E6145" s="20"/>
      <c r="F6145" s="20"/>
      <c r="AC6145" s="20"/>
      <c r="AG6145" s="29"/>
    </row>
    <row r="6146" spans="2:33">
      <c r="B6146" s="29"/>
      <c r="D6146" s="29"/>
      <c r="E6146" s="20"/>
      <c r="F6146" s="20"/>
      <c r="AC6146" s="20"/>
      <c r="AG6146" s="29"/>
    </row>
    <row r="6147" spans="2:33">
      <c r="B6147" s="29"/>
      <c r="D6147" s="29"/>
      <c r="E6147" s="20"/>
      <c r="F6147" s="20"/>
      <c r="AC6147" s="20"/>
      <c r="AG6147" s="29"/>
    </row>
    <row r="6148" spans="2:33">
      <c r="B6148" s="29"/>
      <c r="D6148" s="29"/>
      <c r="E6148" s="20"/>
      <c r="F6148" s="20"/>
      <c r="AC6148" s="20"/>
      <c r="AG6148" s="29"/>
    </row>
    <row r="6149" spans="2:33">
      <c r="B6149" s="29"/>
      <c r="D6149" s="29"/>
      <c r="E6149" s="20"/>
      <c r="F6149" s="20"/>
      <c r="AC6149" s="20"/>
      <c r="AG6149" s="29"/>
    </row>
    <row r="6150" spans="2:33">
      <c r="B6150" s="29"/>
      <c r="D6150" s="29"/>
      <c r="E6150" s="20"/>
      <c r="F6150" s="20"/>
      <c r="AC6150" s="20"/>
      <c r="AG6150" s="29"/>
    </row>
    <row r="6151" spans="2:33">
      <c r="B6151" s="29"/>
      <c r="D6151" s="29"/>
      <c r="E6151" s="20"/>
      <c r="F6151" s="20"/>
      <c r="AC6151" s="20"/>
      <c r="AG6151" s="29"/>
    </row>
    <row r="6152" spans="2:33">
      <c r="B6152" s="29"/>
      <c r="D6152" s="29"/>
      <c r="E6152" s="20"/>
      <c r="F6152" s="20"/>
      <c r="AC6152" s="20"/>
      <c r="AG6152" s="29"/>
    </row>
    <row r="6153" spans="2:33">
      <c r="B6153" s="29"/>
      <c r="D6153" s="29"/>
      <c r="E6153" s="20"/>
      <c r="F6153" s="20"/>
      <c r="AC6153" s="20"/>
      <c r="AG6153" s="29"/>
    </row>
    <row r="6154" spans="2:33">
      <c r="B6154" s="29"/>
      <c r="D6154" s="29"/>
      <c r="E6154" s="20"/>
      <c r="F6154" s="20"/>
      <c r="AC6154" s="20"/>
      <c r="AG6154" s="29"/>
    </row>
    <row r="6155" spans="2:33">
      <c r="B6155" s="29"/>
      <c r="D6155" s="29"/>
      <c r="E6155" s="20"/>
      <c r="F6155" s="20"/>
      <c r="AC6155" s="20"/>
      <c r="AG6155" s="29"/>
    </row>
    <row r="6156" spans="2:33">
      <c r="B6156" s="29"/>
      <c r="D6156" s="29"/>
      <c r="E6156" s="20"/>
      <c r="F6156" s="20"/>
      <c r="AC6156" s="20"/>
      <c r="AG6156" s="29"/>
    </row>
    <row r="6157" spans="2:33">
      <c r="B6157" s="29"/>
      <c r="D6157" s="29"/>
      <c r="E6157" s="20"/>
      <c r="F6157" s="20"/>
      <c r="AC6157" s="20"/>
      <c r="AG6157" s="29"/>
    </row>
    <row r="6158" spans="2:33">
      <c r="B6158" s="29"/>
      <c r="D6158" s="29"/>
      <c r="E6158" s="20"/>
      <c r="F6158" s="20"/>
      <c r="AC6158" s="20"/>
      <c r="AG6158" s="29"/>
    </row>
    <row r="6159" spans="2:33">
      <c r="B6159" s="29"/>
      <c r="D6159" s="29"/>
      <c r="E6159" s="20"/>
      <c r="F6159" s="20"/>
      <c r="AC6159" s="20"/>
      <c r="AG6159" s="29"/>
    </row>
    <row r="6160" spans="2:33">
      <c r="B6160" s="29"/>
      <c r="D6160" s="29"/>
      <c r="E6160" s="20"/>
      <c r="F6160" s="20"/>
      <c r="AC6160" s="20"/>
      <c r="AG6160" s="29"/>
    </row>
    <row r="6161" spans="2:33">
      <c r="B6161" s="29"/>
      <c r="D6161" s="29"/>
      <c r="E6161" s="20"/>
      <c r="F6161" s="20"/>
      <c r="AC6161" s="20"/>
      <c r="AG6161" s="29"/>
    </row>
    <row r="6162" spans="2:33">
      <c r="B6162" s="29"/>
      <c r="D6162" s="29"/>
      <c r="E6162" s="20"/>
      <c r="F6162" s="20"/>
      <c r="AC6162" s="20"/>
      <c r="AG6162" s="29"/>
    </row>
    <row r="6163" spans="2:33">
      <c r="B6163" s="29"/>
      <c r="D6163" s="29"/>
      <c r="E6163" s="20"/>
      <c r="F6163" s="20"/>
      <c r="AC6163" s="20"/>
      <c r="AG6163" s="29"/>
    </row>
    <row r="6164" spans="2:33">
      <c r="B6164" s="29"/>
      <c r="D6164" s="29"/>
      <c r="E6164" s="20"/>
      <c r="F6164" s="20"/>
      <c r="AC6164" s="20"/>
      <c r="AG6164" s="29"/>
    </row>
    <row r="6165" spans="2:33">
      <c r="B6165" s="29"/>
      <c r="D6165" s="29"/>
      <c r="E6165" s="20"/>
      <c r="F6165" s="20"/>
      <c r="AC6165" s="20"/>
      <c r="AG6165" s="29"/>
    </row>
    <row r="6166" spans="2:33">
      <c r="B6166" s="29"/>
      <c r="D6166" s="29"/>
      <c r="E6166" s="20"/>
      <c r="F6166" s="20"/>
      <c r="AC6166" s="20"/>
      <c r="AG6166" s="29"/>
    </row>
    <row r="6167" spans="2:33">
      <c r="B6167" s="29"/>
      <c r="D6167" s="29"/>
      <c r="E6167" s="20"/>
      <c r="F6167" s="20"/>
      <c r="AC6167" s="20"/>
      <c r="AG6167" s="29"/>
    </row>
    <row r="6168" spans="2:33">
      <c r="B6168" s="29"/>
      <c r="D6168" s="29"/>
      <c r="E6168" s="20"/>
      <c r="F6168" s="20"/>
      <c r="AC6168" s="20"/>
      <c r="AG6168" s="29"/>
    </row>
    <row r="6169" spans="2:33">
      <c r="B6169" s="29"/>
      <c r="D6169" s="29"/>
      <c r="E6169" s="20"/>
      <c r="F6169" s="20"/>
      <c r="AC6169" s="20"/>
      <c r="AG6169" s="29"/>
    </row>
    <row r="6170" spans="2:33">
      <c r="B6170" s="29"/>
      <c r="D6170" s="29"/>
      <c r="E6170" s="20"/>
      <c r="F6170" s="20"/>
      <c r="AC6170" s="20"/>
      <c r="AG6170" s="29"/>
    </row>
    <row r="6171" spans="2:33">
      <c r="B6171" s="29"/>
      <c r="D6171" s="29"/>
      <c r="E6171" s="20"/>
      <c r="F6171" s="20"/>
      <c r="AC6171" s="20"/>
      <c r="AG6171" s="29"/>
    </row>
    <row r="6172" spans="2:33">
      <c r="B6172" s="29"/>
      <c r="D6172" s="29"/>
      <c r="E6172" s="20"/>
      <c r="F6172" s="20"/>
      <c r="AC6172" s="20"/>
      <c r="AG6172" s="29"/>
    </row>
    <row r="6173" spans="2:33">
      <c r="B6173" s="29"/>
      <c r="D6173" s="29"/>
      <c r="E6173" s="20"/>
      <c r="F6173" s="20"/>
      <c r="AC6173" s="20"/>
      <c r="AG6173" s="29"/>
    </row>
    <row r="6174" spans="2:33">
      <c r="B6174" s="29"/>
      <c r="D6174" s="29"/>
      <c r="E6174" s="20"/>
      <c r="F6174" s="20"/>
      <c r="AC6174" s="20"/>
      <c r="AG6174" s="29"/>
    </row>
    <row r="6175" spans="2:33">
      <c r="B6175" s="29"/>
      <c r="D6175" s="29"/>
      <c r="E6175" s="20"/>
      <c r="F6175" s="20"/>
      <c r="AC6175" s="20"/>
      <c r="AG6175" s="29"/>
    </row>
    <row r="6176" spans="2:33">
      <c r="B6176" s="29"/>
      <c r="D6176" s="29"/>
      <c r="E6176" s="20"/>
      <c r="F6176" s="20"/>
      <c r="AC6176" s="20"/>
      <c r="AG6176" s="29"/>
    </row>
    <row r="6177" spans="2:33">
      <c r="B6177" s="29"/>
      <c r="D6177" s="29"/>
      <c r="E6177" s="20"/>
      <c r="F6177" s="20"/>
      <c r="AC6177" s="20"/>
      <c r="AG6177" s="29"/>
    </row>
    <row r="6178" spans="2:33">
      <c r="B6178" s="29"/>
      <c r="D6178" s="29"/>
      <c r="E6178" s="20"/>
      <c r="F6178" s="20"/>
      <c r="AC6178" s="20"/>
      <c r="AG6178" s="29"/>
    </row>
    <row r="6179" spans="2:33">
      <c r="B6179" s="29"/>
      <c r="D6179" s="29"/>
      <c r="E6179" s="20"/>
      <c r="F6179" s="20"/>
      <c r="AC6179" s="20"/>
      <c r="AG6179" s="29"/>
    </row>
    <row r="6180" spans="2:33">
      <c r="B6180" s="29"/>
      <c r="D6180" s="29"/>
      <c r="E6180" s="20"/>
      <c r="F6180" s="20"/>
      <c r="AC6180" s="20"/>
      <c r="AG6180" s="29"/>
    </row>
    <row r="6181" spans="2:33">
      <c r="B6181" s="29"/>
      <c r="D6181" s="29"/>
      <c r="E6181" s="20"/>
      <c r="F6181" s="20"/>
      <c r="AC6181" s="20"/>
      <c r="AG6181" s="29"/>
    </row>
    <row r="6182" spans="2:33">
      <c r="B6182" s="29"/>
      <c r="D6182" s="29"/>
      <c r="E6182" s="20"/>
      <c r="F6182" s="20"/>
      <c r="AC6182" s="20"/>
      <c r="AG6182" s="29"/>
    </row>
    <row r="6183" spans="2:33">
      <c r="B6183" s="29"/>
      <c r="D6183" s="29"/>
      <c r="E6183" s="20"/>
      <c r="F6183" s="20"/>
      <c r="AC6183" s="20"/>
      <c r="AG6183" s="29"/>
    </row>
    <row r="6184" spans="2:33">
      <c r="B6184" s="29"/>
      <c r="D6184" s="29"/>
      <c r="E6184" s="20"/>
      <c r="F6184" s="20"/>
      <c r="AC6184" s="20"/>
      <c r="AG6184" s="29"/>
    </row>
    <row r="6185" spans="2:33">
      <c r="B6185" s="29"/>
      <c r="D6185" s="29"/>
      <c r="E6185" s="20"/>
      <c r="F6185" s="20"/>
      <c r="AC6185" s="20"/>
      <c r="AG6185" s="29"/>
    </row>
    <row r="6186" spans="2:33">
      <c r="B6186" s="29"/>
      <c r="D6186" s="29"/>
      <c r="E6186" s="20"/>
      <c r="F6186" s="20"/>
      <c r="AC6186" s="20"/>
      <c r="AG6186" s="29"/>
    </row>
    <row r="6187" spans="2:33">
      <c r="B6187" s="29"/>
      <c r="D6187" s="29"/>
      <c r="E6187" s="20"/>
      <c r="F6187" s="20"/>
      <c r="AC6187" s="20"/>
      <c r="AG6187" s="29"/>
    </row>
    <row r="6188" spans="2:33">
      <c r="B6188" s="29"/>
      <c r="D6188" s="29"/>
      <c r="E6188" s="20"/>
      <c r="F6188" s="20"/>
      <c r="AC6188" s="20"/>
      <c r="AG6188" s="29"/>
    </row>
    <row r="6189" spans="2:33">
      <c r="B6189" s="29"/>
      <c r="D6189" s="29"/>
      <c r="E6189" s="20"/>
      <c r="F6189" s="20"/>
      <c r="AC6189" s="20"/>
      <c r="AG6189" s="29"/>
    </row>
    <row r="6190" spans="2:33">
      <c r="B6190" s="29"/>
      <c r="D6190" s="29"/>
      <c r="E6190" s="20"/>
      <c r="F6190" s="20"/>
      <c r="AC6190" s="20"/>
      <c r="AG6190" s="29"/>
    </row>
    <row r="6191" spans="2:33">
      <c r="B6191" s="29"/>
      <c r="D6191" s="29"/>
      <c r="E6191" s="20"/>
      <c r="F6191" s="20"/>
      <c r="AC6191" s="20"/>
      <c r="AG6191" s="29"/>
    </row>
    <row r="6192" spans="2:33">
      <c r="B6192" s="29"/>
      <c r="D6192" s="29"/>
      <c r="E6192" s="20"/>
      <c r="F6192" s="20"/>
      <c r="AC6192" s="20"/>
      <c r="AG6192" s="29"/>
    </row>
    <row r="6193" spans="2:33">
      <c r="B6193" s="29"/>
      <c r="D6193" s="29"/>
      <c r="E6193" s="20"/>
      <c r="F6193" s="20"/>
      <c r="AC6193" s="20"/>
      <c r="AG6193" s="29"/>
    </row>
    <row r="6194" spans="2:33">
      <c r="B6194" s="29"/>
      <c r="D6194" s="29"/>
      <c r="E6194" s="20"/>
      <c r="F6194" s="20"/>
      <c r="AC6194" s="20"/>
      <c r="AG6194" s="29"/>
    </row>
    <row r="6195" spans="2:33">
      <c r="B6195" s="29"/>
      <c r="D6195" s="29"/>
      <c r="E6195" s="20"/>
      <c r="F6195" s="20"/>
      <c r="AC6195" s="20"/>
      <c r="AG6195" s="29"/>
    </row>
    <row r="6196" spans="2:33">
      <c r="B6196" s="29"/>
      <c r="D6196" s="29"/>
      <c r="E6196" s="20"/>
      <c r="F6196" s="20"/>
      <c r="AC6196" s="20"/>
      <c r="AG6196" s="29"/>
    </row>
    <row r="6197" spans="2:33">
      <c r="B6197" s="29"/>
      <c r="D6197" s="29"/>
      <c r="E6197" s="20"/>
      <c r="F6197" s="20"/>
      <c r="AC6197" s="20"/>
      <c r="AG6197" s="29"/>
    </row>
    <row r="6198" spans="2:33">
      <c r="B6198" s="29"/>
      <c r="D6198" s="29"/>
      <c r="E6198" s="20"/>
      <c r="F6198" s="20"/>
      <c r="AC6198" s="20"/>
      <c r="AG6198" s="29"/>
    </row>
    <row r="6199" spans="2:33">
      <c r="B6199" s="29"/>
      <c r="D6199" s="29"/>
      <c r="E6199" s="20"/>
      <c r="F6199" s="20"/>
      <c r="AC6199" s="20"/>
      <c r="AG6199" s="29"/>
    </row>
    <row r="6200" spans="2:33">
      <c r="B6200" s="29"/>
      <c r="D6200" s="29"/>
      <c r="E6200" s="20"/>
      <c r="F6200" s="20"/>
      <c r="AC6200" s="20"/>
      <c r="AG6200" s="29"/>
    </row>
    <row r="6201" spans="2:33">
      <c r="B6201" s="29"/>
      <c r="D6201" s="29"/>
      <c r="E6201" s="20"/>
      <c r="F6201" s="20"/>
      <c r="AC6201" s="20"/>
      <c r="AG6201" s="29"/>
    </row>
    <row r="6202" spans="2:33">
      <c r="B6202" s="29"/>
      <c r="D6202" s="29"/>
      <c r="E6202" s="20"/>
      <c r="F6202" s="20"/>
      <c r="AC6202" s="20"/>
      <c r="AG6202" s="29"/>
    </row>
    <row r="6203" spans="2:33">
      <c r="B6203" s="29"/>
      <c r="D6203" s="29"/>
      <c r="E6203" s="20"/>
      <c r="F6203" s="20"/>
      <c r="AC6203" s="20"/>
      <c r="AG6203" s="29"/>
    </row>
    <row r="6204" spans="2:33">
      <c r="B6204" s="29"/>
      <c r="D6204" s="29"/>
      <c r="E6204" s="20"/>
      <c r="F6204" s="20"/>
      <c r="AC6204" s="20"/>
      <c r="AG6204" s="29"/>
    </row>
    <row r="6205" spans="2:33">
      <c r="B6205" s="29"/>
      <c r="D6205" s="29"/>
      <c r="E6205" s="20"/>
      <c r="F6205" s="20"/>
      <c r="AC6205" s="20"/>
      <c r="AG6205" s="29"/>
    </row>
    <row r="6206" spans="2:33">
      <c r="B6206" s="29"/>
      <c r="D6206" s="29"/>
      <c r="E6206" s="20"/>
      <c r="F6206" s="20"/>
      <c r="AC6206" s="20"/>
      <c r="AG6206" s="29"/>
    </row>
    <row r="6207" spans="2:33">
      <c r="B6207" s="29"/>
      <c r="D6207" s="29"/>
      <c r="E6207" s="20"/>
      <c r="F6207" s="20"/>
      <c r="AC6207" s="20"/>
      <c r="AG6207" s="29"/>
    </row>
    <row r="6208" spans="2:33">
      <c r="B6208" s="29"/>
      <c r="D6208" s="29"/>
      <c r="E6208" s="20"/>
      <c r="F6208" s="20"/>
      <c r="AC6208" s="20"/>
      <c r="AG6208" s="29"/>
    </row>
    <row r="6209" spans="2:33">
      <c r="B6209" s="29"/>
      <c r="D6209" s="29"/>
      <c r="E6209" s="20"/>
      <c r="F6209" s="20"/>
      <c r="AC6209" s="20"/>
      <c r="AG6209" s="29"/>
    </row>
    <row r="6210" spans="2:33">
      <c r="B6210" s="29"/>
      <c r="D6210" s="29"/>
      <c r="E6210" s="20"/>
      <c r="F6210" s="20"/>
      <c r="AC6210" s="20"/>
      <c r="AG6210" s="29"/>
    </row>
    <row r="6211" spans="2:33">
      <c r="B6211" s="29"/>
      <c r="D6211" s="29"/>
      <c r="E6211" s="20"/>
      <c r="F6211" s="20"/>
      <c r="AC6211" s="20"/>
      <c r="AG6211" s="29"/>
    </row>
    <row r="6212" spans="2:33">
      <c r="B6212" s="29"/>
      <c r="D6212" s="29"/>
      <c r="E6212" s="20"/>
      <c r="F6212" s="20"/>
      <c r="AC6212" s="20"/>
      <c r="AG6212" s="29"/>
    </row>
    <row r="6213" spans="2:33">
      <c r="B6213" s="29"/>
      <c r="D6213" s="29"/>
      <c r="E6213" s="20"/>
      <c r="F6213" s="20"/>
      <c r="AC6213" s="20"/>
      <c r="AG6213" s="29"/>
    </row>
    <row r="6214" spans="2:33">
      <c r="B6214" s="29"/>
      <c r="D6214" s="29"/>
      <c r="E6214" s="20"/>
      <c r="F6214" s="20"/>
      <c r="AC6214" s="20"/>
      <c r="AG6214" s="29"/>
    </row>
    <row r="6215" spans="2:33">
      <c r="B6215" s="29"/>
      <c r="D6215" s="29"/>
      <c r="E6215" s="20"/>
      <c r="F6215" s="20"/>
      <c r="AC6215" s="20"/>
      <c r="AG6215" s="29"/>
    </row>
    <row r="6216" spans="2:33">
      <c r="B6216" s="29"/>
      <c r="D6216" s="29"/>
      <c r="E6216" s="20"/>
      <c r="F6216" s="20"/>
      <c r="AC6216" s="20"/>
      <c r="AG6216" s="29"/>
    </row>
    <row r="6217" spans="2:33">
      <c r="B6217" s="29"/>
      <c r="D6217" s="29"/>
      <c r="E6217" s="20"/>
      <c r="F6217" s="20"/>
      <c r="AC6217" s="20"/>
      <c r="AG6217" s="29"/>
    </row>
    <row r="6218" spans="2:33">
      <c r="B6218" s="29"/>
      <c r="D6218" s="29"/>
      <c r="E6218" s="20"/>
      <c r="F6218" s="20"/>
      <c r="AC6218" s="20"/>
      <c r="AG6218" s="29"/>
    </row>
    <row r="6219" spans="2:33">
      <c r="B6219" s="29"/>
      <c r="D6219" s="29"/>
      <c r="E6219" s="20"/>
      <c r="F6219" s="20"/>
      <c r="AC6219" s="20"/>
      <c r="AG6219" s="29"/>
    </row>
    <row r="6220" spans="2:33">
      <c r="B6220" s="29"/>
      <c r="D6220" s="29"/>
      <c r="E6220" s="20"/>
      <c r="F6220" s="20"/>
      <c r="AC6220" s="20"/>
      <c r="AG6220" s="29"/>
    </row>
    <row r="6221" spans="2:33">
      <c r="B6221" s="29"/>
      <c r="D6221" s="29"/>
      <c r="E6221" s="20"/>
      <c r="F6221" s="20"/>
      <c r="AC6221" s="20"/>
      <c r="AG6221" s="29"/>
    </row>
    <row r="6222" spans="2:33">
      <c r="B6222" s="29"/>
      <c r="D6222" s="29"/>
      <c r="E6222" s="20"/>
      <c r="F6222" s="20"/>
      <c r="AC6222" s="20"/>
      <c r="AG6222" s="29"/>
    </row>
    <row r="6223" spans="2:33">
      <c r="B6223" s="29"/>
      <c r="D6223" s="29"/>
      <c r="E6223" s="20"/>
      <c r="F6223" s="20"/>
      <c r="AC6223" s="20"/>
      <c r="AG6223" s="29"/>
    </row>
    <row r="6224" spans="2:33">
      <c r="B6224" s="29"/>
      <c r="D6224" s="29"/>
      <c r="E6224" s="20"/>
      <c r="F6224" s="20"/>
      <c r="AC6224" s="20"/>
      <c r="AG6224" s="29"/>
    </row>
    <row r="6225" spans="2:33">
      <c r="B6225" s="29"/>
      <c r="D6225" s="29"/>
      <c r="E6225" s="20"/>
      <c r="F6225" s="20"/>
      <c r="AC6225" s="20"/>
      <c r="AG6225" s="29"/>
    </row>
    <row r="6226" spans="2:33">
      <c r="B6226" s="29"/>
      <c r="D6226" s="29"/>
      <c r="E6226" s="20"/>
      <c r="F6226" s="20"/>
      <c r="AC6226" s="20"/>
      <c r="AG6226" s="29"/>
    </row>
    <row r="6227" spans="2:33">
      <c r="B6227" s="29"/>
      <c r="D6227" s="29"/>
      <c r="E6227" s="20"/>
      <c r="F6227" s="20"/>
      <c r="AC6227" s="20"/>
      <c r="AG6227" s="29"/>
    </row>
    <row r="6228" spans="2:33">
      <c r="B6228" s="29"/>
      <c r="D6228" s="29"/>
      <c r="E6228" s="20"/>
      <c r="F6228" s="20"/>
      <c r="AC6228" s="20"/>
      <c r="AG6228" s="29"/>
    </row>
    <row r="6229" spans="2:33">
      <c r="B6229" s="29"/>
      <c r="D6229" s="29"/>
      <c r="E6229" s="20"/>
      <c r="F6229" s="20"/>
      <c r="AC6229" s="20"/>
      <c r="AG6229" s="29"/>
    </row>
    <row r="6230" spans="2:33">
      <c r="B6230" s="29"/>
      <c r="D6230" s="29"/>
      <c r="E6230" s="20"/>
      <c r="F6230" s="20"/>
      <c r="AC6230" s="20"/>
      <c r="AG6230" s="29"/>
    </row>
    <row r="6231" spans="2:33">
      <c r="B6231" s="29"/>
      <c r="D6231" s="29"/>
      <c r="E6231" s="20"/>
      <c r="F6231" s="20"/>
      <c r="AC6231" s="20"/>
      <c r="AG6231" s="29"/>
    </row>
    <row r="6232" spans="2:33">
      <c r="B6232" s="29"/>
      <c r="D6232" s="29"/>
      <c r="E6232" s="20"/>
      <c r="F6232" s="20"/>
      <c r="AC6232" s="20"/>
      <c r="AG6232" s="29"/>
    </row>
    <row r="6233" spans="2:33">
      <c r="B6233" s="29"/>
      <c r="D6233" s="29"/>
      <c r="E6233" s="20"/>
      <c r="F6233" s="20"/>
      <c r="AC6233" s="20"/>
      <c r="AG6233" s="29"/>
    </row>
    <row r="6234" spans="2:33">
      <c r="B6234" s="29"/>
      <c r="D6234" s="29"/>
      <c r="E6234" s="20"/>
      <c r="F6234" s="20"/>
      <c r="AC6234" s="20"/>
      <c r="AG6234" s="29"/>
    </row>
    <row r="6235" spans="2:33">
      <c r="B6235" s="29"/>
      <c r="D6235" s="29"/>
      <c r="E6235" s="20"/>
      <c r="F6235" s="20"/>
      <c r="AC6235" s="20"/>
      <c r="AG6235" s="29"/>
    </row>
    <row r="6236" spans="2:33">
      <c r="B6236" s="29"/>
      <c r="D6236" s="29"/>
      <c r="E6236" s="20"/>
      <c r="F6236" s="20"/>
      <c r="AC6236" s="20"/>
      <c r="AG6236" s="29"/>
    </row>
    <row r="6237" spans="2:33">
      <c r="B6237" s="29"/>
      <c r="D6237" s="29"/>
      <c r="E6237" s="20"/>
      <c r="F6237" s="20"/>
      <c r="AC6237" s="20"/>
      <c r="AG6237" s="29"/>
    </row>
    <row r="6238" spans="2:33">
      <c r="B6238" s="29"/>
      <c r="D6238" s="29"/>
      <c r="E6238" s="20"/>
      <c r="F6238" s="20"/>
      <c r="AC6238" s="20"/>
      <c r="AG6238" s="29"/>
    </row>
    <row r="6239" spans="2:33">
      <c r="B6239" s="29"/>
      <c r="D6239" s="29"/>
      <c r="E6239" s="20"/>
      <c r="F6239" s="20"/>
      <c r="AC6239" s="20"/>
      <c r="AG6239" s="29"/>
    </row>
    <row r="6240" spans="2:33">
      <c r="B6240" s="29"/>
      <c r="D6240" s="29"/>
      <c r="E6240" s="20"/>
      <c r="F6240" s="20"/>
      <c r="AC6240" s="20"/>
      <c r="AG6240" s="29"/>
    </row>
    <row r="6241" spans="2:33">
      <c r="B6241" s="29"/>
      <c r="D6241" s="29"/>
      <c r="E6241" s="20"/>
      <c r="F6241" s="20"/>
      <c r="AC6241" s="20"/>
      <c r="AG6241" s="29"/>
    </row>
    <row r="6242" spans="2:33">
      <c r="B6242" s="29"/>
      <c r="D6242" s="29"/>
      <c r="E6242" s="20"/>
      <c r="F6242" s="20"/>
      <c r="AC6242" s="20"/>
      <c r="AG6242" s="29"/>
    </row>
    <row r="6243" spans="2:33">
      <c r="B6243" s="29"/>
      <c r="D6243" s="29"/>
      <c r="E6243" s="20"/>
      <c r="F6243" s="20"/>
      <c r="AC6243" s="20"/>
      <c r="AG6243" s="29"/>
    </row>
    <row r="6244" spans="2:33">
      <c r="B6244" s="29"/>
      <c r="D6244" s="29"/>
      <c r="E6244" s="20"/>
      <c r="F6244" s="20"/>
      <c r="AC6244" s="20"/>
      <c r="AG6244" s="29"/>
    </row>
    <row r="6245" spans="2:33">
      <c r="B6245" s="29"/>
      <c r="D6245" s="29"/>
      <c r="E6245" s="20"/>
      <c r="F6245" s="20"/>
      <c r="AC6245" s="20"/>
      <c r="AG6245" s="29"/>
    </row>
    <row r="6246" spans="2:33">
      <c r="B6246" s="29"/>
      <c r="D6246" s="29"/>
      <c r="E6246" s="20"/>
      <c r="F6246" s="20"/>
      <c r="AC6246" s="20"/>
      <c r="AG6246" s="29"/>
    </row>
    <row r="6247" spans="2:33">
      <c r="B6247" s="29"/>
      <c r="D6247" s="29"/>
      <c r="E6247" s="20"/>
      <c r="F6247" s="20"/>
      <c r="AC6247" s="20"/>
      <c r="AG6247" s="29"/>
    </row>
    <row r="6248" spans="2:33">
      <c r="B6248" s="29"/>
      <c r="D6248" s="29"/>
      <c r="E6248" s="20"/>
      <c r="F6248" s="20"/>
      <c r="AC6248" s="20"/>
      <c r="AG6248" s="29"/>
    </row>
    <row r="6249" spans="2:33">
      <c r="B6249" s="29"/>
      <c r="D6249" s="29"/>
      <c r="E6249" s="20"/>
      <c r="F6249" s="20"/>
      <c r="AC6249" s="20"/>
      <c r="AG6249" s="29"/>
    </row>
    <row r="6250" spans="2:33">
      <c r="B6250" s="29"/>
      <c r="D6250" s="29"/>
      <c r="E6250" s="20"/>
      <c r="F6250" s="20"/>
      <c r="AC6250" s="20"/>
      <c r="AG6250" s="29"/>
    </row>
    <row r="6251" spans="2:33">
      <c r="B6251" s="29"/>
      <c r="D6251" s="29"/>
      <c r="E6251" s="20"/>
      <c r="F6251" s="20"/>
      <c r="AC6251" s="20"/>
      <c r="AG6251" s="29"/>
    </row>
    <row r="6252" spans="2:33">
      <c r="B6252" s="29"/>
      <c r="D6252" s="29"/>
      <c r="E6252" s="20"/>
      <c r="F6252" s="20"/>
      <c r="AC6252" s="20"/>
      <c r="AG6252" s="29"/>
    </row>
    <row r="6253" spans="2:33">
      <c r="B6253" s="29"/>
      <c r="D6253" s="29"/>
      <c r="E6253" s="20"/>
      <c r="F6253" s="20"/>
      <c r="AC6253" s="20"/>
      <c r="AG6253" s="29"/>
    </row>
    <row r="6254" spans="2:33">
      <c r="B6254" s="29"/>
      <c r="D6254" s="29"/>
      <c r="E6254" s="20"/>
      <c r="F6254" s="20"/>
      <c r="AC6254" s="20"/>
      <c r="AG6254" s="29"/>
    </row>
    <row r="6255" spans="2:33">
      <c r="B6255" s="29"/>
      <c r="D6255" s="29"/>
      <c r="E6255" s="20"/>
      <c r="F6255" s="20"/>
      <c r="AC6255" s="20"/>
      <c r="AG6255" s="29"/>
    </row>
    <row r="6256" spans="2:33">
      <c r="B6256" s="29"/>
      <c r="D6256" s="29"/>
      <c r="E6256" s="20"/>
      <c r="F6256" s="20"/>
      <c r="AC6256" s="20"/>
      <c r="AG6256" s="29"/>
    </row>
    <row r="6257" spans="2:33">
      <c r="B6257" s="29"/>
      <c r="D6257" s="29"/>
      <c r="E6257" s="20"/>
      <c r="F6257" s="20"/>
      <c r="AC6257" s="20"/>
      <c r="AG6257" s="29"/>
    </row>
    <row r="6258" spans="2:33">
      <c r="B6258" s="29"/>
      <c r="D6258" s="29"/>
      <c r="E6258" s="20"/>
      <c r="F6258" s="20"/>
      <c r="AC6258" s="20"/>
      <c r="AG6258" s="29"/>
    </row>
    <row r="6259" spans="2:33">
      <c r="B6259" s="29"/>
      <c r="D6259" s="29"/>
      <c r="E6259" s="20"/>
      <c r="F6259" s="20"/>
      <c r="AC6259" s="20"/>
      <c r="AG6259" s="29"/>
    </row>
    <row r="6260" spans="2:33">
      <c r="B6260" s="29"/>
      <c r="D6260" s="29"/>
      <c r="E6260" s="20"/>
      <c r="F6260" s="20"/>
      <c r="AC6260" s="20"/>
      <c r="AG6260" s="29"/>
    </row>
    <row r="6261" spans="2:33">
      <c r="B6261" s="29"/>
      <c r="D6261" s="29"/>
      <c r="E6261" s="20"/>
      <c r="F6261" s="20"/>
      <c r="AC6261" s="20"/>
      <c r="AG6261" s="29"/>
    </row>
    <row r="6262" spans="2:33">
      <c r="B6262" s="29"/>
      <c r="D6262" s="29"/>
      <c r="E6262" s="20"/>
      <c r="F6262" s="20"/>
      <c r="AC6262" s="20"/>
      <c r="AG6262" s="29"/>
    </row>
    <row r="6263" spans="2:33">
      <c r="B6263" s="29"/>
      <c r="D6263" s="29"/>
      <c r="E6263" s="20"/>
      <c r="F6263" s="20"/>
      <c r="AC6263" s="20"/>
      <c r="AG6263" s="29"/>
    </row>
    <row r="6264" spans="2:33">
      <c r="B6264" s="29"/>
      <c r="D6264" s="29"/>
      <c r="E6264" s="20"/>
      <c r="F6264" s="20"/>
      <c r="AC6264" s="20"/>
      <c r="AG6264" s="29"/>
    </row>
    <row r="6265" spans="2:33">
      <c r="B6265" s="29"/>
      <c r="D6265" s="29"/>
      <c r="E6265" s="20"/>
      <c r="F6265" s="20"/>
      <c r="AC6265" s="20"/>
      <c r="AG6265" s="29"/>
    </row>
    <row r="6266" spans="2:33">
      <c r="B6266" s="29"/>
      <c r="D6266" s="29"/>
      <c r="E6266" s="20"/>
      <c r="F6266" s="20"/>
      <c r="AC6266" s="20"/>
      <c r="AG6266" s="29"/>
    </row>
    <row r="6267" spans="2:33">
      <c r="B6267" s="29"/>
      <c r="D6267" s="29"/>
      <c r="E6267" s="20"/>
      <c r="F6267" s="20"/>
      <c r="AC6267" s="20"/>
      <c r="AG6267" s="29"/>
    </row>
    <row r="6268" spans="2:33">
      <c r="B6268" s="29"/>
      <c r="D6268" s="29"/>
      <c r="E6268" s="20"/>
      <c r="F6268" s="20"/>
      <c r="AC6268" s="20"/>
      <c r="AG6268" s="29"/>
    </row>
    <row r="6269" spans="2:33">
      <c r="B6269" s="29"/>
      <c r="D6269" s="29"/>
      <c r="E6269" s="20"/>
      <c r="F6269" s="20"/>
      <c r="AC6269" s="20"/>
      <c r="AG6269" s="29"/>
    </row>
    <row r="6270" spans="2:33">
      <c r="B6270" s="29"/>
      <c r="D6270" s="29"/>
      <c r="E6270" s="20"/>
      <c r="F6270" s="20"/>
      <c r="AC6270" s="20"/>
      <c r="AG6270" s="29"/>
    </row>
    <row r="6271" spans="2:33">
      <c r="B6271" s="29"/>
      <c r="D6271" s="29"/>
      <c r="E6271" s="20"/>
      <c r="F6271" s="20"/>
      <c r="AC6271" s="20"/>
      <c r="AG6271" s="29"/>
    </row>
    <row r="6272" spans="2:33">
      <c r="B6272" s="29"/>
      <c r="D6272" s="29"/>
      <c r="E6272" s="20"/>
      <c r="F6272" s="20"/>
      <c r="AC6272" s="20"/>
      <c r="AG6272" s="29"/>
    </row>
    <row r="6273" spans="2:33">
      <c r="B6273" s="29"/>
      <c r="D6273" s="29"/>
      <c r="E6273" s="20"/>
      <c r="F6273" s="20"/>
      <c r="AC6273" s="20"/>
      <c r="AG6273" s="29"/>
    </row>
    <row r="6274" spans="2:33">
      <c r="B6274" s="29"/>
      <c r="D6274" s="29"/>
      <c r="E6274" s="20"/>
      <c r="F6274" s="20"/>
      <c r="AC6274" s="20"/>
      <c r="AG6274" s="29"/>
    </row>
    <row r="6275" spans="2:33">
      <c r="B6275" s="29"/>
      <c r="D6275" s="29"/>
      <c r="E6275" s="20"/>
      <c r="F6275" s="20"/>
      <c r="AC6275" s="20"/>
      <c r="AG6275" s="29"/>
    </row>
    <row r="6276" spans="2:33">
      <c r="B6276" s="29"/>
      <c r="D6276" s="29"/>
      <c r="E6276" s="20"/>
      <c r="F6276" s="20"/>
      <c r="AC6276" s="20"/>
      <c r="AG6276" s="29"/>
    </row>
    <row r="6277" spans="2:33">
      <c r="B6277" s="29"/>
      <c r="D6277" s="29"/>
      <c r="E6277" s="20"/>
      <c r="F6277" s="20"/>
      <c r="AC6277" s="20"/>
      <c r="AG6277" s="29"/>
    </row>
    <row r="6278" spans="2:33">
      <c r="B6278" s="29"/>
      <c r="D6278" s="29"/>
      <c r="E6278" s="20"/>
      <c r="F6278" s="20"/>
      <c r="AC6278" s="20"/>
      <c r="AG6278" s="29"/>
    </row>
    <row r="6279" spans="2:33">
      <c r="B6279" s="29"/>
      <c r="D6279" s="29"/>
      <c r="E6279" s="20"/>
      <c r="F6279" s="20"/>
      <c r="AC6279" s="20"/>
      <c r="AG6279" s="29"/>
    </row>
    <row r="6280" spans="2:33">
      <c r="B6280" s="29"/>
      <c r="D6280" s="29"/>
      <c r="E6280" s="20"/>
      <c r="F6280" s="20"/>
      <c r="AC6280" s="20"/>
      <c r="AG6280" s="29"/>
    </row>
    <row r="6281" spans="2:33">
      <c r="B6281" s="29"/>
      <c r="D6281" s="29"/>
      <c r="E6281" s="20"/>
      <c r="F6281" s="20"/>
      <c r="AC6281" s="20"/>
      <c r="AG6281" s="29"/>
    </row>
    <row r="6282" spans="2:33">
      <c r="B6282" s="29"/>
      <c r="D6282" s="29"/>
      <c r="E6282" s="20"/>
      <c r="F6282" s="20"/>
      <c r="AC6282" s="20"/>
      <c r="AG6282" s="29"/>
    </row>
    <row r="6283" spans="2:33">
      <c r="B6283" s="29"/>
      <c r="D6283" s="29"/>
      <c r="E6283" s="20"/>
      <c r="F6283" s="20"/>
      <c r="AC6283" s="20"/>
      <c r="AG6283" s="29"/>
    </row>
    <row r="6284" spans="2:33">
      <c r="B6284" s="29"/>
      <c r="D6284" s="29"/>
      <c r="E6284" s="20"/>
      <c r="F6284" s="20"/>
      <c r="AC6284" s="20"/>
      <c r="AG6284" s="29"/>
    </row>
    <row r="6285" spans="2:33">
      <c r="B6285" s="29"/>
      <c r="D6285" s="29"/>
      <c r="E6285" s="20"/>
      <c r="F6285" s="20"/>
      <c r="AC6285" s="20"/>
      <c r="AG6285" s="29"/>
    </row>
    <row r="6286" spans="2:33">
      <c r="B6286" s="29"/>
      <c r="D6286" s="29"/>
      <c r="E6286" s="20"/>
      <c r="F6286" s="20"/>
      <c r="AC6286" s="20"/>
      <c r="AG6286" s="29"/>
    </row>
    <row r="6287" spans="2:33">
      <c r="B6287" s="29"/>
      <c r="D6287" s="29"/>
      <c r="E6287" s="20"/>
      <c r="F6287" s="20"/>
      <c r="AC6287" s="20"/>
      <c r="AG6287" s="29"/>
    </row>
    <row r="6288" spans="2:33">
      <c r="B6288" s="29"/>
      <c r="D6288" s="29"/>
      <c r="E6288" s="20"/>
      <c r="F6288" s="20"/>
      <c r="AC6288" s="20"/>
      <c r="AG6288" s="29"/>
    </row>
    <row r="6289" spans="2:33">
      <c r="B6289" s="29"/>
      <c r="D6289" s="29"/>
      <c r="E6289" s="20"/>
      <c r="F6289" s="20"/>
      <c r="AC6289" s="20"/>
      <c r="AG6289" s="29"/>
    </row>
    <row r="6290" spans="2:33">
      <c r="B6290" s="29"/>
      <c r="D6290" s="29"/>
      <c r="E6290" s="20"/>
      <c r="F6290" s="20"/>
      <c r="AC6290" s="20"/>
      <c r="AG6290" s="29"/>
    </row>
    <row r="6291" spans="2:33">
      <c r="B6291" s="29"/>
      <c r="D6291" s="29"/>
      <c r="E6291" s="20"/>
      <c r="F6291" s="20"/>
      <c r="AC6291" s="20"/>
      <c r="AG6291" s="29"/>
    </row>
    <row r="6292" spans="2:33">
      <c r="B6292" s="29"/>
      <c r="D6292" s="29"/>
      <c r="E6292" s="20"/>
      <c r="F6292" s="20"/>
      <c r="AC6292" s="20"/>
      <c r="AG6292" s="29"/>
    </row>
    <row r="6293" spans="2:33">
      <c r="B6293" s="29"/>
      <c r="D6293" s="29"/>
      <c r="E6293" s="20"/>
      <c r="F6293" s="20"/>
      <c r="AC6293" s="20"/>
      <c r="AG6293" s="29"/>
    </row>
    <row r="6294" spans="2:33">
      <c r="B6294" s="29"/>
      <c r="D6294" s="29"/>
      <c r="E6294" s="20"/>
      <c r="F6294" s="20"/>
      <c r="AC6294" s="20"/>
      <c r="AG6294" s="29"/>
    </row>
    <row r="6295" spans="2:33">
      <c r="B6295" s="29"/>
      <c r="D6295" s="29"/>
      <c r="E6295" s="20"/>
      <c r="F6295" s="20"/>
      <c r="AC6295" s="20"/>
      <c r="AG6295" s="29"/>
    </row>
    <row r="6296" spans="2:33">
      <c r="B6296" s="29"/>
      <c r="D6296" s="29"/>
      <c r="E6296" s="20"/>
      <c r="F6296" s="20"/>
      <c r="AC6296" s="20"/>
      <c r="AG6296" s="29"/>
    </row>
    <row r="6297" spans="2:33">
      <c r="B6297" s="29"/>
      <c r="D6297" s="29"/>
      <c r="E6297" s="20"/>
      <c r="F6297" s="20"/>
      <c r="AC6297" s="20"/>
      <c r="AG6297" s="29"/>
    </row>
    <row r="6298" spans="2:33">
      <c r="B6298" s="29"/>
      <c r="D6298" s="29"/>
      <c r="E6298" s="20"/>
      <c r="F6298" s="20"/>
      <c r="AC6298" s="20"/>
      <c r="AG6298" s="29"/>
    </row>
    <row r="6299" spans="2:33">
      <c r="B6299" s="29"/>
      <c r="D6299" s="29"/>
      <c r="E6299" s="20"/>
      <c r="F6299" s="20"/>
      <c r="AC6299" s="20"/>
      <c r="AG6299" s="29"/>
    </row>
    <row r="6300" spans="2:33">
      <c r="B6300" s="29"/>
      <c r="D6300" s="29"/>
      <c r="E6300" s="20"/>
      <c r="F6300" s="20"/>
      <c r="AC6300" s="20"/>
      <c r="AG6300" s="29"/>
    </row>
    <row r="6301" spans="2:33">
      <c r="B6301" s="29"/>
      <c r="D6301" s="29"/>
      <c r="E6301" s="20"/>
      <c r="F6301" s="20"/>
      <c r="AC6301" s="20"/>
      <c r="AG6301" s="29"/>
    </row>
    <row r="6302" spans="2:33">
      <c r="B6302" s="29"/>
      <c r="D6302" s="29"/>
      <c r="E6302" s="20"/>
      <c r="F6302" s="20"/>
      <c r="AC6302" s="20"/>
      <c r="AG6302" s="29"/>
    </row>
    <row r="6303" spans="2:33">
      <c r="B6303" s="29"/>
      <c r="D6303" s="29"/>
      <c r="E6303" s="20"/>
      <c r="F6303" s="20"/>
      <c r="AC6303" s="20"/>
      <c r="AG6303" s="29"/>
    </row>
    <row r="6304" spans="2:33">
      <c r="B6304" s="29"/>
      <c r="D6304" s="29"/>
      <c r="E6304" s="20"/>
      <c r="F6304" s="20"/>
      <c r="AC6304" s="20"/>
      <c r="AG6304" s="29"/>
    </row>
    <row r="6305" spans="2:33">
      <c r="B6305" s="29"/>
      <c r="D6305" s="29"/>
      <c r="E6305" s="20"/>
      <c r="F6305" s="20"/>
      <c r="AC6305" s="20"/>
      <c r="AG6305" s="29"/>
    </row>
    <row r="6306" spans="2:33">
      <c r="B6306" s="29"/>
      <c r="D6306" s="29"/>
      <c r="E6306" s="20"/>
      <c r="F6306" s="20"/>
      <c r="AC6306" s="20"/>
      <c r="AG6306" s="29"/>
    </row>
    <row r="6307" spans="2:33">
      <c r="B6307" s="29"/>
      <c r="D6307" s="29"/>
      <c r="E6307" s="20"/>
      <c r="F6307" s="20"/>
      <c r="AC6307" s="20"/>
      <c r="AG6307" s="29"/>
    </row>
    <row r="6308" spans="2:33">
      <c r="B6308" s="29"/>
      <c r="D6308" s="29"/>
      <c r="E6308" s="20"/>
      <c r="F6308" s="20"/>
      <c r="AC6308" s="20"/>
      <c r="AG6308" s="29"/>
    </row>
    <row r="6309" spans="2:33">
      <c r="B6309" s="29"/>
      <c r="D6309" s="29"/>
      <c r="E6309" s="20"/>
      <c r="F6309" s="20"/>
      <c r="AC6309" s="20"/>
      <c r="AG6309" s="29"/>
    </row>
    <row r="6310" spans="2:33">
      <c r="B6310" s="29"/>
      <c r="D6310" s="29"/>
      <c r="E6310" s="20"/>
      <c r="F6310" s="20"/>
      <c r="AC6310" s="20"/>
      <c r="AG6310" s="29"/>
    </row>
    <row r="6311" spans="2:33">
      <c r="B6311" s="29"/>
      <c r="D6311" s="29"/>
      <c r="E6311" s="20"/>
      <c r="F6311" s="20"/>
      <c r="AC6311" s="20"/>
      <c r="AG6311" s="29"/>
    </row>
    <row r="6312" spans="2:33">
      <c r="B6312" s="29"/>
      <c r="D6312" s="29"/>
      <c r="E6312" s="20"/>
      <c r="F6312" s="20"/>
      <c r="AC6312" s="20"/>
      <c r="AG6312" s="29"/>
    </row>
    <row r="6313" spans="2:33">
      <c r="B6313" s="29"/>
      <c r="D6313" s="29"/>
      <c r="E6313" s="20"/>
      <c r="F6313" s="20"/>
      <c r="AC6313" s="20"/>
      <c r="AG6313" s="29"/>
    </row>
    <row r="6314" spans="2:33">
      <c r="B6314" s="29"/>
      <c r="D6314" s="29"/>
      <c r="E6314" s="20"/>
      <c r="F6314" s="20"/>
      <c r="AC6314" s="20"/>
      <c r="AG6314" s="29"/>
    </row>
    <row r="6315" spans="2:33">
      <c r="B6315" s="29"/>
      <c r="D6315" s="29"/>
      <c r="E6315" s="20"/>
      <c r="F6315" s="20"/>
      <c r="AC6315" s="20"/>
      <c r="AG6315" s="29"/>
    </row>
    <row r="6316" spans="2:33">
      <c r="B6316" s="29"/>
      <c r="D6316" s="29"/>
      <c r="E6316" s="20"/>
      <c r="F6316" s="20"/>
      <c r="AC6316" s="20"/>
      <c r="AG6316" s="29"/>
    </row>
    <row r="6317" spans="2:33">
      <c r="B6317" s="29"/>
      <c r="D6317" s="29"/>
      <c r="E6317" s="20"/>
      <c r="F6317" s="20"/>
      <c r="AC6317" s="20"/>
      <c r="AG6317" s="29"/>
    </row>
    <row r="6318" spans="2:33">
      <c r="B6318" s="29"/>
      <c r="D6318" s="29"/>
      <c r="E6318" s="20"/>
      <c r="F6318" s="20"/>
      <c r="AC6318" s="20"/>
      <c r="AG6318" s="29"/>
    </row>
    <row r="6319" spans="2:33">
      <c r="B6319" s="29"/>
      <c r="D6319" s="29"/>
      <c r="E6319" s="20"/>
      <c r="F6319" s="20"/>
      <c r="AC6319" s="20"/>
      <c r="AG6319" s="29"/>
    </row>
    <row r="6320" spans="2:33">
      <c r="B6320" s="29"/>
      <c r="D6320" s="29"/>
      <c r="E6320" s="20"/>
      <c r="F6320" s="20"/>
      <c r="AC6320" s="20"/>
      <c r="AG6320" s="29"/>
    </row>
    <row r="6321" spans="2:33">
      <c r="B6321" s="29"/>
      <c r="D6321" s="29"/>
      <c r="E6321" s="20"/>
      <c r="F6321" s="20"/>
      <c r="AC6321" s="20"/>
      <c r="AG6321" s="29"/>
    </row>
    <row r="6322" spans="2:33">
      <c r="B6322" s="29"/>
      <c r="D6322" s="29"/>
      <c r="E6322" s="20"/>
      <c r="F6322" s="20"/>
      <c r="AC6322" s="20"/>
      <c r="AG6322" s="29"/>
    </row>
    <row r="6323" spans="2:33">
      <c r="B6323" s="29"/>
      <c r="D6323" s="29"/>
      <c r="E6323" s="20"/>
      <c r="F6323" s="20"/>
      <c r="AC6323" s="20"/>
      <c r="AG6323" s="29"/>
    </row>
    <row r="6324" spans="2:33">
      <c r="B6324" s="29"/>
      <c r="D6324" s="29"/>
      <c r="E6324" s="20"/>
      <c r="F6324" s="20"/>
      <c r="AC6324" s="20"/>
      <c r="AG6324" s="29"/>
    </row>
    <row r="6325" spans="2:33">
      <c r="B6325" s="29"/>
      <c r="D6325" s="29"/>
      <c r="E6325" s="20"/>
      <c r="F6325" s="20"/>
      <c r="AC6325" s="20"/>
      <c r="AG6325" s="29"/>
    </row>
    <row r="6326" spans="2:33">
      <c r="B6326" s="29"/>
      <c r="D6326" s="29"/>
      <c r="E6326" s="20"/>
      <c r="F6326" s="20"/>
      <c r="AC6326" s="20"/>
      <c r="AG6326" s="29"/>
    </row>
    <row r="6327" spans="2:33">
      <c r="B6327" s="29"/>
      <c r="D6327" s="29"/>
      <c r="E6327" s="20"/>
      <c r="F6327" s="20"/>
      <c r="AC6327" s="20"/>
      <c r="AG6327" s="29"/>
    </row>
    <row r="6328" spans="2:33">
      <c r="B6328" s="29"/>
      <c r="D6328" s="29"/>
      <c r="E6328" s="20"/>
      <c r="F6328" s="20"/>
      <c r="AC6328" s="20"/>
      <c r="AG6328" s="29"/>
    </row>
    <row r="6329" spans="2:33">
      <c r="B6329" s="29"/>
      <c r="D6329" s="29"/>
      <c r="E6329" s="20"/>
      <c r="F6329" s="20"/>
      <c r="AC6329" s="20"/>
      <c r="AG6329" s="29"/>
    </row>
    <row r="6330" spans="2:33">
      <c r="B6330" s="29"/>
      <c r="D6330" s="29"/>
      <c r="E6330" s="20"/>
      <c r="F6330" s="20"/>
      <c r="AC6330" s="20"/>
      <c r="AG6330" s="29"/>
    </row>
    <row r="6331" spans="2:33">
      <c r="B6331" s="29"/>
      <c r="D6331" s="29"/>
      <c r="E6331" s="20"/>
      <c r="F6331" s="20"/>
      <c r="AC6331" s="20"/>
      <c r="AG6331" s="29"/>
    </row>
    <row r="6332" spans="2:33">
      <c r="B6332" s="29"/>
      <c r="D6332" s="29"/>
      <c r="E6332" s="20"/>
      <c r="F6332" s="20"/>
      <c r="AC6332" s="20"/>
      <c r="AG6332" s="29"/>
    </row>
    <row r="6333" spans="2:33">
      <c r="B6333" s="29"/>
      <c r="D6333" s="29"/>
      <c r="E6333" s="20"/>
      <c r="F6333" s="20"/>
      <c r="AC6333" s="20"/>
      <c r="AG6333" s="29"/>
    </row>
    <row r="6334" spans="2:33">
      <c r="B6334" s="29"/>
      <c r="D6334" s="29"/>
      <c r="E6334" s="20"/>
      <c r="F6334" s="20"/>
      <c r="AC6334" s="20"/>
      <c r="AG6334" s="29"/>
    </row>
    <row r="6335" spans="2:33">
      <c r="B6335" s="29"/>
      <c r="D6335" s="29"/>
      <c r="E6335" s="20"/>
      <c r="F6335" s="20"/>
      <c r="AC6335" s="20"/>
      <c r="AG6335" s="29"/>
    </row>
    <row r="6336" spans="2:33">
      <c r="B6336" s="29"/>
      <c r="D6336" s="29"/>
      <c r="E6336" s="20"/>
      <c r="F6336" s="20"/>
      <c r="AC6336" s="20"/>
      <c r="AG6336" s="29"/>
    </row>
    <row r="6337" spans="2:33">
      <c r="B6337" s="29"/>
      <c r="D6337" s="29"/>
      <c r="E6337" s="20"/>
      <c r="F6337" s="20"/>
      <c r="AC6337" s="20"/>
      <c r="AG6337" s="29"/>
    </row>
    <row r="6338" spans="2:33">
      <c r="B6338" s="29"/>
      <c r="D6338" s="29"/>
      <c r="E6338" s="20"/>
      <c r="F6338" s="20"/>
      <c r="AC6338" s="20"/>
      <c r="AG6338" s="29"/>
    </row>
    <row r="6339" spans="2:33">
      <c r="B6339" s="29"/>
      <c r="D6339" s="29"/>
      <c r="E6339" s="20"/>
      <c r="F6339" s="20"/>
      <c r="AC6339" s="20"/>
      <c r="AG6339" s="29"/>
    </row>
    <row r="6340" spans="2:33">
      <c r="B6340" s="29"/>
      <c r="D6340" s="29"/>
      <c r="E6340" s="20"/>
      <c r="F6340" s="20"/>
      <c r="AC6340" s="20"/>
      <c r="AG6340" s="29"/>
    </row>
    <row r="6341" spans="2:33">
      <c r="B6341" s="29"/>
      <c r="D6341" s="29"/>
      <c r="E6341" s="20"/>
      <c r="F6341" s="20"/>
      <c r="AC6341" s="20"/>
      <c r="AG6341" s="29"/>
    </row>
    <row r="6342" spans="2:33">
      <c r="B6342" s="29"/>
      <c r="D6342" s="29"/>
      <c r="E6342" s="20"/>
      <c r="F6342" s="20"/>
      <c r="AC6342" s="20"/>
      <c r="AG6342" s="29"/>
    </row>
    <row r="6343" spans="2:33">
      <c r="B6343" s="29"/>
      <c r="D6343" s="29"/>
      <c r="E6343" s="20"/>
      <c r="F6343" s="20"/>
      <c r="AC6343" s="20"/>
      <c r="AG6343" s="29"/>
    </row>
    <row r="6344" spans="2:33">
      <c r="B6344" s="29"/>
      <c r="D6344" s="29"/>
      <c r="E6344" s="20"/>
      <c r="F6344" s="20"/>
      <c r="AC6344" s="20"/>
      <c r="AG6344" s="29"/>
    </row>
    <row r="6345" spans="2:33">
      <c r="B6345" s="29"/>
      <c r="D6345" s="29"/>
      <c r="E6345" s="20"/>
      <c r="F6345" s="20"/>
      <c r="AC6345" s="20"/>
      <c r="AG6345" s="29"/>
    </row>
    <row r="6346" spans="2:33">
      <c r="B6346" s="29"/>
      <c r="D6346" s="29"/>
      <c r="E6346" s="20"/>
      <c r="F6346" s="20"/>
      <c r="AC6346" s="20"/>
      <c r="AG6346" s="29"/>
    </row>
    <row r="6347" spans="2:33">
      <c r="B6347" s="29"/>
      <c r="D6347" s="29"/>
      <c r="E6347" s="20"/>
      <c r="F6347" s="20"/>
      <c r="AC6347" s="20"/>
      <c r="AG6347" s="29"/>
    </row>
    <row r="6348" spans="2:33">
      <c r="B6348" s="29"/>
      <c r="D6348" s="29"/>
      <c r="E6348" s="20"/>
      <c r="F6348" s="20"/>
      <c r="AC6348" s="20"/>
      <c r="AG6348" s="29"/>
    </row>
    <row r="6349" spans="2:33">
      <c r="B6349" s="29"/>
      <c r="D6349" s="29"/>
      <c r="E6349" s="20"/>
      <c r="F6349" s="20"/>
      <c r="AC6349" s="20"/>
      <c r="AG6349" s="29"/>
    </row>
    <row r="6350" spans="2:33">
      <c r="B6350" s="29"/>
      <c r="D6350" s="29"/>
      <c r="E6350" s="20"/>
      <c r="F6350" s="20"/>
      <c r="AC6350" s="20"/>
      <c r="AG6350" s="29"/>
    </row>
    <row r="6351" spans="2:33">
      <c r="B6351" s="29"/>
      <c r="D6351" s="29"/>
      <c r="E6351" s="20"/>
      <c r="F6351" s="20"/>
      <c r="AC6351" s="20"/>
      <c r="AG6351" s="29"/>
    </row>
    <row r="6352" spans="2:33">
      <c r="B6352" s="29"/>
      <c r="D6352" s="29"/>
      <c r="E6352" s="20"/>
      <c r="F6352" s="20"/>
      <c r="AC6352" s="20"/>
      <c r="AG6352" s="29"/>
    </row>
    <row r="6353" spans="2:33">
      <c r="B6353" s="29"/>
      <c r="D6353" s="29"/>
      <c r="E6353" s="20"/>
      <c r="F6353" s="20"/>
      <c r="AC6353" s="20"/>
      <c r="AG6353" s="29"/>
    </row>
    <row r="6354" spans="2:33">
      <c r="B6354" s="29"/>
      <c r="D6354" s="29"/>
      <c r="E6354" s="20"/>
      <c r="F6354" s="20"/>
      <c r="AC6354" s="20"/>
      <c r="AG6354" s="29"/>
    </row>
    <row r="6355" spans="2:33">
      <c r="B6355" s="29"/>
      <c r="D6355" s="29"/>
      <c r="E6355" s="20"/>
      <c r="F6355" s="20"/>
      <c r="AC6355" s="20"/>
      <c r="AG6355" s="29"/>
    </row>
    <row r="6356" spans="2:33">
      <c r="B6356" s="29"/>
      <c r="D6356" s="29"/>
      <c r="E6356" s="20"/>
      <c r="F6356" s="20"/>
      <c r="AC6356" s="20"/>
      <c r="AG6356" s="29"/>
    </row>
    <row r="6357" spans="2:33">
      <c r="B6357" s="29"/>
      <c r="D6357" s="29"/>
      <c r="E6357" s="20"/>
      <c r="F6357" s="20"/>
      <c r="AC6357" s="20"/>
      <c r="AG6357" s="29"/>
    </row>
    <row r="6358" spans="2:33">
      <c r="B6358" s="29"/>
      <c r="D6358" s="29"/>
      <c r="E6358" s="20"/>
      <c r="F6358" s="20"/>
      <c r="AC6358" s="20"/>
      <c r="AG6358" s="29"/>
    </row>
    <row r="6359" spans="2:33">
      <c r="B6359" s="29"/>
      <c r="D6359" s="29"/>
      <c r="E6359" s="20"/>
      <c r="F6359" s="20"/>
      <c r="AC6359" s="20"/>
      <c r="AG6359" s="29"/>
    </row>
    <row r="6360" spans="2:33">
      <c r="B6360" s="29"/>
      <c r="D6360" s="29"/>
      <c r="E6360" s="20"/>
      <c r="F6360" s="20"/>
      <c r="AC6360" s="20"/>
      <c r="AG6360" s="29"/>
    </row>
    <row r="6361" spans="2:33">
      <c r="B6361" s="29"/>
      <c r="D6361" s="29"/>
      <c r="E6361" s="20"/>
      <c r="F6361" s="20"/>
      <c r="AC6361" s="20"/>
      <c r="AG6361" s="29"/>
    </row>
    <row r="6362" spans="2:33">
      <c r="B6362" s="29"/>
      <c r="D6362" s="29"/>
      <c r="E6362" s="20"/>
      <c r="F6362" s="20"/>
      <c r="AC6362" s="20"/>
      <c r="AG6362" s="29"/>
    </row>
    <row r="6363" spans="2:33">
      <c r="B6363" s="29"/>
      <c r="D6363" s="29"/>
      <c r="E6363" s="20"/>
      <c r="F6363" s="20"/>
      <c r="AC6363" s="20"/>
      <c r="AG6363" s="29"/>
    </row>
    <row r="6364" spans="2:33">
      <c r="B6364" s="29"/>
      <c r="D6364" s="29"/>
      <c r="E6364" s="20"/>
      <c r="F6364" s="20"/>
      <c r="AC6364" s="20"/>
      <c r="AG6364" s="29"/>
    </row>
    <row r="6365" spans="2:33">
      <c r="B6365" s="29"/>
      <c r="D6365" s="29"/>
      <c r="E6365" s="20"/>
      <c r="F6365" s="20"/>
      <c r="AC6365" s="20"/>
      <c r="AG6365" s="29"/>
    </row>
    <row r="6366" spans="2:33">
      <c r="B6366" s="29"/>
      <c r="D6366" s="29"/>
      <c r="E6366" s="20"/>
      <c r="F6366" s="20"/>
      <c r="AC6366" s="20"/>
      <c r="AG6366" s="29"/>
    </row>
    <row r="6367" spans="2:33">
      <c r="B6367" s="29"/>
      <c r="D6367" s="29"/>
      <c r="E6367" s="20"/>
      <c r="F6367" s="20"/>
      <c r="AC6367" s="20"/>
      <c r="AG6367" s="29"/>
    </row>
    <row r="6368" spans="2:33">
      <c r="B6368" s="29"/>
      <c r="D6368" s="29"/>
      <c r="E6368" s="20"/>
      <c r="F6368" s="20"/>
      <c r="AC6368" s="20"/>
      <c r="AG6368" s="29"/>
    </row>
    <row r="6369" spans="2:33">
      <c r="B6369" s="29"/>
      <c r="D6369" s="29"/>
      <c r="E6369" s="20"/>
      <c r="F6369" s="20"/>
      <c r="AC6369" s="20"/>
      <c r="AG6369" s="29"/>
    </row>
    <row r="6370" spans="2:33">
      <c r="B6370" s="29"/>
      <c r="D6370" s="29"/>
      <c r="E6370" s="20"/>
      <c r="F6370" s="20"/>
      <c r="AC6370" s="20"/>
      <c r="AG6370" s="29"/>
    </row>
    <row r="6371" spans="2:33">
      <c r="B6371" s="29"/>
      <c r="D6371" s="29"/>
      <c r="E6371" s="20"/>
      <c r="F6371" s="20"/>
      <c r="AC6371" s="20"/>
      <c r="AG6371" s="29"/>
    </row>
    <row r="6372" spans="2:33">
      <c r="B6372" s="29"/>
      <c r="D6372" s="29"/>
      <c r="E6372" s="20"/>
      <c r="F6372" s="20"/>
      <c r="AC6372" s="20"/>
      <c r="AG6372" s="29"/>
    </row>
    <row r="6373" spans="2:33">
      <c r="B6373" s="29"/>
      <c r="D6373" s="29"/>
      <c r="E6373" s="20"/>
      <c r="F6373" s="20"/>
      <c r="AC6373" s="20"/>
      <c r="AG6373" s="29"/>
    </row>
    <row r="6374" spans="2:33">
      <c r="B6374" s="29"/>
      <c r="D6374" s="29"/>
      <c r="E6374" s="20"/>
      <c r="F6374" s="20"/>
      <c r="AC6374" s="20"/>
      <c r="AG6374" s="29"/>
    </row>
    <row r="6375" spans="2:33">
      <c r="B6375" s="29"/>
      <c r="D6375" s="29"/>
      <c r="E6375" s="20"/>
      <c r="F6375" s="20"/>
      <c r="AC6375" s="20"/>
      <c r="AG6375" s="29"/>
    </row>
    <row r="6376" spans="2:33">
      <c r="B6376" s="29"/>
      <c r="D6376" s="29"/>
      <c r="E6376" s="20"/>
      <c r="F6376" s="20"/>
      <c r="AC6376" s="20"/>
      <c r="AG6376" s="29"/>
    </row>
    <row r="6377" spans="2:33">
      <c r="B6377" s="29"/>
      <c r="D6377" s="29"/>
      <c r="E6377" s="20"/>
      <c r="F6377" s="20"/>
      <c r="AC6377" s="20"/>
      <c r="AG6377" s="29"/>
    </row>
    <row r="6378" spans="2:33">
      <c r="B6378" s="29"/>
      <c r="D6378" s="29"/>
      <c r="E6378" s="20"/>
      <c r="F6378" s="20"/>
      <c r="AC6378" s="20"/>
      <c r="AG6378" s="29"/>
    </row>
    <row r="6379" spans="2:33">
      <c r="B6379" s="29"/>
      <c r="D6379" s="29"/>
      <c r="E6379" s="20"/>
      <c r="F6379" s="20"/>
      <c r="AC6379" s="20"/>
      <c r="AG6379" s="29"/>
    </row>
    <row r="6380" spans="2:33">
      <c r="B6380" s="29"/>
      <c r="D6380" s="29"/>
      <c r="E6380" s="20"/>
      <c r="F6380" s="20"/>
      <c r="AC6380" s="20"/>
      <c r="AG6380" s="29"/>
    </row>
    <row r="6381" spans="2:33">
      <c r="B6381" s="29"/>
      <c r="D6381" s="29"/>
      <c r="E6381" s="20"/>
      <c r="F6381" s="20"/>
      <c r="AC6381" s="20"/>
      <c r="AG6381" s="29"/>
    </row>
    <row r="6382" spans="2:33">
      <c r="B6382" s="29"/>
      <c r="D6382" s="29"/>
      <c r="E6382" s="20"/>
      <c r="F6382" s="20"/>
      <c r="AC6382" s="20"/>
      <c r="AG6382" s="29"/>
    </row>
    <row r="6383" spans="2:33">
      <c r="B6383" s="29"/>
      <c r="D6383" s="29"/>
      <c r="E6383" s="20"/>
      <c r="F6383" s="20"/>
      <c r="AC6383" s="20"/>
      <c r="AG6383" s="29"/>
    </row>
    <row r="6384" spans="2:33">
      <c r="B6384" s="29"/>
      <c r="D6384" s="29"/>
      <c r="E6384" s="20"/>
      <c r="F6384" s="20"/>
      <c r="AC6384" s="20"/>
      <c r="AG6384" s="29"/>
    </row>
    <row r="6385" spans="2:33">
      <c r="B6385" s="29"/>
      <c r="D6385" s="29"/>
      <c r="E6385" s="20"/>
      <c r="F6385" s="20"/>
      <c r="AC6385" s="20"/>
      <c r="AG6385" s="29"/>
    </row>
    <row r="6386" spans="2:33">
      <c r="B6386" s="29"/>
      <c r="D6386" s="29"/>
      <c r="E6386" s="20"/>
      <c r="F6386" s="20"/>
      <c r="AC6386" s="20"/>
      <c r="AG6386" s="29"/>
    </row>
    <row r="6387" spans="2:33">
      <c r="B6387" s="29"/>
      <c r="D6387" s="29"/>
      <c r="E6387" s="20"/>
      <c r="F6387" s="20"/>
      <c r="AC6387" s="20"/>
      <c r="AG6387" s="29"/>
    </row>
    <row r="6388" spans="2:33">
      <c r="B6388" s="29"/>
      <c r="D6388" s="29"/>
      <c r="E6388" s="20"/>
      <c r="F6388" s="20"/>
      <c r="AC6388" s="20"/>
      <c r="AG6388" s="29"/>
    </row>
    <row r="6389" spans="2:33">
      <c r="B6389" s="29"/>
      <c r="D6389" s="29"/>
      <c r="E6389" s="20"/>
      <c r="F6389" s="20"/>
      <c r="AC6389" s="20"/>
      <c r="AG6389" s="29"/>
    </row>
    <row r="6390" spans="2:33">
      <c r="B6390" s="29"/>
      <c r="D6390" s="29"/>
      <c r="E6390" s="20"/>
      <c r="F6390" s="20"/>
      <c r="AC6390" s="20"/>
      <c r="AG6390" s="29"/>
    </row>
    <row r="6391" spans="2:33">
      <c r="B6391" s="29"/>
      <c r="D6391" s="29"/>
      <c r="E6391" s="20"/>
      <c r="F6391" s="20"/>
      <c r="AC6391" s="20"/>
      <c r="AG6391" s="29"/>
    </row>
    <row r="6392" spans="2:33">
      <c r="B6392" s="29"/>
      <c r="D6392" s="29"/>
      <c r="E6392" s="20"/>
      <c r="F6392" s="20"/>
      <c r="AC6392" s="20"/>
      <c r="AG6392" s="29"/>
    </row>
    <row r="6393" spans="2:33">
      <c r="B6393" s="29"/>
      <c r="D6393" s="29"/>
      <c r="E6393" s="20"/>
      <c r="F6393" s="20"/>
      <c r="AC6393" s="20"/>
      <c r="AG6393" s="29"/>
    </row>
    <row r="6394" spans="2:33">
      <c r="B6394" s="29"/>
      <c r="D6394" s="29"/>
      <c r="E6394" s="20"/>
      <c r="F6394" s="20"/>
      <c r="AC6394" s="20"/>
      <c r="AG6394" s="29"/>
    </row>
    <row r="6395" spans="2:33">
      <c r="B6395" s="29"/>
      <c r="D6395" s="29"/>
      <c r="E6395" s="20"/>
      <c r="F6395" s="20"/>
      <c r="AC6395" s="20"/>
      <c r="AG6395" s="29"/>
    </row>
    <row r="6396" spans="2:33">
      <c r="B6396" s="29"/>
      <c r="D6396" s="29"/>
      <c r="E6396" s="20"/>
      <c r="F6396" s="20"/>
      <c r="AC6396" s="20"/>
      <c r="AG6396" s="29"/>
    </row>
    <row r="6397" spans="2:33">
      <c r="B6397" s="29"/>
      <c r="D6397" s="29"/>
      <c r="E6397" s="20"/>
      <c r="F6397" s="20"/>
      <c r="AC6397" s="20"/>
      <c r="AG6397" s="29"/>
    </row>
    <row r="6398" spans="2:33">
      <c r="B6398" s="29"/>
      <c r="D6398" s="29"/>
      <c r="E6398" s="20"/>
      <c r="F6398" s="20"/>
      <c r="AC6398" s="20"/>
      <c r="AG6398" s="29"/>
    </row>
    <row r="6399" spans="2:33">
      <c r="B6399" s="29"/>
      <c r="D6399" s="29"/>
      <c r="E6399" s="20"/>
      <c r="F6399" s="20"/>
      <c r="AC6399" s="20"/>
      <c r="AG6399" s="29"/>
    </row>
    <row r="6400" spans="2:33">
      <c r="B6400" s="29"/>
      <c r="D6400" s="29"/>
      <c r="E6400" s="20"/>
      <c r="F6400" s="20"/>
      <c r="AC6400" s="20"/>
      <c r="AG6400" s="29"/>
    </row>
    <row r="6401" spans="2:33">
      <c r="B6401" s="29"/>
      <c r="D6401" s="29"/>
      <c r="E6401" s="20"/>
      <c r="F6401" s="20"/>
      <c r="AC6401" s="20"/>
      <c r="AG6401" s="29"/>
    </row>
    <row r="6402" spans="2:33">
      <c r="B6402" s="29"/>
      <c r="D6402" s="29"/>
      <c r="E6402" s="20"/>
      <c r="F6402" s="20"/>
      <c r="AC6402" s="20"/>
      <c r="AG6402" s="29"/>
    </row>
    <row r="6403" spans="2:33">
      <c r="B6403" s="29"/>
      <c r="D6403" s="29"/>
      <c r="E6403" s="20"/>
      <c r="F6403" s="20"/>
      <c r="AC6403" s="20"/>
      <c r="AG6403" s="29"/>
    </row>
    <row r="6404" spans="2:33">
      <c r="B6404" s="29"/>
      <c r="D6404" s="29"/>
      <c r="E6404" s="20"/>
      <c r="F6404" s="20"/>
      <c r="AC6404" s="20"/>
      <c r="AG6404" s="29"/>
    </row>
    <row r="6405" spans="2:33">
      <c r="B6405" s="29"/>
      <c r="D6405" s="29"/>
      <c r="E6405" s="20"/>
      <c r="F6405" s="20"/>
      <c r="AC6405" s="20"/>
      <c r="AG6405" s="29"/>
    </row>
    <row r="6406" spans="2:33">
      <c r="B6406" s="29"/>
      <c r="D6406" s="29"/>
      <c r="E6406" s="20"/>
      <c r="F6406" s="20"/>
      <c r="AC6406" s="20"/>
      <c r="AG6406" s="29"/>
    </row>
    <row r="6407" spans="2:33">
      <c r="B6407" s="29"/>
      <c r="D6407" s="29"/>
      <c r="E6407" s="20"/>
      <c r="F6407" s="20"/>
      <c r="AC6407" s="20"/>
      <c r="AG6407" s="29"/>
    </row>
    <row r="6408" spans="2:33">
      <c r="B6408" s="29"/>
      <c r="D6408" s="29"/>
      <c r="E6408" s="20"/>
      <c r="F6408" s="20"/>
      <c r="AC6408" s="20"/>
      <c r="AG6408" s="29"/>
    </row>
    <row r="6409" spans="2:33">
      <c r="B6409" s="29"/>
      <c r="D6409" s="29"/>
      <c r="E6409" s="20"/>
      <c r="F6409" s="20"/>
      <c r="AC6409" s="20"/>
      <c r="AG6409" s="29"/>
    </row>
    <row r="6410" spans="2:33">
      <c r="B6410" s="29"/>
      <c r="D6410" s="29"/>
      <c r="E6410" s="20"/>
      <c r="F6410" s="20"/>
      <c r="AC6410" s="20"/>
      <c r="AG6410" s="29"/>
    </row>
    <row r="6411" spans="2:33">
      <c r="B6411" s="29"/>
      <c r="D6411" s="29"/>
      <c r="E6411" s="20"/>
      <c r="F6411" s="20"/>
      <c r="AC6411" s="20"/>
      <c r="AG6411" s="29"/>
    </row>
    <row r="6412" spans="2:33">
      <c r="B6412" s="29"/>
      <c r="D6412" s="29"/>
      <c r="E6412" s="20"/>
      <c r="F6412" s="20"/>
      <c r="AC6412" s="20"/>
      <c r="AG6412" s="29"/>
    </row>
    <row r="6413" spans="2:33">
      <c r="B6413" s="29"/>
      <c r="D6413" s="29"/>
      <c r="E6413" s="20"/>
      <c r="F6413" s="20"/>
      <c r="AC6413" s="20"/>
      <c r="AG6413" s="29"/>
    </row>
    <row r="6414" spans="2:33">
      <c r="B6414" s="29"/>
      <c r="D6414" s="29"/>
      <c r="E6414" s="20"/>
      <c r="F6414" s="20"/>
      <c r="AC6414" s="20"/>
      <c r="AG6414" s="29"/>
    </row>
    <row r="6415" spans="2:33">
      <c r="B6415" s="29"/>
      <c r="D6415" s="29"/>
      <c r="E6415" s="20"/>
      <c r="F6415" s="20"/>
      <c r="AC6415" s="20"/>
      <c r="AG6415" s="29"/>
    </row>
    <row r="6416" spans="2:33">
      <c r="B6416" s="29"/>
      <c r="D6416" s="29"/>
      <c r="E6416" s="20"/>
      <c r="F6416" s="20"/>
      <c r="AC6416" s="20"/>
      <c r="AG6416" s="29"/>
    </row>
    <row r="6417" spans="2:33">
      <c r="B6417" s="29"/>
      <c r="D6417" s="29"/>
      <c r="E6417" s="20"/>
      <c r="F6417" s="20"/>
      <c r="AC6417" s="20"/>
      <c r="AG6417" s="29"/>
    </row>
    <row r="6418" spans="2:33">
      <c r="B6418" s="29"/>
      <c r="D6418" s="29"/>
      <c r="E6418" s="20"/>
      <c r="F6418" s="20"/>
      <c r="AC6418" s="20"/>
      <c r="AG6418" s="29"/>
    </row>
    <row r="6419" spans="2:33">
      <c r="B6419" s="29"/>
      <c r="D6419" s="29"/>
      <c r="E6419" s="20"/>
      <c r="F6419" s="20"/>
      <c r="AC6419" s="20"/>
      <c r="AG6419" s="29"/>
    </row>
    <row r="6420" spans="2:33">
      <c r="B6420" s="29"/>
      <c r="D6420" s="29"/>
      <c r="E6420" s="20"/>
      <c r="F6420" s="20"/>
      <c r="AC6420" s="20"/>
      <c r="AG6420" s="29"/>
    </row>
    <row r="6421" spans="2:33">
      <c r="B6421" s="29"/>
      <c r="D6421" s="29"/>
      <c r="E6421" s="20"/>
      <c r="F6421" s="20"/>
      <c r="AC6421" s="20"/>
      <c r="AG6421" s="29"/>
    </row>
    <row r="6422" spans="2:33">
      <c r="B6422" s="29"/>
      <c r="D6422" s="29"/>
      <c r="E6422" s="20"/>
      <c r="F6422" s="20"/>
      <c r="AC6422" s="20"/>
      <c r="AG6422" s="29"/>
    </row>
    <row r="6423" spans="2:33">
      <c r="B6423" s="29"/>
      <c r="D6423" s="29"/>
      <c r="E6423" s="20"/>
      <c r="F6423" s="20"/>
      <c r="AC6423" s="20"/>
      <c r="AG6423" s="29"/>
    </row>
    <row r="6424" spans="2:33">
      <c r="B6424" s="29"/>
      <c r="D6424" s="29"/>
      <c r="E6424" s="20"/>
      <c r="F6424" s="20"/>
      <c r="AC6424" s="20"/>
      <c r="AG6424" s="29"/>
    </row>
    <row r="6425" spans="2:33">
      <c r="B6425" s="29"/>
      <c r="D6425" s="29"/>
      <c r="E6425" s="20"/>
      <c r="F6425" s="20"/>
      <c r="AC6425" s="20"/>
      <c r="AG6425" s="29"/>
    </row>
    <row r="6426" spans="2:33">
      <c r="B6426" s="29"/>
      <c r="D6426" s="29"/>
      <c r="E6426" s="20"/>
      <c r="F6426" s="20"/>
      <c r="AC6426" s="20"/>
      <c r="AG6426" s="29"/>
    </row>
    <row r="6427" spans="2:33">
      <c r="B6427" s="29"/>
      <c r="D6427" s="29"/>
      <c r="E6427" s="20"/>
      <c r="F6427" s="20"/>
      <c r="AC6427" s="20"/>
      <c r="AG6427" s="29"/>
    </row>
    <row r="6428" spans="2:33">
      <c r="B6428" s="29"/>
      <c r="D6428" s="29"/>
      <c r="E6428" s="20"/>
      <c r="F6428" s="20"/>
      <c r="AC6428" s="20"/>
      <c r="AG6428" s="29"/>
    </row>
    <row r="6429" spans="2:33">
      <c r="B6429" s="29"/>
      <c r="D6429" s="29"/>
      <c r="E6429" s="20"/>
      <c r="F6429" s="20"/>
      <c r="AC6429" s="20"/>
      <c r="AG6429" s="29"/>
    </row>
    <row r="6430" spans="2:33">
      <c r="B6430" s="29"/>
      <c r="D6430" s="29"/>
      <c r="E6430" s="20"/>
      <c r="F6430" s="20"/>
      <c r="AC6430" s="20"/>
      <c r="AG6430" s="29"/>
    </row>
    <row r="6431" spans="2:33">
      <c r="B6431" s="29"/>
      <c r="D6431" s="29"/>
      <c r="E6431" s="20"/>
      <c r="F6431" s="20"/>
      <c r="AC6431" s="20"/>
      <c r="AG6431" s="29"/>
    </row>
    <row r="6432" spans="2:33">
      <c r="B6432" s="29"/>
      <c r="D6432" s="29"/>
      <c r="E6432" s="20"/>
      <c r="F6432" s="20"/>
      <c r="AC6432" s="20"/>
      <c r="AG6432" s="29"/>
    </row>
    <row r="6433" spans="2:33">
      <c r="B6433" s="29"/>
      <c r="D6433" s="29"/>
      <c r="E6433" s="20"/>
      <c r="F6433" s="20"/>
      <c r="AC6433" s="20"/>
      <c r="AG6433" s="29"/>
    </row>
    <row r="6434" spans="2:33">
      <c r="B6434" s="29"/>
      <c r="D6434" s="29"/>
      <c r="E6434" s="20"/>
      <c r="F6434" s="20"/>
      <c r="AC6434" s="20"/>
      <c r="AG6434" s="29"/>
    </row>
    <row r="6435" spans="2:33">
      <c r="B6435" s="29"/>
      <c r="D6435" s="29"/>
      <c r="E6435" s="20"/>
      <c r="F6435" s="20"/>
      <c r="AC6435" s="20"/>
      <c r="AG6435" s="29"/>
    </row>
    <row r="6436" spans="2:33">
      <c r="B6436" s="29"/>
      <c r="D6436" s="29"/>
      <c r="E6436" s="20"/>
      <c r="F6436" s="20"/>
      <c r="AC6436" s="20"/>
      <c r="AG6436" s="29"/>
    </row>
    <row r="6437" spans="2:33">
      <c r="B6437" s="29"/>
      <c r="D6437" s="29"/>
      <c r="E6437" s="20"/>
      <c r="F6437" s="20"/>
      <c r="AC6437" s="20"/>
      <c r="AG6437" s="29"/>
    </row>
    <row r="6438" spans="2:33">
      <c r="B6438" s="29"/>
      <c r="D6438" s="29"/>
      <c r="E6438" s="20"/>
      <c r="F6438" s="20"/>
      <c r="AC6438" s="20"/>
      <c r="AG6438" s="29"/>
    </row>
    <row r="6439" spans="2:33">
      <c r="B6439" s="29"/>
      <c r="D6439" s="29"/>
      <c r="E6439" s="20"/>
      <c r="F6439" s="20"/>
      <c r="AC6439" s="20"/>
      <c r="AG6439" s="29"/>
    </row>
    <row r="6440" spans="2:33">
      <c r="B6440" s="29"/>
      <c r="D6440" s="29"/>
      <c r="E6440" s="20"/>
      <c r="F6440" s="20"/>
      <c r="AC6440" s="20"/>
      <c r="AG6440" s="29"/>
    </row>
    <row r="6441" spans="2:33">
      <c r="B6441" s="29"/>
      <c r="D6441" s="29"/>
      <c r="E6441" s="20"/>
      <c r="F6441" s="20"/>
      <c r="AC6441" s="20"/>
      <c r="AG6441" s="29"/>
    </row>
    <row r="6442" spans="2:33">
      <c r="B6442" s="29"/>
      <c r="D6442" s="29"/>
      <c r="E6442" s="20"/>
      <c r="F6442" s="20"/>
      <c r="AC6442" s="20"/>
      <c r="AG6442" s="29"/>
    </row>
    <row r="6443" spans="2:33">
      <c r="B6443" s="29"/>
      <c r="D6443" s="29"/>
      <c r="E6443" s="20"/>
      <c r="F6443" s="20"/>
      <c r="AC6443" s="20"/>
      <c r="AG6443" s="29"/>
    </row>
    <row r="6444" spans="2:33">
      <c r="B6444" s="29"/>
      <c r="D6444" s="29"/>
      <c r="E6444" s="20"/>
      <c r="F6444" s="20"/>
      <c r="AC6444" s="20"/>
      <c r="AG6444" s="29"/>
    </row>
    <row r="6445" spans="2:33">
      <c r="B6445" s="29"/>
      <c r="D6445" s="29"/>
      <c r="E6445" s="20"/>
      <c r="F6445" s="20"/>
      <c r="AC6445" s="20"/>
      <c r="AG6445" s="29"/>
    </row>
    <row r="6446" spans="2:33">
      <c r="B6446" s="29"/>
      <c r="D6446" s="29"/>
      <c r="E6446" s="20"/>
      <c r="F6446" s="20"/>
      <c r="AC6446" s="20"/>
      <c r="AG6446" s="29"/>
    </row>
    <row r="6447" spans="2:33">
      <c r="B6447" s="29"/>
      <c r="D6447" s="29"/>
      <c r="E6447" s="20"/>
      <c r="F6447" s="20"/>
      <c r="AC6447" s="20"/>
      <c r="AG6447" s="29"/>
    </row>
    <row r="6448" spans="2:33">
      <c r="B6448" s="29"/>
      <c r="D6448" s="29"/>
      <c r="E6448" s="20"/>
      <c r="F6448" s="20"/>
      <c r="AC6448" s="20"/>
      <c r="AG6448" s="29"/>
    </row>
    <row r="6449" spans="2:33">
      <c r="B6449" s="29"/>
      <c r="D6449" s="29"/>
      <c r="E6449" s="20"/>
      <c r="F6449" s="20"/>
      <c r="AC6449" s="20"/>
      <c r="AG6449" s="29"/>
    </row>
    <row r="6450" spans="2:33">
      <c r="B6450" s="29"/>
      <c r="D6450" s="29"/>
      <c r="E6450" s="20"/>
      <c r="F6450" s="20"/>
      <c r="AC6450" s="20"/>
      <c r="AG6450" s="29"/>
    </row>
    <row r="6451" spans="2:33">
      <c r="B6451" s="29"/>
      <c r="D6451" s="29"/>
      <c r="E6451" s="20"/>
      <c r="F6451" s="20"/>
      <c r="AC6451" s="20"/>
      <c r="AG6451" s="29"/>
    </row>
    <row r="6452" spans="2:33">
      <c r="B6452" s="29"/>
      <c r="D6452" s="29"/>
      <c r="E6452" s="20"/>
      <c r="F6452" s="20"/>
      <c r="AC6452" s="20"/>
      <c r="AG6452" s="29"/>
    </row>
    <row r="6453" spans="2:33">
      <c r="B6453" s="29"/>
      <c r="D6453" s="29"/>
      <c r="E6453" s="20"/>
      <c r="F6453" s="20"/>
      <c r="AC6453" s="20"/>
      <c r="AG6453" s="29"/>
    </row>
    <row r="6454" spans="2:33">
      <c r="B6454" s="29"/>
      <c r="D6454" s="29"/>
      <c r="E6454" s="20"/>
      <c r="F6454" s="20"/>
      <c r="AC6454" s="20"/>
      <c r="AG6454" s="29"/>
    </row>
    <row r="6455" spans="2:33">
      <c r="B6455" s="29"/>
      <c r="D6455" s="29"/>
      <c r="E6455" s="20"/>
      <c r="F6455" s="20"/>
      <c r="AC6455" s="20"/>
      <c r="AG6455" s="29"/>
    </row>
    <row r="6456" spans="2:33">
      <c r="B6456" s="29"/>
      <c r="D6456" s="29"/>
      <c r="E6456" s="20"/>
      <c r="F6456" s="20"/>
      <c r="AC6456" s="20"/>
      <c r="AG6456" s="29"/>
    </row>
    <row r="6457" spans="2:33">
      <c r="B6457" s="29"/>
      <c r="D6457" s="29"/>
      <c r="E6457" s="20"/>
      <c r="F6457" s="20"/>
      <c r="AC6457" s="20"/>
      <c r="AG6457" s="29"/>
    </row>
    <row r="6458" spans="2:33">
      <c r="B6458" s="29"/>
      <c r="D6458" s="29"/>
      <c r="E6458" s="20"/>
      <c r="F6458" s="20"/>
      <c r="AC6458" s="20"/>
      <c r="AG6458" s="29"/>
    </row>
    <row r="6459" spans="2:33">
      <c r="B6459" s="29"/>
      <c r="D6459" s="29"/>
      <c r="E6459" s="20"/>
      <c r="F6459" s="20"/>
      <c r="AC6459" s="20"/>
      <c r="AG6459" s="29"/>
    </row>
    <row r="6460" spans="2:33">
      <c r="B6460" s="29"/>
      <c r="D6460" s="29"/>
      <c r="E6460" s="20"/>
      <c r="F6460" s="20"/>
      <c r="AC6460" s="20"/>
      <c r="AG6460" s="29"/>
    </row>
    <row r="6461" spans="2:33">
      <c r="B6461" s="29"/>
      <c r="D6461" s="29"/>
      <c r="E6461" s="20"/>
      <c r="F6461" s="20"/>
      <c r="AC6461" s="20"/>
      <c r="AG6461" s="29"/>
    </row>
    <row r="6462" spans="2:33">
      <c r="B6462" s="29"/>
      <c r="D6462" s="29"/>
      <c r="E6462" s="20"/>
      <c r="F6462" s="20"/>
      <c r="AC6462" s="20"/>
      <c r="AG6462" s="29"/>
    </row>
    <row r="6463" spans="2:33">
      <c r="B6463" s="29"/>
      <c r="D6463" s="29"/>
      <c r="E6463" s="20"/>
      <c r="F6463" s="20"/>
      <c r="AC6463" s="20"/>
      <c r="AG6463" s="29"/>
    </row>
    <row r="6464" spans="2:33">
      <c r="B6464" s="29"/>
      <c r="D6464" s="29"/>
      <c r="E6464" s="20"/>
      <c r="F6464" s="20"/>
      <c r="AC6464" s="20"/>
      <c r="AG6464" s="29"/>
    </row>
    <row r="6465" spans="2:33">
      <c r="B6465" s="29"/>
      <c r="D6465" s="29"/>
      <c r="E6465" s="20"/>
      <c r="F6465" s="20"/>
      <c r="AC6465" s="20"/>
      <c r="AG6465" s="29"/>
    </row>
    <row r="6466" spans="2:33">
      <c r="B6466" s="29"/>
      <c r="D6466" s="29"/>
      <c r="E6466" s="20"/>
      <c r="F6466" s="20"/>
      <c r="AC6466" s="20"/>
      <c r="AG6466" s="29"/>
    </row>
    <row r="6467" spans="2:33">
      <c r="B6467" s="29"/>
      <c r="D6467" s="29"/>
      <c r="E6467" s="20"/>
      <c r="F6467" s="20"/>
      <c r="AC6467" s="20"/>
      <c r="AG6467" s="29"/>
    </row>
    <row r="6468" spans="2:33">
      <c r="B6468" s="29"/>
      <c r="D6468" s="29"/>
      <c r="E6468" s="20"/>
      <c r="F6468" s="20"/>
      <c r="AC6468" s="20"/>
      <c r="AG6468" s="29"/>
    </row>
    <row r="6469" spans="2:33">
      <c r="B6469" s="29"/>
      <c r="D6469" s="29"/>
      <c r="E6469" s="20"/>
      <c r="F6469" s="20"/>
      <c r="AC6469" s="20"/>
      <c r="AG6469" s="29"/>
    </row>
    <row r="6470" spans="2:33">
      <c r="B6470" s="29"/>
      <c r="D6470" s="29"/>
      <c r="E6470" s="20"/>
      <c r="F6470" s="20"/>
      <c r="AC6470" s="20"/>
      <c r="AG6470" s="29"/>
    </row>
    <row r="6471" spans="2:33">
      <c r="B6471" s="29"/>
      <c r="D6471" s="29"/>
      <c r="E6471" s="20"/>
      <c r="F6471" s="20"/>
      <c r="AC6471" s="20"/>
      <c r="AG6471" s="29"/>
    </row>
    <row r="6472" spans="2:33">
      <c r="B6472" s="29"/>
      <c r="D6472" s="29"/>
      <c r="E6472" s="20"/>
      <c r="F6472" s="20"/>
      <c r="AC6472" s="20"/>
      <c r="AG6472" s="29"/>
    </row>
    <row r="6473" spans="2:33">
      <c r="B6473" s="29"/>
      <c r="D6473" s="29"/>
      <c r="E6473" s="20"/>
      <c r="F6473" s="20"/>
      <c r="AC6473" s="20"/>
      <c r="AG6473" s="29"/>
    </row>
    <row r="6474" spans="2:33">
      <c r="B6474" s="29"/>
      <c r="D6474" s="29"/>
      <c r="E6474" s="20"/>
      <c r="F6474" s="20"/>
      <c r="AC6474" s="20"/>
      <c r="AG6474" s="29"/>
    </row>
    <row r="6475" spans="2:33">
      <c r="B6475" s="29"/>
      <c r="D6475" s="29"/>
      <c r="E6475" s="20"/>
      <c r="F6475" s="20"/>
      <c r="AC6475" s="20"/>
      <c r="AG6475" s="29"/>
    </row>
    <row r="6476" spans="2:33">
      <c r="B6476" s="29"/>
      <c r="D6476" s="29"/>
      <c r="E6476" s="20"/>
      <c r="F6476" s="20"/>
      <c r="AC6476" s="20"/>
      <c r="AG6476" s="29"/>
    </row>
    <row r="6477" spans="2:33">
      <c r="B6477" s="29"/>
      <c r="D6477" s="29"/>
      <c r="E6477" s="20"/>
      <c r="F6477" s="20"/>
      <c r="AC6477" s="20"/>
      <c r="AG6477" s="29"/>
    </row>
    <row r="6478" spans="2:33">
      <c r="B6478" s="29"/>
      <c r="D6478" s="29"/>
      <c r="E6478" s="20"/>
      <c r="F6478" s="20"/>
      <c r="AC6478" s="20"/>
      <c r="AG6478" s="29"/>
    </row>
    <row r="6479" spans="2:33">
      <c r="B6479" s="29"/>
      <c r="D6479" s="29"/>
      <c r="E6479" s="20"/>
      <c r="F6479" s="20"/>
      <c r="AC6479" s="20"/>
      <c r="AG6479" s="29"/>
    </row>
    <row r="6480" spans="2:33">
      <c r="B6480" s="29"/>
      <c r="D6480" s="29"/>
      <c r="E6480" s="20"/>
      <c r="F6480" s="20"/>
      <c r="AC6480" s="20"/>
      <c r="AG6480" s="29"/>
    </row>
    <row r="6481" spans="2:33">
      <c r="B6481" s="29"/>
      <c r="D6481" s="29"/>
      <c r="E6481" s="20"/>
      <c r="F6481" s="20"/>
      <c r="AC6481" s="20"/>
      <c r="AG6481" s="29"/>
    </row>
    <row r="6482" spans="2:33">
      <c r="B6482" s="29"/>
      <c r="D6482" s="29"/>
      <c r="E6482" s="20"/>
      <c r="F6482" s="20"/>
      <c r="AC6482" s="20"/>
      <c r="AG6482" s="29"/>
    </row>
    <row r="6483" spans="2:33">
      <c r="B6483" s="29"/>
      <c r="D6483" s="29"/>
      <c r="E6483" s="20"/>
      <c r="F6483" s="20"/>
      <c r="AC6483" s="20"/>
      <c r="AG6483" s="29"/>
    </row>
    <row r="6484" spans="2:33">
      <c r="B6484" s="29"/>
      <c r="D6484" s="29"/>
      <c r="E6484" s="20"/>
      <c r="F6484" s="20"/>
      <c r="AC6484" s="20"/>
      <c r="AG6484" s="29"/>
    </row>
    <row r="6485" spans="2:33">
      <c r="B6485" s="29"/>
      <c r="D6485" s="29"/>
      <c r="E6485" s="20"/>
      <c r="F6485" s="20"/>
      <c r="AC6485" s="20"/>
      <c r="AG6485" s="29"/>
    </row>
    <row r="6486" spans="2:33">
      <c r="B6486" s="29"/>
      <c r="D6486" s="29"/>
      <c r="E6486" s="20"/>
      <c r="F6486" s="20"/>
      <c r="AC6486" s="20"/>
      <c r="AG6486" s="29"/>
    </row>
    <row r="6487" spans="2:33">
      <c r="B6487" s="29"/>
      <c r="D6487" s="29"/>
      <c r="E6487" s="20"/>
      <c r="F6487" s="20"/>
      <c r="AC6487" s="20"/>
      <c r="AG6487" s="29"/>
    </row>
    <row r="6488" spans="2:33">
      <c r="B6488" s="29"/>
      <c r="D6488" s="29"/>
      <c r="E6488" s="20"/>
      <c r="F6488" s="20"/>
      <c r="AC6488" s="20"/>
      <c r="AG6488" s="29"/>
    </row>
    <row r="6489" spans="2:33">
      <c r="B6489" s="29"/>
      <c r="D6489" s="29"/>
      <c r="E6489" s="20"/>
      <c r="F6489" s="20"/>
      <c r="AC6489" s="20"/>
      <c r="AG6489" s="29"/>
    </row>
    <row r="6490" spans="2:33">
      <c r="B6490" s="29"/>
      <c r="D6490" s="29"/>
      <c r="E6490" s="20"/>
      <c r="F6490" s="20"/>
      <c r="AC6490" s="20"/>
      <c r="AG6490" s="29"/>
    </row>
    <row r="6491" spans="2:33">
      <c r="B6491" s="29"/>
      <c r="D6491" s="29"/>
      <c r="E6491" s="20"/>
      <c r="F6491" s="20"/>
      <c r="AC6491" s="20"/>
      <c r="AG6491" s="29"/>
    </row>
    <row r="6492" spans="2:33">
      <c r="B6492" s="29"/>
      <c r="D6492" s="29"/>
      <c r="E6492" s="20"/>
      <c r="F6492" s="20"/>
      <c r="AC6492" s="20"/>
      <c r="AG6492" s="29"/>
    </row>
    <row r="6493" spans="2:33">
      <c r="B6493" s="29"/>
      <c r="D6493" s="29"/>
      <c r="E6493" s="20"/>
      <c r="F6493" s="20"/>
      <c r="AC6493" s="20"/>
      <c r="AG6493" s="29"/>
    </row>
    <row r="6494" spans="2:33">
      <c r="B6494" s="29"/>
      <c r="D6494" s="29"/>
      <c r="E6494" s="20"/>
      <c r="F6494" s="20"/>
      <c r="AC6494" s="20"/>
      <c r="AG6494" s="29"/>
    </row>
    <row r="6495" spans="2:33">
      <c r="B6495" s="29"/>
      <c r="D6495" s="29"/>
      <c r="E6495" s="20"/>
      <c r="F6495" s="20"/>
      <c r="AC6495" s="20"/>
      <c r="AG6495" s="29"/>
    </row>
    <row r="6496" spans="2:33">
      <c r="B6496" s="29"/>
      <c r="D6496" s="29"/>
      <c r="E6496" s="20"/>
      <c r="F6496" s="20"/>
      <c r="AC6496" s="20"/>
      <c r="AG6496" s="29"/>
    </row>
    <row r="6497" spans="2:33">
      <c r="B6497" s="29"/>
      <c r="D6497" s="29"/>
      <c r="E6497" s="20"/>
      <c r="F6497" s="20"/>
      <c r="AC6497" s="20"/>
      <c r="AG6497" s="29"/>
    </row>
    <row r="6498" spans="2:33">
      <c r="B6498" s="29"/>
      <c r="D6498" s="29"/>
      <c r="E6498" s="20"/>
      <c r="F6498" s="20"/>
      <c r="AC6498" s="20"/>
      <c r="AG6498" s="29"/>
    </row>
    <row r="6499" spans="2:33">
      <c r="B6499" s="29"/>
      <c r="D6499" s="29"/>
      <c r="E6499" s="20"/>
      <c r="F6499" s="20"/>
      <c r="AC6499" s="20"/>
      <c r="AG6499" s="29"/>
    </row>
    <row r="6500" spans="2:33">
      <c r="B6500" s="29"/>
      <c r="D6500" s="29"/>
      <c r="E6500" s="20"/>
      <c r="F6500" s="20"/>
      <c r="AC6500" s="20"/>
      <c r="AG6500" s="29"/>
    </row>
    <row r="6501" spans="2:33">
      <c r="B6501" s="29"/>
      <c r="D6501" s="29"/>
      <c r="E6501" s="20"/>
      <c r="F6501" s="20"/>
      <c r="AC6501" s="20"/>
      <c r="AG6501" s="29"/>
    </row>
    <row r="6502" spans="2:33">
      <c r="B6502" s="29"/>
      <c r="D6502" s="29"/>
      <c r="E6502" s="20"/>
      <c r="F6502" s="20"/>
      <c r="AC6502" s="20"/>
      <c r="AG6502" s="29"/>
    </row>
    <row r="6503" spans="2:33">
      <c r="B6503" s="29"/>
      <c r="D6503" s="29"/>
      <c r="E6503" s="20"/>
      <c r="F6503" s="20"/>
      <c r="AC6503" s="20"/>
      <c r="AG6503" s="29"/>
    </row>
    <row r="6504" spans="2:33">
      <c r="B6504" s="29"/>
      <c r="D6504" s="29"/>
      <c r="E6504" s="20"/>
      <c r="F6504" s="20"/>
      <c r="AC6504" s="20"/>
      <c r="AG6504" s="29"/>
    </row>
    <row r="6505" spans="2:33">
      <c r="B6505" s="29"/>
      <c r="D6505" s="29"/>
      <c r="E6505" s="20"/>
      <c r="F6505" s="20"/>
      <c r="AC6505" s="20"/>
      <c r="AG6505" s="29"/>
    </row>
    <row r="6506" spans="2:33">
      <c r="B6506" s="29"/>
      <c r="D6506" s="29"/>
      <c r="E6506" s="20"/>
      <c r="F6506" s="20"/>
      <c r="AC6506" s="20"/>
      <c r="AG6506" s="29"/>
    </row>
    <row r="6507" spans="2:33">
      <c r="B6507" s="29"/>
      <c r="D6507" s="29"/>
      <c r="E6507" s="20"/>
      <c r="F6507" s="20"/>
      <c r="AC6507" s="20"/>
      <c r="AG6507" s="29"/>
    </row>
    <row r="6508" spans="2:33">
      <c r="B6508" s="29"/>
      <c r="D6508" s="29"/>
      <c r="E6508" s="20"/>
      <c r="F6508" s="20"/>
      <c r="AC6508" s="20"/>
      <c r="AG6508" s="29"/>
    </row>
    <row r="6509" spans="2:33">
      <c r="B6509" s="29"/>
      <c r="D6509" s="29"/>
      <c r="E6509" s="20"/>
      <c r="F6509" s="20"/>
      <c r="AC6509" s="20"/>
      <c r="AG6509" s="29"/>
    </row>
    <row r="6510" spans="2:33">
      <c r="B6510" s="29"/>
      <c r="D6510" s="29"/>
      <c r="E6510" s="20"/>
      <c r="F6510" s="20"/>
      <c r="AC6510" s="20"/>
      <c r="AG6510" s="29"/>
    </row>
    <row r="6511" spans="2:33">
      <c r="B6511" s="29"/>
      <c r="D6511" s="29"/>
      <c r="E6511" s="20"/>
      <c r="F6511" s="20"/>
      <c r="AC6511" s="20"/>
      <c r="AG6511" s="29"/>
    </row>
    <row r="6512" spans="2:33">
      <c r="B6512" s="29"/>
      <c r="D6512" s="29"/>
      <c r="E6512" s="20"/>
      <c r="F6512" s="20"/>
      <c r="AC6512" s="20"/>
      <c r="AG6512" s="29"/>
    </row>
    <row r="6513" spans="2:33">
      <c r="B6513" s="29"/>
      <c r="D6513" s="29"/>
      <c r="E6513" s="20"/>
      <c r="F6513" s="20"/>
      <c r="AC6513" s="20"/>
      <c r="AG6513" s="29"/>
    </row>
    <row r="6514" spans="2:33">
      <c r="B6514" s="29"/>
      <c r="D6514" s="29"/>
      <c r="E6514" s="20"/>
      <c r="F6514" s="20"/>
      <c r="AC6514" s="20"/>
      <c r="AG6514" s="29"/>
    </row>
    <row r="6515" spans="2:33">
      <c r="B6515" s="29"/>
      <c r="D6515" s="29"/>
      <c r="E6515" s="20"/>
      <c r="F6515" s="20"/>
      <c r="AC6515" s="20"/>
      <c r="AG6515" s="29"/>
    </row>
    <row r="6516" spans="2:33">
      <c r="B6516" s="29"/>
      <c r="D6516" s="29"/>
      <c r="E6516" s="20"/>
      <c r="F6516" s="20"/>
      <c r="AC6516" s="20"/>
      <c r="AG6516" s="29"/>
    </row>
    <row r="6517" spans="2:33">
      <c r="B6517" s="29"/>
      <c r="D6517" s="29"/>
      <c r="E6517" s="20"/>
      <c r="F6517" s="20"/>
      <c r="AC6517" s="20"/>
      <c r="AG6517" s="29"/>
    </row>
    <row r="6518" spans="2:33">
      <c r="B6518" s="29"/>
      <c r="D6518" s="29"/>
      <c r="E6518" s="20"/>
      <c r="F6518" s="20"/>
      <c r="AC6518" s="20"/>
      <c r="AG6518" s="29"/>
    </row>
    <row r="6519" spans="2:33">
      <c r="B6519" s="29"/>
      <c r="D6519" s="29"/>
      <c r="E6519" s="20"/>
      <c r="F6519" s="20"/>
      <c r="AC6519" s="20"/>
      <c r="AG6519" s="29"/>
    </row>
    <row r="6520" spans="2:33">
      <c r="B6520" s="29"/>
      <c r="D6520" s="29"/>
      <c r="E6520" s="20"/>
      <c r="F6520" s="20"/>
      <c r="AC6520" s="20"/>
      <c r="AG6520" s="29"/>
    </row>
    <row r="6521" spans="2:33">
      <c r="B6521" s="29"/>
      <c r="D6521" s="29"/>
      <c r="E6521" s="20"/>
      <c r="F6521" s="20"/>
      <c r="AC6521" s="20"/>
      <c r="AG6521" s="29"/>
    </row>
    <row r="6522" spans="2:33">
      <c r="B6522" s="29"/>
      <c r="D6522" s="29"/>
      <c r="E6522" s="20"/>
      <c r="F6522" s="20"/>
      <c r="AC6522" s="20"/>
      <c r="AG6522" s="29"/>
    </row>
    <row r="6523" spans="2:33">
      <c r="B6523" s="29"/>
      <c r="D6523" s="29"/>
      <c r="E6523" s="20"/>
      <c r="F6523" s="20"/>
      <c r="AC6523" s="20"/>
      <c r="AG6523" s="29"/>
    </row>
    <row r="6524" spans="2:33">
      <c r="B6524" s="29"/>
      <c r="D6524" s="29"/>
      <c r="E6524" s="20"/>
      <c r="F6524" s="20"/>
      <c r="AC6524" s="20"/>
      <c r="AG6524" s="29"/>
    </row>
    <row r="6525" spans="2:33">
      <c r="B6525" s="29"/>
      <c r="D6525" s="29"/>
      <c r="E6525" s="20"/>
      <c r="F6525" s="20"/>
      <c r="AC6525" s="20"/>
      <c r="AG6525" s="29"/>
    </row>
    <row r="6526" spans="2:33">
      <c r="B6526" s="29"/>
      <c r="D6526" s="29"/>
      <c r="E6526" s="20"/>
      <c r="F6526" s="20"/>
      <c r="AC6526" s="20"/>
      <c r="AG6526" s="29"/>
    </row>
    <row r="6527" spans="2:33">
      <c r="B6527" s="29"/>
      <c r="D6527" s="29"/>
      <c r="E6527" s="20"/>
      <c r="F6527" s="20"/>
      <c r="AC6527" s="20"/>
      <c r="AG6527" s="29"/>
    </row>
    <row r="6528" spans="2:33">
      <c r="B6528" s="29"/>
      <c r="D6528" s="29"/>
      <c r="E6528" s="20"/>
      <c r="F6528" s="20"/>
      <c r="AC6528" s="20"/>
      <c r="AG6528" s="29"/>
    </row>
    <row r="6529" spans="2:33">
      <c r="B6529" s="29"/>
      <c r="D6529" s="29"/>
      <c r="E6529" s="20"/>
      <c r="F6529" s="20"/>
      <c r="AC6529" s="20"/>
      <c r="AG6529" s="29"/>
    </row>
    <row r="6530" spans="2:33">
      <c r="B6530" s="29"/>
      <c r="D6530" s="29"/>
      <c r="E6530" s="20"/>
      <c r="F6530" s="20"/>
      <c r="AC6530" s="20"/>
      <c r="AG6530" s="29"/>
    </row>
    <row r="6531" spans="2:33">
      <c r="B6531" s="29"/>
      <c r="D6531" s="29"/>
      <c r="E6531" s="20"/>
      <c r="F6531" s="20"/>
      <c r="AC6531" s="20"/>
      <c r="AG6531" s="29"/>
    </row>
    <row r="6532" spans="2:33">
      <c r="B6532" s="29"/>
      <c r="D6532" s="29"/>
      <c r="E6532" s="20"/>
      <c r="F6532" s="20"/>
      <c r="AC6532" s="20"/>
      <c r="AG6532" s="29"/>
    </row>
    <row r="6533" spans="2:33">
      <c r="B6533" s="29"/>
      <c r="D6533" s="29"/>
      <c r="E6533" s="20"/>
      <c r="F6533" s="20"/>
      <c r="AC6533" s="20"/>
      <c r="AG6533" s="29"/>
    </row>
    <row r="6534" spans="2:33">
      <c r="B6534" s="29"/>
      <c r="D6534" s="29"/>
      <c r="E6534" s="20"/>
      <c r="F6534" s="20"/>
      <c r="AC6534" s="20"/>
      <c r="AG6534" s="29"/>
    </row>
    <row r="6535" spans="2:33">
      <c r="B6535" s="29"/>
      <c r="D6535" s="29"/>
      <c r="E6535" s="20"/>
      <c r="F6535" s="20"/>
      <c r="AC6535" s="20"/>
      <c r="AG6535" s="29"/>
    </row>
    <row r="6536" spans="2:33">
      <c r="B6536" s="29"/>
      <c r="D6536" s="29"/>
      <c r="E6536" s="20"/>
      <c r="F6536" s="20"/>
      <c r="AC6536" s="20"/>
      <c r="AG6536" s="29"/>
    </row>
    <row r="6537" spans="2:33">
      <c r="B6537" s="29"/>
      <c r="D6537" s="29"/>
      <c r="E6537" s="20"/>
      <c r="F6537" s="20"/>
      <c r="AC6537" s="20"/>
      <c r="AG6537" s="29"/>
    </row>
    <row r="6538" spans="2:33">
      <c r="B6538" s="29"/>
      <c r="D6538" s="29"/>
      <c r="E6538" s="20"/>
      <c r="F6538" s="20"/>
      <c r="AC6538" s="20"/>
      <c r="AG6538" s="29"/>
    </row>
    <row r="6539" spans="2:33">
      <c r="B6539" s="29"/>
      <c r="D6539" s="29"/>
      <c r="E6539" s="20"/>
      <c r="F6539" s="20"/>
      <c r="AC6539" s="20"/>
      <c r="AG6539" s="29"/>
    </row>
    <row r="6540" spans="2:33">
      <c r="B6540" s="29"/>
      <c r="D6540" s="29"/>
      <c r="E6540" s="20"/>
      <c r="F6540" s="20"/>
      <c r="AC6540" s="20"/>
      <c r="AG6540" s="29"/>
    </row>
    <row r="6541" spans="2:33">
      <c r="B6541" s="29"/>
      <c r="D6541" s="29"/>
      <c r="E6541" s="20"/>
      <c r="F6541" s="20"/>
      <c r="AC6541" s="20"/>
      <c r="AG6541" s="29"/>
    </row>
    <row r="6542" spans="2:33">
      <c r="B6542" s="29"/>
      <c r="D6542" s="29"/>
      <c r="E6542" s="20"/>
      <c r="F6542" s="20"/>
      <c r="AC6542" s="20"/>
      <c r="AG6542" s="29"/>
    </row>
    <row r="6543" spans="2:33">
      <c r="B6543" s="29"/>
      <c r="D6543" s="29"/>
      <c r="E6543" s="20"/>
      <c r="F6543" s="20"/>
      <c r="AC6543" s="20"/>
      <c r="AG6543" s="29"/>
    </row>
    <row r="6544" spans="2:33">
      <c r="B6544" s="29"/>
      <c r="D6544" s="29"/>
      <c r="E6544" s="20"/>
      <c r="F6544" s="20"/>
      <c r="AC6544" s="20"/>
      <c r="AG6544" s="29"/>
    </row>
    <row r="6545" spans="2:33">
      <c r="B6545" s="29"/>
      <c r="D6545" s="29"/>
      <c r="E6545" s="20"/>
      <c r="F6545" s="20"/>
      <c r="AC6545" s="20"/>
      <c r="AG6545" s="29"/>
    </row>
    <row r="6546" spans="2:33">
      <c r="B6546" s="29"/>
      <c r="D6546" s="29"/>
      <c r="E6546" s="20"/>
      <c r="F6546" s="20"/>
      <c r="AC6546" s="20"/>
      <c r="AG6546" s="29"/>
    </row>
    <row r="6547" spans="2:33">
      <c r="B6547" s="29"/>
      <c r="D6547" s="29"/>
      <c r="E6547" s="20"/>
      <c r="F6547" s="20"/>
      <c r="AC6547" s="20"/>
      <c r="AG6547" s="29"/>
    </row>
    <row r="6548" spans="2:33">
      <c r="B6548" s="29"/>
      <c r="D6548" s="29"/>
      <c r="E6548" s="20"/>
      <c r="F6548" s="20"/>
      <c r="AC6548" s="20"/>
      <c r="AG6548" s="29"/>
    </row>
    <row r="6549" spans="2:33">
      <c r="B6549" s="29"/>
      <c r="D6549" s="29"/>
      <c r="E6549" s="20"/>
      <c r="F6549" s="20"/>
      <c r="AC6549" s="20"/>
      <c r="AG6549" s="29"/>
    </row>
    <row r="6550" spans="2:33">
      <c r="B6550" s="29"/>
      <c r="D6550" s="29"/>
      <c r="E6550" s="20"/>
      <c r="F6550" s="20"/>
      <c r="AC6550" s="20"/>
      <c r="AG6550" s="29"/>
    </row>
    <row r="6551" spans="2:33">
      <c r="B6551" s="29"/>
      <c r="D6551" s="29"/>
      <c r="E6551" s="20"/>
      <c r="F6551" s="20"/>
      <c r="AC6551" s="20"/>
      <c r="AG6551" s="29"/>
    </row>
    <row r="6552" spans="2:33">
      <c r="B6552" s="29"/>
      <c r="D6552" s="29"/>
      <c r="E6552" s="20"/>
      <c r="F6552" s="20"/>
      <c r="AC6552" s="20"/>
      <c r="AG6552" s="29"/>
    </row>
    <row r="6553" spans="2:33">
      <c r="B6553" s="29"/>
      <c r="D6553" s="29"/>
      <c r="E6553" s="20"/>
      <c r="F6553" s="20"/>
      <c r="AC6553" s="20"/>
      <c r="AG6553" s="29"/>
    </row>
    <row r="6554" spans="2:33">
      <c r="B6554" s="29"/>
      <c r="D6554" s="29"/>
      <c r="E6554" s="20"/>
      <c r="F6554" s="20"/>
      <c r="AC6554" s="20"/>
      <c r="AG6554" s="29"/>
    </row>
    <row r="6555" spans="2:33">
      <c r="B6555" s="29"/>
      <c r="D6555" s="29"/>
      <c r="E6555" s="20"/>
      <c r="F6555" s="20"/>
      <c r="AC6555" s="20"/>
      <c r="AG6555" s="29"/>
    </row>
    <row r="6556" spans="2:33">
      <c r="B6556" s="29"/>
      <c r="D6556" s="29"/>
      <c r="E6556" s="20"/>
      <c r="F6556" s="20"/>
      <c r="AC6556" s="20"/>
      <c r="AG6556" s="29"/>
    </row>
    <row r="6557" spans="2:33">
      <c r="B6557" s="29"/>
      <c r="D6557" s="29"/>
      <c r="E6557" s="20"/>
      <c r="F6557" s="20"/>
      <c r="AC6557" s="20"/>
      <c r="AG6557" s="29"/>
    </row>
    <row r="6558" spans="2:33">
      <c r="B6558" s="29"/>
      <c r="D6558" s="29"/>
      <c r="E6558" s="20"/>
      <c r="F6558" s="20"/>
      <c r="AC6558" s="20"/>
      <c r="AG6558" s="29"/>
    </row>
    <row r="6559" spans="2:33">
      <c r="B6559" s="29"/>
      <c r="D6559" s="29"/>
      <c r="E6559" s="20"/>
      <c r="F6559" s="20"/>
      <c r="AC6559" s="20"/>
      <c r="AG6559" s="29"/>
    </row>
    <row r="6560" spans="2:33">
      <c r="B6560" s="29"/>
      <c r="D6560" s="29"/>
      <c r="E6560" s="20"/>
      <c r="F6560" s="20"/>
      <c r="AC6560" s="20"/>
      <c r="AG6560" s="29"/>
    </row>
    <row r="6561" spans="2:33">
      <c r="B6561" s="29"/>
      <c r="D6561" s="29"/>
      <c r="E6561" s="20"/>
      <c r="F6561" s="20"/>
      <c r="AC6561" s="20"/>
      <c r="AG6561" s="29"/>
    </row>
    <row r="6562" spans="2:33">
      <c r="B6562" s="29"/>
      <c r="D6562" s="29"/>
      <c r="E6562" s="20"/>
      <c r="F6562" s="20"/>
      <c r="AC6562" s="20"/>
      <c r="AG6562" s="29"/>
    </row>
    <row r="6563" spans="2:33">
      <c r="B6563" s="29"/>
      <c r="D6563" s="29"/>
      <c r="E6563" s="20"/>
      <c r="F6563" s="20"/>
      <c r="AC6563" s="20"/>
      <c r="AG6563" s="29"/>
    </row>
    <row r="6564" spans="2:33">
      <c r="B6564" s="29"/>
      <c r="D6564" s="29"/>
      <c r="E6564" s="20"/>
      <c r="F6564" s="20"/>
      <c r="AC6564" s="20"/>
      <c r="AG6564" s="29"/>
    </row>
    <row r="6565" spans="2:33">
      <c r="B6565" s="29"/>
      <c r="D6565" s="29"/>
      <c r="E6565" s="20"/>
      <c r="F6565" s="20"/>
      <c r="AC6565" s="20"/>
      <c r="AG6565" s="29"/>
    </row>
    <row r="6566" spans="2:33">
      <c r="B6566" s="29"/>
      <c r="D6566" s="29"/>
      <c r="E6566" s="20"/>
      <c r="F6566" s="20"/>
      <c r="AC6566" s="20"/>
      <c r="AG6566" s="29"/>
    </row>
    <row r="6567" spans="2:33">
      <c r="B6567" s="29"/>
      <c r="D6567" s="29"/>
      <c r="E6567" s="20"/>
      <c r="F6567" s="20"/>
      <c r="AC6567" s="20"/>
      <c r="AG6567" s="29"/>
    </row>
    <row r="6568" spans="2:33">
      <c r="B6568" s="29"/>
      <c r="D6568" s="29"/>
      <c r="E6568" s="20"/>
      <c r="F6568" s="20"/>
      <c r="AC6568" s="20"/>
      <c r="AG6568" s="29"/>
    </row>
    <row r="6569" spans="2:33">
      <c r="B6569" s="29"/>
      <c r="D6569" s="29"/>
      <c r="E6569" s="20"/>
      <c r="F6569" s="20"/>
      <c r="AC6569" s="20"/>
      <c r="AG6569" s="29"/>
    </row>
    <row r="6570" spans="2:33">
      <c r="B6570" s="29"/>
      <c r="D6570" s="29"/>
      <c r="E6570" s="20"/>
      <c r="F6570" s="20"/>
      <c r="AC6570" s="20"/>
      <c r="AG6570" s="29"/>
    </row>
    <row r="6571" spans="2:33">
      <c r="B6571" s="29"/>
      <c r="D6571" s="29"/>
      <c r="E6571" s="20"/>
      <c r="F6571" s="20"/>
      <c r="AC6571" s="20"/>
      <c r="AG6571" s="29"/>
    </row>
    <row r="6572" spans="2:33">
      <c r="B6572" s="29"/>
      <c r="D6572" s="29"/>
      <c r="E6572" s="20"/>
      <c r="F6572" s="20"/>
      <c r="AC6572" s="20"/>
      <c r="AG6572" s="29"/>
    </row>
    <row r="6573" spans="2:33">
      <c r="B6573" s="29"/>
      <c r="D6573" s="29"/>
      <c r="E6573" s="20"/>
      <c r="F6573" s="20"/>
      <c r="AC6573" s="20"/>
      <c r="AG6573" s="29"/>
    </row>
    <row r="6574" spans="2:33">
      <c r="B6574" s="29"/>
      <c r="D6574" s="29"/>
      <c r="E6574" s="20"/>
      <c r="F6574" s="20"/>
      <c r="AC6574" s="20"/>
      <c r="AG6574" s="29"/>
    </row>
    <row r="6575" spans="2:33">
      <c r="B6575" s="29"/>
      <c r="D6575" s="29"/>
      <c r="E6575" s="20"/>
      <c r="F6575" s="20"/>
      <c r="AC6575" s="20"/>
      <c r="AG6575" s="29"/>
    </row>
    <row r="6576" spans="2:33">
      <c r="B6576" s="29"/>
      <c r="D6576" s="29"/>
      <c r="E6576" s="20"/>
      <c r="F6576" s="20"/>
      <c r="AC6576" s="20"/>
      <c r="AG6576" s="29"/>
    </row>
    <row r="6577" spans="2:33">
      <c r="B6577" s="29"/>
      <c r="D6577" s="29"/>
      <c r="E6577" s="20"/>
      <c r="F6577" s="20"/>
      <c r="AC6577" s="20"/>
      <c r="AG6577" s="29"/>
    </row>
    <row r="6578" spans="2:33">
      <c r="B6578" s="29"/>
      <c r="D6578" s="29"/>
      <c r="E6578" s="20"/>
      <c r="F6578" s="20"/>
      <c r="AC6578" s="20"/>
      <c r="AG6578" s="29"/>
    </row>
    <row r="6579" spans="2:33">
      <c r="B6579" s="29"/>
      <c r="D6579" s="29"/>
      <c r="E6579" s="20"/>
      <c r="F6579" s="20"/>
      <c r="AC6579" s="20"/>
      <c r="AG6579" s="29"/>
    </row>
    <row r="6580" spans="2:33">
      <c r="B6580" s="29"/>
      <c r="D6580" s="29"/>
      <c r="E6580" s="20"/>
      <c r="F6580" s="20"/>
      <c r="AC6580" s="20"/>
      <c r="AG6580" s="29"/>
    </row>
    <row r="6581" spans="2:33">
      <c r="B6581" s="29"/>
      <c r="D6581" s="29"/>
      <c r="E6581" s="20"/>
      <c r="F6581" s="20"/>
      <c r="AC6581" s="20"/>
      <c r="AG6581" s="29"/>
    </row>
    <row r="6582" spans="2:33">
      <c r="B6582" s="29"/>
      <c r="D6582" s="29"/>
      <c r="E6582" s="20"/>
      <c r="F6582" s="20"/>
      <c r="AC6582" s="20"/>
      <c r="AG6582" s="29"/>
    </row>
    <row r="6583" spans="2:33">
      <c r="B6583" s="29"/>
      <c r="D6583" s="29"/>
      <c r="E6583" s="20"/>
      <c r="F6583" s="20"/>
      <c r="AC6583" s="20"/>
      <c r="AG6583" s="29"/>
    </row>
    <row r="6584" spans="2:33">
      <c r="B6584" s="29"/>
      <c r="D6584" s="29"/>
      <c r="E6584" s="20"/>
      <c r="F6584" s="20"/>
      <c r="AC6584" s="20"/>
      <c r="AG6584" s="29"/>
    </row>
    <row r="6585" spans="2:33">
      <c r="B6585" s="29"/>
      <c r="D6585" s="29"/>
      <c r="E6585" s="20"/>
      <c r="F6585" s="20"/>
      <c r="AC6585" s="20"/>
      <c r="AG6585" s="29"/>
    </row>
    <row r="6586" spans="2:33">
      <c r="B6586" s="29"/>
      <c r="D6586" s="29"/>
      <c r="E6586" s="20"/>
      <c r="F6586" s="20"/>
      <c r="AC6586" s="20"/>
      <c r="AG6586" s="29"/>
    </row>
    <row r="6587" spans="2:33">
      <c r="B6587" s="29"/>
      <c r="D6587" s="29"/>
      <c r="E6587" s="20"/>
      <c r="F6587" s="20"/>
      <c r="AC6587" s="20"/>
      <c r="AG6587" s="29"/>
    </row>
    <row r="6588" spans="2:33">
      <c r="B6588" s="29"/>
      <c r="D6588" s="29"/>
      <c r="E6588" s="20"/>
      <c r="F6588" s="20"/>
      <c r="AC6588" s="20"/>
      <c r="AG6588" s="29"/>
    </row>
    <row r="6589" spans="2:33">
      <c r="B6589" s="29"/>
      <c r="D6589" s="29"/>
      <c r="E6589" s="20"/>
      <c r="F6589" s="20"/>
      <c r="AC6589" s="20"/>
      <c r="AG6589" s="29"/>
    </row>
    <row r="6590" spans="2:33">
      <c r="B6590" s="29"/>
      <c r="D6590" s="29"/>
      <c r="E6590" s="20"/>
      <c r="F6590" s="20"/>
      <c r="AC6590" s="20"/>
      <c r="AG6590" s="29"/>
    </row>
    <row r="6591" spans="2:33">
      <c r="B6591" s="29"/>
      <c r="D6591" s="29"/>
      <c r="E6591" s="20"/>
      <c r="F6591" s="20"/>
      <c r="AC6591" s="20"/>
      <c r="AG6591" s="29"/>
    </row>
    <row r="6592" spans="2:33">
      <c r="B6592" s="29"/>
      <c r="D6592" s="29"/>
      <c r="E6592" s="20"/>
      <c r="F6592" s="20"/>
      <c r="AC6592" s="20"/>
      <c r="AG6592" s="29"/>
    </row>
    <row r="6593" spans="2:33">
      <c r="B6593" s="29"/>
      <c r="D6593" s="29"/>
      <c r="E6593" s="20"/>
      <c r="F6593" s="20"/>
      <c r="AC6593" s="20"/>
      <c r="AG6593" s="29"/>
    </row>
    <row r="6594" spans="2:33">
      <c r="B6594" s="29"/>
      <c r="D6594" s="29"/>
      <c r="E6594" s="20"/>
      <c r="F6594" s="20"/>
      <c r="AC6594" s="20"/>
      <c r="AG6594" s="29"/>
    </row>
    <row r="6595" spans="2:33">
      <c r="B6595" s="29"/>
      <c r="D6595" s="29"/>
      <c r="E6595" s="20"/>
      <c r="F6595" s="20"/>
      <c r="AC6595" s="20"/>
      <c r="AG6595" s="29"/>
    </row>
    <row r="6596" spans="2:33">
      <c r="B6596" s="29"/>
      <c r="D6596" s="29"/>
      <c r="E6596" s="20"/>
      <c r="F6596" s="20"/>
      <c r="AC6596" s="20"/>
      <c r="AG6596" s="29"/>
    </row>
    <row r="6597" spans="2:33">
      <c r="B6597" s="29"/>
      <c r="D6597" s="29"/>
      <c r="E6597" s="20"/>
      <c r="F6597" s="20"/>
      <c r="AC6597" s="20"/>
      <c r="AG6597" s="29"/>
    </row>
    <row r="6598" spans="2:33">
      <c r="B6598" s="29"/>
      <c r="D6598" s="29"/>
      <c r="E6598" s="20"/>
      <c r="F6598" s="20"/>
      <c r="AC6598" s="20"/>
      <c r="AG6598" s="29"/>
    </row>
    <row r="6599" spans="2:33">
      <c r="B6599" s="29"/>
      <c r="D6599" s="29"/>
      <c r="E6599" s="20"/>
      <c r="F6599" s="20"/>
      <c r="AC6599" s="20"/>
      <c r="AG6599" s="29"/>
    </row>
    <row r="6600" spans="2:33">
      <c r="B6600" s="29"/>
      <c r="D6600" s="29"/>
      <c r="E6600" s="20"/>
      <c r="F6600" s="20"/>
      <c r="AC6600" s="20"/>
      <c r="AG6600" s="29"/>
    </row>
    <row r="6601" spans="2:33">
      <c r="B6601" s="29"/>
      <c r="D6601" s="29"/>
      <c r="E6601" s="20"/>
      <c r="F6601" s="20"/>
      <c r="AC6601" s="20"/>
      <c r="AG6601" s="29"/>
    </row>
    <row r="6602" spans="2:33">
      <c r="B6602" s="29"/>
      <c r="D6602" s="29"/>
      <c r="E6602" s="20"/>
      <c r="F6602" s="20"/>
      <c r="AC6602" s="20"/>
      <c r="AG6602" s="29"/>
    </row>
    <row r="6603" spans="2:33">
      <c r="B6603" s="29"/>
      <c r="D6603" s="29"/>
      <c r="E6603" s="20"/>
      <c r="F6603" s="20"/>
      <c r="AC6603" s="20"/>
      <c r="AG6603" s="29"/>
    </row>
    <row r="6604" spans="2:33">
      <c r="B6604" s="29"/>
      <c r="D6604" s="29"/>
      <c r="E6604" s="20"/>
      <c r="F6604" s="20"/>
      <c r="AC6604" s="20"/>
      <c r="AG6604" s="29"/>
    </row>
    <row r="6605" spans="2:33">
      <c r="B6605" s="29"/>
      <c r="D6605" s="29"/>
      <c r="E6605" s="20"/>
      <c r="F6605" s="20"/>
      <c r="AC6605" s="20"/>
      <c r="AG6605" s="29"/>
    </row>
    <row r="6606" spans="2:33">
      <c r="B6606" s="29"/>
      <c r="D6606" s="29"/>
      <c r="E6606" s="20"/>
      <c r="F6606" s="20"/>
      <c r="AC6606" s="20"/>
      <c r="AG6606" s="29"/>
    </row>
    <row r="6607" spans="2:33">
      <c r="B6607" s="29"/>
      <c r="D6607" s="29"/>
      <c r="E6607" s="20"/>
      <c r="F6607" s="20"/>
      <c r="AC6607" s="20"/>
      <c r="AG6607" s="29"/>
    </row>
    <row r="6608" spans="2:33">
      <c r="B6608" s="29"/>
      <c r="D6608" s="29"/>
      <c r="E6608" s="20"/>
      <c r="F6608" s="20"/>
      <c r="AC6608" s="20"/>
      <c r="AG6608" s="29"/>
    </row>
    <row r="6609" spans="2:33">
      <c r="B6609" s="29"/>
      <c r="D6609" s="29"/>
      <c r="E6609" s="20"/>
      <c r="F6609" s="20"/>
      <c r="AC6609" s="20"/>
      <c r="AG6609" s="29"/>
    </row>
    <row r="6610" spans="2:33">
      <c r="B6610" s="29"/>
      <c r="D6610" s="29"/>
      <c r="E6610" s="20"/>
      <c r="F6610" s="20"/>
      <c r="AC6610" s="20"/>
      <c r="AG6610" s="29"/>
    </row>
    <row r="6611" spans="2:33">
      <c r="B6611" s="29"/>
      <c r="D6611" s="29"/>
      <c r="E6611" s="20"/>
      <c r="F6611" s="20"/>
      <c r="AC6611" s="20"/>
      <c r="AG6611" s="29"/>
    </row>
    <row r="6612" spans="2:33">
      <c r="B6612" s="29"/>
      <c r="D6612" s="29"/>
      <c r="E6612" s="20"/>
      <c r="F6612" s="20"/>
      <c r="AC6612" s="20"/>
      <c r="AG6612" s="29"/>
    </row>
    <row r="6613" spans="2:33">
      <c r="B6613" s="29"/>
      <c r="D6613" s="29"/>
      <c r="E6613" s="20"/>
      <c r="F6613" s="20"/>
      <c r="AC6613" s="20"/>
      <c r="AG6613" s="29"/>
    </row>
    <row r="6614" spans="2:33">
      <c r="B6614" s="29"/>
      <c r="D6614" s="29"/>
      <c r="E6614" s="20"/>
      <c r="F6614" s="20"/>
      <c r="AC6614" s="20"/>
      <c r="AG6614" s="29"/>
    </row>
    <row r="6615" spans="2:33">
      <c r="B6615" s="29"/>
      <c r="D6615" s="29"/>
      <c r="E6615" s="20"/>
      <c r="F6615" s="20"/>
      <c r="AC6615" s="20"/>
      <c r="AG6615" s="29"/>
    </row>
    <row r="6616" spans="2:33">
      <c r="B6616" s="29"/>
      <c r="D6616" s="29"/>
      <c r="E6616" s="20"/>
      <c r="F6616" s="20"/>
      <c r="AC6616" s="20"/>
      <c r="AG6616" s="29"/>
    </row>
    <row r="6617" spans="2:33">
      <c r="B6617" s="29"/>
      <c r="D6617" s="29"/>
      <c r="E6617" s="20"/>
      <c r="F6617" s="20"/>
      <c r="AC6617" s="20"/>
      <c r="AG6617" s="29"/>
    </row>
    <row r="6618" spans="2:33">
      <c r="B6618" s="29"/>
      <c r="D6618" s="29"/>
      <c r="E6618" s="20"/>
      <c r="F6618" s="20"/>
      <c r="AC6618" s="20"/>
      <c r="AG6618" s="29"/>
    </row>
    <row r="6619" spans="2:33">
      <c r="B6619" s="29"/>
      <c r="D6619" s="29"/>
      <c r="E6619" s="20"/>
      <c r="F6619" s="20"/>
      <c r="AC6619" s="20"/>
      <c r="AG6619" s="29"/>
    </row>
    <row r="6620" spans="2:33">
      <c r="B6620" s="29"/>
      <c r="D6620" s="29"/>
      <c r="E6620" s="20"/>
      <c r="F6620" s="20"/>
      <c r="AC6620" s="20"/>
      <c r="AG6620" s="29"/>
    </row>
    <row r="6621" spans="2:33">
      <c r="B6621" s="29"/>
      <c r="D6621" s="29"/>
      <c r="E6621" s="20"/>
      <c r="F6621" s="20"/>
      <c r="AC6621" s="20"/>
      <c r="AG6621" s="29"/>
    </row>
    <row r="6622" spans="2:33">
      <c r="B6622" s="29"/>
      <c r="D6622" s="29"/>
      <c r="E6622" s="20"/>
      <c r="F6622" s="20"/>
      <c r="AC6622" s="20"/>
      <c r="AG6622" s="29"/>
    </row>
    <row r="6623" spans="2:33">
      <c r="B6623" s="29"/>
      <c r="D6623" s="29"/>
      <c r="E6623" s="20"/>
      <c r="F6623" s="20"/>
      <c r="AC6623" s="20"/>
      <c r="AG6623" s="29"/>
    </row>
    <row r="6624" spans="2:33">
      <c r="B6624" s="29"/>
      <c r="D6624" s="29"/>
      <c r="E6624" s="20"/>
      <c r="F6624" s="20"/>
      <c r="AC6624" s="20"/>
      <c r="AG6624" s="29"/>
    </row>
    <row r="6625" spans="2:33">
      <c r="B6625" s="29"/>
      <c r="D6625" s="29"/>
      <c r="E6625" s="20"/>
      <c r="F6625" s="20"/>
      <c r="AC6625" s="20"/>
      <c r="AG6625" s="29"/>
    </row>
    <row r="6626" spans="2:33">
      <c r="B6626" s="29"/>
      <c r="D6626" s="29"/>
      <c r="E6626" s="20"/>
      <c r="F6626" s="20"/>
      <c r="AC6626" s="20"/>
      <c r="AG6626" s="29"/>
    </row>
    <row r="6627" spans="2:33">
      <c r="B6627" s="29"/>
      <c r="D6627" s="29"/>
      <c r="E6627" s="20"/>
      <c r="F6627" s="20"/>
      <c r="AC6627" s="20"/>
      <c r="AG6627" s="29"/>
    </row>
    <row r="6628" spans="2:33">
      <c r="B6628" s="29"/>
      <c r="D6628" s="29"/>
      <c r="E6628" s="20"/>
      <c r="F6628" s="20"/>
      <c r="AC6628" s="20"/>
      <c r="AG6628" s="29"/>
    </row>
    <row r="6629" spans="2:33">
      <c r="B6629" s="29"/>
      <c r="D6629" s="29"/>
      <c r="E6629" s="20"/>
      <c r="F6629" s="20"/>
      <c r="AC6629" s="20"/>
      <c r="AG6629" s="29"/>
    </row>
    <row r="6630" spans="2:33">
      <c r="B6630" s="29"/>
      <c r="D6630" s="29"/>
      <c r="E6630" s="20"/>
      <c r="F6630" s="20"/>
      <c r="AC6630" s="20"/>
      <c r="AG6630" s="29"/>
    </row>
    <row r="6631" spans="2:33">
      <c r="B6631" s="29"/>
      <c r="D6631" s="29"/>
      <c r="E6631" s="20"/>
      <c r="F6631" s="20"/>
      <c r="AC6631" s="20"/>
      <c r="AG6631" s="29"/>
    </row>
    <row r="6632" spans="2:33">
      <c r="B6632" s="29"/>
      <c r="D6632" s="29"/>
      <c r="E6632" s="20"/>
      <c r="F6632" s="20"/>
      <c r="AC6632" s="20"/>
      <c r="AG6632" s="29"/>
    </row>
    <row r="6633" spans="2:33">
      <c r="B6633" s="29"/>
      <c r="D6633" s="29"/>
      <c r="E6633" s="20"/>
      <c r="F6633" s="20"/>
      <c r="AC6633" s="20"/>
      <c r="AG6633" s="29"/>
    </row>
    <row r="6634" spans="2:33">
      <c r="B6634" s="29"/>
      <c r="D6634" s="29"/>
      <c r="E6634" s="20"/>
      <c r="F6634" s="20"/>
      <c r="AC6634" s="20"/>
      <c r="AG6634" s="29"/>
    </row>
    <row r="6635" spans="2:33">
      <c r="B6635" s="29"/>
      <c r="D6635" s="29"/>
      <c r="E6635" s="20"/>
      <c r="F6635" s="20"/>
      <c r="AC6635" s="20"/>
      <c r="AG6635" s="29"/>
    </row>
    <row r="6636" spans="2:33">
      <c r="B6636" s="29"/>
      <c r="D6636" s="29"/>
      <c r="E6636" s="20"/>
      <c r="F6636" s="20"/>
      <c r="AC6636" s="20"/>
      <c r="AG6636" s="29"/>
    </row>
    <row r="6637" spans="2:33">
      <c r="B6637" s="29"/>
      <c r="D6637" s="29"/>
      <c r="E6637" s="20"/>
      <c r="F6637" s="20"/>
      <c r="AC6637" s="20"/>
      <c r="AG6637" s="29"/>
    </row>
    <row r="6638" spans="2:33">
      <c r="B6638" s="29"/>
      <c r="D6638" s="29"/>
      <c r="E6638" s="20"/>
      <c r="F6638" s="20"/>
      <c r="AC6638" s="20"/>
      <c r="AG6638" s="29"/>
    </row>
    <row r="6639" spans="2:33">
      <c r="B6639" s="29"/>
      <c r="D6639" s="29"/>
      <c r="E6639" s="20"/>
      <c r="F6639" s="20"/>
      <c r="AC6639" s="20"/>
      <c r="AG6639" s="29"/>
    </row>
    <row r="6640" spans="2:33">
      <c r="B6640" s="29"/>
      <c r="D6640" s="29"/>
      <c r="E6640" s="20"/>
      <c r="F6640" s="20"/>
      <c r="AC6640" s="20"/>
      <c r="AG6640" s="29"/>
    </row>
    <row r="6641" spans="2:33">
      <c r="B6641" s="29"/>
      <c r="D6641" s="29"/>
      <c r="E6641" s="20"/>
      <c r="F6641" s="20"/>
      <c r="AC6641" s="20"/>
      <c r="AG6641" s="29"/>
    </row>
    <row r="6642" spans="2:33">
      <c r="B6642" s="29"/>
      <c r="D6642" s="29"/>
      <c r="E6642" s="20"/>
      <c r="F6642" s="20"/>
      <c r="AC6642" s="20"/>
      <c r="AG6642" s="29"/>
    </row>
    <row r="6643" spans="2:33">
      <c r="B6643" s="29"/>
      <c r="D6643" s="29"/>
      <c r="E6643" s="20"/>
      <c r="F6643" s="20"/>
      <c r="AC6643" s="20"/>
      <c r="AG6643" s="29"/>
    </row>
    <row r="6644" spans="2:33">
      <c r="B6644" s="29"/>
      <c r="D6644" s="29"/>
      <c r="E6644" s="20"/>
      <c r="F6644" s="20"/>
      <c r="AC6644" s="20"/>
      <c r="AG6644" s="29"/>
    </row>
    <row r="6645" spans="2:33">
      <c r="B6645" s="29"/>
      <c r="D6645" s="29"/>
      <c r="E6645" s="20"/>
      <c r="F6645" s="20"/>
      <c r="AC6645" s="20"/>
      <c r="AG6645" s="29"/>
    </row>
    <row r="6646" spans="2:33">
      <c r="B6646" s="29"/>
      <c r="D6646" s="29"/>
      <c r="E6646" s="20"/>
      <c r="F6646" s="20"/>
      <c r="AC6646" s="20"/>
      <c r="AG6646" s="29"/>
    </row>
    <row r="6647" spans="2:33">
      <c r="B6647" s="29"/>
      <c r="D6647" s="29"/>
      <c r="E6647" s="20"/>
      <c r="F6647" s="20"/>
      <c r="AC6647" s="20"/>
      <c r="AG6647" s="29"/>
    </row>
    <row r="6648" spans="2:33">
      <c r="B6648" s="29"/>
      <c r="D6648" s="29"/>
      <c r="E6648" s="20"/>
      <c r="F6648" s="20"/>
      <c r="AC6648" s="20"/>
      <c r="AG6648" s="29"/>
    </row>
    <row r="6649" spans="2:33">
      <c r="B6649" s="29"/>
      <c r="D6649" s="29"/>
      <c r="E6649" s="20"/>
      <c r="F6649" s="20"/>
      <c r="AC6649" s="20"/>
      <c r="AG6649" s="29"/>
    </row>
    <row r="6650" spans="2:33">
      <c r="B6650" s="29"/>
      <c r="D6650" s="29"/>
      <c r="E6650" s="20"/>
      <c r="F6650" s="20"/>
      <c r="AC6650" s="20"/>
      <c r="AG6650" s="29"/>
    </row>
    <row r="6651" spans="2:33">
      <c r="B6651" s="29"/>
      <c r="D6651" s="29"/>
      <c r="E6651" s="20"/>
      <c r="F6651" s="20"/>
      <c r="AC6651" s="20"/>
      <c r="AG6651" s="29"/>
    </row>
    <row r="6652" spans="2:33">
      <c r="B6652" s="29"/>
      <c r="D6652" s="29"/>
      <c r="E6652" s="20"/>
      <c r="F6652" s="20"/>
      <c r="AC6652" s="20"/>
      <c r="AG6652" s="29"/>
    </row>
    <row r="6653" spans="2:33">
      <c r="B6653" s="29"/>
      <c r="D6653" s="29"/>
      <c r="E6653" s="20"/>
      <c r="F6653" s="20"/>
      <c r="AC6653" s="20"/>
      <c r="AG6653" s="29"/>
    </row>
    <row r="6654" spans="2:33">
      <c r="B6654" s="29"/>
      <c r="D6654" s="29"/>
      <c r="E6654" s="20"/>
      <c r="F6654" s="20"/>
      <c r="AC6654" s="20"/>
      <c r="AG6654" s="29"/>
    </row>
    <row r="6655" spans="2:33">
      <c r="B6655" s="29"/>
      <c r="D6655" s="29"/>
      <c r="E6655" s="20"/>
      <c r="F6655" s="20"/>
      <c r="AC6655" s="20"/>
      <c r="AG6655" s="29"/>
    </row>
    <row r="6656" spans="2:33">
      <c r="B6656" s="29"/>
      <c r="D6656" s="29"/>
      <c r="E6656" s="20"/>
      <c r="F6656" s="20"/>
      <c r="AC6656" s="20"/>
      <c r="AG6656" s="29"/>
    </row>
    <row r="6657" spans="2:33">
      <c r="B6657" s="29"/>
      <c r="D6657" s="29"/>
      <c r="E6657" s="20"/>
      <c r="F6657" s="20"/>
      <c r="AC6657" s="20"/>
      <c r="AG6657" s="29"/>
    </row>
    <row r="6658" spans="2:33">
      <c r="B6658" s="29"/>
      <c r="D6658" s="29"/>
      <c r="E6658" s="20"/>
      <c r="F6658" s="20"/>
      <c r="AC6658" s="20"/>
      <c r="AG6658" s="29"/>
    </row>
    <row r="6659" spans="2:33">
      <c r="B6659" s="29"/>
      <c r="D6659" s="29"/>
      <c r="E6659" s="20"/>
      <c r="F6659" s="20"/>
      <c r="AC6659" s="20"/>
      <c r="AG6659" s="29"/>
    </row>
    <row r="6660" spans="2:33">
      <c r="B6660" s="29"/>
      <c r="D6660" s="29"/>
      <c r="E6660" s="20"/>
      <c r="F6660" s="20"/>
      <c r="AC6660" s="20"/>
      <c r="AG6660" s="29"/>
    </row>
    <row r="6661" spans="2:33">
      <c r="B6661" s="29"/>
      <c r="D6661" s="29"/>
      <c r="E6661" s="20"/>
      <c r="F6661" s="20"/>
      <c r="AC6661" s="20"/>
      <c r="AG6661" s="29"/>
    </row>
    <row r="6662" spans="2:33">
      <c r="B6662" s="29"/>
      <c r="D6662" s="29"/>
      <c r="E6662" s="20"/>
      <c r="F6662" s="20"/>
      <c r="AC6662" s="20"/>
      <c r="AG6662" s="29"/>
    </row>
    <row r="6663" spans="2:33">
      <c r="B6663" s="29"/>
      <c r="D6663" s="29"/>
      <c r="E6663" s="20"/>
      <c r="F6663" s="20"/>
      <c r="AC6663" s="20"/>
      <c r="AG6663" s="29"/>
    </row>
    <row r="6664" spans="2:33">
      <c r="B6664" s="29"/>
      <c r="D6664" s="29"/>
      <c r="E6664" s="20"/>
      <c r="F6664" s="20"/>
      <c r="AC6664" s="20"/>
      <c r="AG6664" s="29"/>
    </row>
    <row r="6665" spans="2:33">
      <c r="B6665" s="29"/>
      <c r="D6665" s="29"/>
      <c r="E6665" s="20"/>
      <c r="F6665" s="20"/>
      <c r="AC6665" s="20"/>
      <c r="AG6665" s="29"/>
    </row>
    <row r="6666" spans="2:33">
      <c r="B6666" s="29"/>
      <c r="D6666" s="29"/>
      <c r="E6666" s="20"/>
      <c r="F6666" s="20"/>
      <c r="AC6666" s="20"/>
      <c r="AG6666" s="29"/>
    </row>
    <row r="6667" spans="2:33">
      <c r="B6667" s="29"/>
      <c r="D6667" s="29"/>
      <c r="E6667" s="20"/>
      <c r="F6667" s="20"/>
      <c r="AC6667" s="20"/>
      <c r="AG6667" s="29"/>
    </row>
    <row r="6668" spans="2:33">
      <c r="B6668" s="29"/>
      <c r="D6668" s="29"/>
      <c r="E6668" s="20"/>
      <c r="F6668" s="20"/>
      <c r="AC6668" s="20"/>
      <c r="AG6668" s="29"/>
    </row>
    <row r="6669" spans="2:33">
      <c r="B6669" s="29"/>
      <c r="D6669" s="29"/>
      <c r="E6669" s="20"/>
      <c r="F6669" s="20"/>
      <c r="AC6669" s="20"/>
      <c r="AG6669" s="29"/>
    </row>
    <row r="6670" spans="2:33">
      <c r="B6670" s="29"/>
      <c r="D6670" s="29"/>
      <c r="E6670" s="20"/>
      <c r="F6670" s="20"/>
      <c r="AC6670" s="20"/>
      <c r="AG6670" s="29"/>
    </row>
    <row r="6671" spans="2:33">
      <c r="B6671" s="29"/>
      <c r="D6671" s="29"/>
      <c r="E6671" s="20"/>
      <c r="F6671" s="20"/>
      <c r="AC6671" s="20"/>
      <c r="AG6671" s="29"/>
    </row>
    <row r="6672" spans="2:33">
      <c r="B6672" s="29"/>
      <c r="D6672" s="29"/>
      <c r="E6672" s="20"/>
      <c r="F6672" s="20"/>
      <c r="AC6672" s="20"/>
      <c r="AG6672" s="29"/>
    </row>
    <row r="6673" spans="2:33">
      <c r="B6673" s="29"/>
      <c r="D6673" s="29"/>
      <c r="E6673" s="20"/>
      <c r="F6673" s="20"/>
      <c r="AC6673" s="20"/>
      <c r="AG6673" s="29"/>
    </row>
    <row r="6674" spans="2:33">
      <c r="B6674" s="29"/>
      <c r="D6674" s="29"/>
      <c r="E6674" s="20"/>
      <c r="F6674" s="20"/>
      <c r="AC6674" s="20"/>
      <c r="AG6674" s="29"/>
    </row>
    <row r="6675" spans="2:33">
      <c r="B6675" s="29"/>
      <c r="D6675" s="29"/>
      <c r="E6675" s="20"/>
      <c r="F6675" s="20"/>
      <c r="AC6675" s="20"/>
      <c r="AG6675" s="29"/>
    </row>
    <row r="6676" spans="2:33">
      <c r="B6676" s="29"/>
      <c r="D6676" s="29"/>
      <c r="E6676" s="20"/>
      <c r="F6676" s="20"/>
      <c r="AC6676" s="20"/>
      <c r="AG6676" s="29"/>
    </row>
    <row r="6677" spans="2:33">
      <c r="B6677" s="29"/>
      <c r="D6677" s="29"/>
      <c r="E6677" s="20"/>
      <c r="F6677" s="20"/>
      <c r="AC6677" s="20"/>
      <c r="AG6677" s="29"/>
    </row>
    <row r="6678" spans="2:33">
      <c r="B6678" s="29"/>
      <c r="D6678" s="29"/>
      <c r="E6678" s="20"/>
      <c r="F6678" s="20"/>
      <c r="AC6678" s="20"/>
      <c r="AG6678" s="29"/>
    </row>
    <row r="6679" spans="2:33">
      <c r="B6679" s="29"/>
      <c r="D6679" s="29"/>
      <c r="E6679" s="20"/>
      <c r="F6679" s="20"/>
      <c r="AC6679" s="20"/>
      <c r="AG6679" s="29"/>
    </row>
    <row r="6680" spans="2:33">
      <c r="B6680" s="29"/>
      <c r="D6680" s="29"/>
      <c r="E6680" s="20"/>
      <c r="F6680" s="20"/>
      <c r="AC6680" s="20"/>
      <c r="AG6680" s="29"/>
    </row>
    <row r="6681" spans="2:33">
      <c r="B6681" s="29"/>
      <c r="D6681" s="29"/>
      <c r="E6681" s="20"/>
      <c r="F6681" s="20"/>
      <c r="AC6681" s="20"/>
      <c r="AG6681" s="29"/>
    </row>
    <row r="6682" spans="2:33">
      <c r="B6682" s="29"/>
      <c r="D6682" s="29"/>
      <c r="E6682" s="20"/>
      <c r="F6682" s="20"/>
      <c r="AC6682" s="20"/>
      <c r="AG6682" s="29"/>
    </row>
    <row r="6683" spans="2:33">
      <c r="B6683" s="29"/>
      <c r="D6683" s="29"/>
      <c r="E6683" s="20"/>
      <c r="F6683" s="20"/>
      <c r="AC6683" s="20"/>
      <c r="AG6683" s="29"/>
    </row>
    <row r="6684" spans="2:33">
      <c r="B6684" s="29"/>
      <c r="D6684" s="29"/>
      <c r="E6684" s="20"/>
      <c r="F6684" s="20"/>
      <c r="AC6684" s="20"/>
      <c r="AG6684" s="29"/>
    </row>
    <row r="6685" spans="2:33">
      <c r="B6685" s="29"/>
      <c r="D6685" s="29"/>
      <c r="E6685" s="20"/>
      <c r="F6685" s="20"/>
      <c r="AC6685" s="20"/>
      <c r="AG6685" s="29"/>
    </row>
    <row r="6686" spans="2:33">
      <c r="B6686" s="29"/>
      <c r="D6686" s="29"/>
      <c r="E6686" s="20"/>
      <c r="F6686" s="20"/>
      <c r="AC6686" s="20"/>
      <c r="AG6686" s="29"/>
    </row>
    <row r="6687" spans="2:33">
      <c r="B6687" s="29"/>
      <c r="D6687" s="29"/>
      <c r="E6687" s="20"/>
      <c r="F6687" s="20"/>
      <c r="AC6687" s="20"/>
      <c r="AG6687" s="29"/>
    </row>
    <row r="6688" spans="2:33">
      <c r="B6688" s="29"/>
      <c r="D6688" s="29"/>
      <c r="E6688" s="20"/>
      <c r="F6688" s="20"/>
      <c r="AC6688" s="20"/>
      <c r="AG6688" s="29"/>
    </row>
    <row r="6689" spans="2:33">
      <c r="B6689" s="29"/>
      <c r="D6689" s="29"/>
      <c r="E6689" s="20"/>
      <c r="F6689" s="20"/>
      <c r="AC6689" s="20"/>
      <c r="AG6689" s="29"/>
    </row>
    <row r="6690" spans="2:33">
      <c r="B6690" s="29"/>
      <c r="D6690" s="29"/>
      <c r="E6690" s="20"/>
      <c r="F6690" s="20"/>
      <c r="AC6690" s="20"/>
      <c r="AG6690" s="29"/>
    </row>
    <row r="6691" spans="2:33">
      <c r="B6691" s="29"/>
      <c r="D6691" s="29"/>
      <c r="E6691" s="20"/>
      <c r="F6691" s="20"/>
      <c r="AC6691" s="20"/>
      <c r="AG6691" s="29"/>
    </row>
    <row r="6692" spans="2:33">
      <c r="B6692" s="29"/>
      <c r="D6692" s="29"/>
      <c r="E6692" s="20"/>
      <c r="F6692" s="20"/>
      <c r="AC6692" s="20"/>
      <c r="AG6692" s="29"/>
    </row>
    <row r="6693" spans="2:33">
      <c r="B6693" s="29"/>
      <c r="D6693" s="29"/>
      <c r="E6693" s="20"/>
      <c r="F6693" s="20"/>
      <c r="AC6693" s="20"/>
      <c r="AG6693" s="29"/>
    </row>
    <row r="6694" spans="2:33">
      <c r="B6694" s="29"/>
      <c r="D6694" s="29"/>
      <c r="E6694" s="20"/>
      <c r="F6694" s="20"/>
      <c r="AC6694" s="20"/>
      <c r="AG6694" s="29"/>
    </row>
    <row r="6695" spans="2:33">
      <c r="B6695" s="29"/>
      <c r="D6695" s="29"/>
      <c r="E6695" s="20"/>
      <c r="F6695" s="20"/>
      <c r="AC6695" s="20"/>
      <c r="AG6695" s="29"/>
    </row>
    <row r="6696" spans="2:33">
      <c r="B6696" s="29"/>
      <c r="D6696" s="29"/>
      <c r="E6696" s="20"/>
      <c r="F6696" s="20"/>
      <c r="AC6696" s="20"/>
      <c r="AG6696" s="29"/>
    </row>
    <row r="6697" spans="2:33">
      <c r="B6697" s="29"/>
      <c r="D6697" s="29"/>
      <c r="E6697" s="20"/>
      <c r="F6697" s="20"/>
      <c r="AC6697" s="20"/>
      <c r="AG6697" s="29"/>
    </row>
    <row r="6698" spans="2:33">
      <c r="B6698" s="29"/>
      <c r="D6698" s="29"/>
      <c r="E6698" s="20"/>
      <c r="F6698" s="20"/>
      <c r="AC6698" s="20"/>
      <c r="AG6698" s="29"/>
    </row>
    <row r="6699" spans="2:33">
      <c r="B6699" s="29"/>
      <c r="D6699" s="29"/>
      <c r="E6699" s="20"/>
      <c r="F6699" s="20"/>
      <c r="AC6699" s="20"/>
      <c r="AG6699" s="29"/>
    </row>
    <row r="6700" spans="2:33">
      <c r="B6700" s="29"/>
      <c r="D6700" s="29"/>
      <c r="E6700" s="20"/>
      <c r="F6700" s="20"/>
      <c r="AC6700" s="20"/>
      <c r="AG6700" s="29"/>
    </row>
    <row r="6701" spans="2:33">
      <c r="B6701" s="29"/>
      <c r="D6701" s="29"/>
      <c r="E6701" s="20"/>
      <c r="F6701" s="20"/>
      <c r="AC6701" s="20"/>
      <c r="AG6701" s="29"/>
    </row>
    <row r="6702" spans="2:33">
      <c r="B6702" s="29"/>
      <c r="D6702" s="29"/>
      <c r="E6702" s="20"/>
      <c r="F6702" s="20"/>
      <c r="AC6702" s="20"/>
      <c r="AG6702" s="29"/>
    </row>
    <row r="6703" spans="2:33">
      <c r="B6703" s="29"/>
      <c r="D6703" s="29"/>
      <c r="E6703" s="20"/>
      <c r="F6703" s="20"/>
      <c r="AC6703" s="20"/>
      <c r="AG6703" s="29"/>
    </row>
    <row r="6704" spans="2:33">
      <c r="B6704" s="29"/>
      <c r="D6704" s="29"/>
      <c r="E6704" s="20"/>
      <c r="F6704" s="20"/>
      <c r="AC6704" s="20"/>
      <c r="AG6704" s="29"/>
    </row>
    <row r="6705" spans="2:33">
      <c r="B6705" s="29"/>
      <c r="D6705" s="29"/>
      <c r="E6705" s="20"/>
      <c r="F6705" s="20"/>
      <c r="AC6705" s="20"/>
      <c r="AG6705" s="29"/>
    </row>
    <row r="6706" spans="2:33">
      <c r="B6706" s="29"/>
      <c r="D6706" s="29"/>
      <c r="E6706" s="20"/>
      <c r="F6706" s="20"/>
      <c r="AC6706" s="20"/>
      <c r="AG6706" s="29"/>
    </row>
    <row r="6707" spans="2:33">
      <c r="B6707" s="29"/>
      <c r="D6707" s="29"/>
      <c r="E6707" s="20"/>
      <c r="F6707" s="20"/>
      <c r="AC6707" s="20"/>
      <c r="AG6707" s="29"/>
    </row>
    <row r="6708" spans="2:33">
      <c r="B6708" s="29"/>
      <c r="D6708" s="29"/>
      <c r="E6708" s="20"/>
      <c r="F6708" s="20"/>
      <c r="AC6708" s="20"/>
      <c r="AG6708" s="29"/>
    </row>
    <row r="6709" spans="2:33">
      <c r="B6709" s="29"/>
      <c r="D6709" s="29"/>
      <c r="E6709" s="20"/>
      <c r="F6709" s="20"/>
      <c r="AC6709" s="20"/>
      <c r="AG6709" s="29"/>
    </row>
    <row r="6710" spans="2:33">
      <c r="B6710" s="29"/>
      <c r="D6710" s="29"/>
      <c r="E6710" s="20"/>
      <c r="F6710" s="20"/>
      <c r="AC6710" s="20"/>
      <c r="AG6710" s="29"/>
    </row>
    <row r="6711" spans="2:33">
      <c r="B6711" s="29"/>
      <c r="D6711" s="29"/>
      <c r="E6711" s="20"/>
      <c r="F6711" s="20"/>
      <c r="AC6711" s="20"/>
      <c r="AG6711" s="29"/>
    </row>
    <row r="6712" spans="2:33">
      <c r="B6712" s="29"/>
      <c r="D6712" s="29"/>
      <c r="E6712" s="20"/>
      <c r="F6712" s="20"/>
      <c r="AC6712" s="20"/>
      <c r="AG6712" s="29"/>
    </row>
    <row r="6713" spans="2:33">
      <c r="B6713" s="29"/>
      <c r="D6713" s="29"/>
      <c r="E6713" s="20"/>
      <c r="F6713" s="20"/>
      <c r="AC6713" s="20"/>
      <c r="AG6713" s="29"/>
    </row>
    <row r="6714" spans="2:33">
      <c r="B6714" s="29"/>
      <c r="D6714" s="29"/>
      <c r="E6714" s="20"/>
      <c r="F6714" s="20"/>
      <c r="AC6714" s="20"/>
      <c r="AG6714" s="29"/>
    </row>
    <row r="6715" spans="2:33">
      <c r="B6715" s="29"/>
      <c r="D6715" s="29"/>
      <c r="E6715" s="20"/>
      <c r="F6715" s="20"/>
      <c r="AC6715" s="20"/>
      <c r="AG6715" s="29"/>
    </row>
    <row r="6716" spans="2:33">
      <c r="B6716" s="29"/>
      <c r="D6716" s="29"/>
      <c r="E6716" s="20"/>
      <c r="F6716" s="20"/>
      <c r="AC6716" s="20"/>
      <c r="AG6716" s="29"/>
    </row>
    <row r="6717" spans="2:33">
      <c r="B6717" s="29"/>
      <c r="D6717" s="29"/>
      <c r="E6717" s="20"/>
      <c r="F6717" s="20"/>
      <c r="AC6717" s="20"/>
      <c r="AG6717" s="29"/>
    </row>
    <row r="6718" spans="2:33">
      <c r="B6718" s="29"/>
      <c r="D6718" s="29"/>
      <c r="E6718" s="20"/>
      <c r="F6718" s="20"/>
      <c r="AC6718" s="20"/>
      <c r="AG6718" s="29"/>
    </row>
    <row r="6719" spans="2:33">
      <c r="B6719" s="29"/>
      <c r="D6719" s="29"/>
      <c r="E6719" s="20"/>
      <c r="F6719" s="20"/>
      <c r="AC6719" s="20"/>
      <c r="AG6719" s="29"/>
    </row>
    <row r="6720" spans="2:33">
      <c r="B6720" s="29"/>
      <c r="D6720" s="29"/>
      <c r="E6720" s="20"/>
      <c r="F6720" s="20"/>
      <c r="AC6720" s="20"/>
      <c r="AG6720" s="29"/>
    </row>
    <row r="6721" spans="2:33">
      <c r="B6721" s="29"/>
      <c r="D6721" s="29"/>
      <c r="E6721" s="20"/>
      <c r="F6721" s="20"/>
      <c r="AC6721" s="20"/>
      <c r="AG6721" s="29"/>
    </row>
    <row r="6722" spans="2:33">
      <c r="B6722" s="29"/>
      <c r="D6722" s="29"/>
      <c r="E6722" s="20"/>
      <c r="F6722" s="20"/>
      <c r="AC6722" s="20"/>
      <c r="AG6722" s="29"/>
    </row>
    <row r="6723" spans="2:33">
      <c r="B6723" s="29"/>
      <c r="D6723" s="29"/>
      <c r="E6723" s="20"/>
      <c r="F6723" s="20"/>
      <c r="AC6723" s="20"/>
      <c r="AG6723" s="29"/>
    </row>
    <row r="6724" spans="2:33">
      <c r="B6724" s="29"/>
      <c r="D6724" s="29"/>
      <c r="E6724" s="20"/>
      <c r="F6724" s="20"/>
      <c r="AC6724" s="20"/>
      <c r="AG6724" s="29"/>
    </row>
    <row r="6725" spans="2:33">
      <c r="B6725" s="29"/>
      <c r="D6725" s="29"/>
      <c r="E6725" s="20"/>
      <c r="F6725" s="20"/>
      <c r="AC6725" s="20"/>
      <c r="AG6725" s="29"/>
    </row>
    <row r="6726" spans="2:33">
      <c r="B6726" s="29"/>
      <c r="D6726" s="29"/>
      <c r="E6726" s="20"/>
      <c r="F6726" s="20"/>
      <c r="AC6726" s="20"/>
      <c r="AG6726" s="29"/>
    </row>
    <row r="6727" spans="2:33">
      <c r="B6727" s="29"/>
      <c r="D6727" s="29"/>
      <c r="E6727" s="20"/>
      <c r="F6727" s="20"/>
      <c r="AC6727" s="20"/>
      <c r="AG6727" s="29"/>
    </row>
    <row r="6728" spans="2:33">
      <c r="B6728" s="29"/>
      <c r="D6728" s="29"/>
      <c r="E6728" s="20"/>
      <c r="F6728" s="20"/>
      <c r="AC6728" s="20"/>
      <c r="AG6728" s="29"/>
    </row>
    <row r="6729" spans="2:33">
      <c r="B6729" s="29"/>
      <c r="D6729" s="29"/>
      <c r="E6729" s="20"/>
      <c r="F6729" s="20"/>
      <c r="AC6729" s="20"/>
      <c r="AG6729" s="29"/>
    </row>
    <row r="6730" spans="2:33">
      <c r="B6730" s="29"/>
      <c r="D6730" s="29"/>
      <c r="E6730" s="20"/>
      <c r="F6730" s="20"/>
      <c r="AC6730" s="20"/>
      <c r="AG6730" s="29"/>
    </row>
    <row r="6731" spans="2:33">
      <c r="B6731" s="29"/>
      <c r="D6731" s="29"/>
      <c r="E6731" s="20"/>
      <c r="F6731" s="20"/>
      <c r="AC6731" s="20"/>
      <c r="AG6731" s="29"/>
    </row>
    <row r="6732" spans="2:33">
      <c r="B6732" s="29"/>
      <c r="D6732" s="29"/>
      <c r="E6732" s="20"/>
      <c r="F6732" s="20"/>
      <c r="AC6732" s="20"/>
      <c r="AG6732" s="29"/>
    </row>
    <row r="6733" spans="2:33">
      <c r="B6733" s="29"/>
      <c r="D6733" s="29"/>
      <c r="E6733" s="20"/>
      <c r="F6733" s="20"/>
      <c r="AC6733" s="20"/>
      <c r="AG6733" s="29"/>
    </row>
    <row r="6734" spans="2:33">
      <c r="B6734" s="29"/>
      <c r="D6734" s="29"/>
      <c r="E6734" s="20"/>
      <c r="F6734" s="20"/>
      <c r="AC6734" s="20"/>
      <c r="AG6734" s="29"/>
    </row>
    <row r="6735" spans="2:33">
      <c r="B6735" s="29"/>
      <c r="D6735" s="29"/>
      <c r="E6735" s="20"/>
      <c r="F6735" s="20"/>
      <c r="AC6735" s="20"/>
      <c r="AG6735" s="29"/>
    </row>
    <row r="6736" spans="2:33">
      <c r="B6736" s="29"/>
      <c r="D6736" s="29"/>
      <c r="E6736" s="20"/>
      <c r="F6736" s="20"/>
      <c r="AC6736" s="20"/>
      <c r="AG6736" s="29"/>
    </row>
    <row r="6737" spans="2:33">
      <c r="B6737" s="29"/>
      <c r="D6737" s="29"/>
      <c r="E6737" s="20"/>
      <c r="F6737" s="20"/>
      <c r="AC6737" s="20"/>
      <c r="AG6737" s="29"/>
    </row>
    <row r="6738" spans="2:33">
      <c r="B6738" s="29"/>
      <c r="D6738" s="29"/>
      <c r="E6738" s="20"/>
      <c r="F6738" s="20"/>
      <c r="AC6738" s="20"/>
      <c r="AG6738" s="29"/>
    </row>
    <row r="6739" spans="2:33">
      <c r="B6739" s="29"/>
      <c r="D6739" s="29"/>
      <c r="E6739" s="20"/>
      <c r="F6739" s="20"/>
      <c r="AC6739" s="20"/>
      <c r="AG6739" s="29"/>
    </row>
    <row r="6740" spans="2:33">
      <c r="B6740" s="29"/>
      <c r="D6740" s="29"/>
      <c r="E6740" s="20"/>
      <c r="F6740" s="20"/>
      <c r="AC6740" s="20"/>
      <c r="AG6740" s="29"/>
    </row>
    <row r="6741" spans="2:33">
      <c r="B6741" s="29"/>
      <c r="D6741" s="29"/>
      <c r="E6741" s="20"/>
      <c r="F6741" s="20"/>
      <c r="AC6741" s="20"/>
      <c r="AG6741" s="29"/>
    </row>
    <row r="6742" spans="2:33">
      <c r="B6742" s="29"/>
      <c r="D6742" s="29"/>
      <c r="E6742" s="20"/>
      <c r="F6742" s="20"/>
      <c r="AC6742" s="20"/>
      <c r="AG6742" s="29"/>
    </row>
    <row r="6743" spans="2:33">
      <c r="B6743" s="29"/>
      <c r="D6743" s="29"/>
      <c r="E6743" s="20"/>
      <c r="F6743" s="20"/>
      <c r="AC6743" s="20"/>
      <c r="AG6743" s="29"/>
    </row>
    <row r="6744" spans="2:33">
      <c r="B6744" s="29"/>
      <c r="D6744" s="29"/>
      <c r="E6744" s="20"/>
      <c r="F6744" s="20"/>
      <c r="AC6744" s="20"/>
      <c r="AG6744" s="29"/>
    </row>
    <row r="6745" spans="2:33">
      <c r="B6745" s="29"/>
      <c r="D6745" s="29"/>
      <c r="E6745" s="20"/>
      <c r="F6745" s="20"/>
      <c r="AC6745" s="20"/>
      <c r="AG6745" s="29"/>
    </row>
    <row r="6746" spans="2:33">
      <c r="B6746" s="29"/>
      <c r="D6746" s="29"/>
      <c r="E6746" s="20"/>
      <c r="F6746" s="20"/>
      <c r="AC6746" s="20"/>
      <c r="AG6746" s="29"/>
    </row>
    <row r="6747" spans="2:33">
      <c r="B6747" s="29"/>
      <c r="D6747" s="29"/>
      <c r="E6747" s="20"/>
      <c r="F6747" s="20"/>
      <c r="AC6747" s="20"/>
      <c r="AG6747" s="29"/>
    </row>
    <row r="6748" spans="2:33">
      <c r="B6748" s="29"/>
      <c r="D6748" s="29"/>
      <c r="E6748" s="20"/>
      <c r="F6748" s="20"/>
      <c r="AC6748" s="20"/>
      <c r="AG6748" s="29"/>
    </row>
    <row r="6749" spans="2:33">
      <c r="B6749" s="29"/>
      <c r="D6749" s="29"/>
      <c r="E6749" s="20"/>
      <c r="F6749" s="20"/>
      <c r="AC6749" s="20"/>
      <c r="AG6749" s="29"/>
    </row>
    <row r="6750" spans="2:33">
      <c r="B6750" s="29"/>
      <c r="D6750" s="29"/>
      <c r="E6750" s="20"/>
      <c r="F6750" s="20"/>
      <c r="AC6750" s="20"/>
      <c r="AG6750" s="29"/>
    </row>
    <row r="6751" spans="2:33">
      <c r="B6751" s="29"/>
      <c r="D6751" s="29"/>
      <c r="E6751" s="20"/>
      <c r="F6751" s="20"/>
      <c r="AC6751" s="20"/>
      <c r="AG6751" s="29"/>
    </row>
    <row r="6752" spans="2:33">
      <c r="B6752" s="29"/>
      <c r="D6752" s="29"/>
      <c r="E6752" s="20"/>
      <c r="F6752" s="20"/>
      <c r="AC6752" s="20"/>
      <c r="AG6752" s="29"/>
    </row>
    <row r="6753" spans="2:33">
      <c r="B6753" s="29"/>
      <c r="D6753" s="29"/>
      <c r="E6753" s="20"/>
      <c r="F6753" s="20"/>
      <c r="AC6753" s="20"/>
      <c r="AG6753" s="29"/>
    </row>
    <row r="6754" spans="2:33">
      <c r="B6754" s="29"/>
      <c r="D6754" s="29"/>
      <c r="E6754" s="20"/>
      <c r="F6754" s="20"/>
      <c r="AC6754" s="20"/>
      <c r="AG6754" s="29"/>
    </row>
    <row r="6755" spans="2:33">
      <c r="B6755" s="29"/>
      <c r="D6755" s="29"/>
      <c r="E6755" s="20"/>
      <c r="F6755" s="20"/>
      <c r="AC6755" s="20"/>
      <c r="AG6755" s="29"/>
    </row>
    <row r="6756" spans="2:33">
      <c r="B6756" s="29"/>
      <c r="D6756" s="29"/>
      <c r="E6756" s="20"/>
      <c r="F6756" s="20"/>
      <c r="AC6756" s="20"/>
      <c r="AG6756" s="29"/>
    </row>
    <row r="6757" spans="2:33">
      <c r="B6757" s="29"/>
      <c r="D6757" s="29"/>
      <c r="E6757" s="20"/>
      <c r="F6757" s="20"/>
      <c r="AC6757" s="20"/>
      <c r="AG6757" s="29"/>
    </row>
    <row r="6758" spans="2:33">
      <c r="B6758" s="29"/>
      <c r="D6758" s="29"/>
      <c r="E6758" s="20"/>
      <c r="F6758" s="20"/>
      <c r="AC6758" s="20"/>
      <c r="AG6758" s="29"/>
    </row>
    <row r="6759" spans="2:33">
      <c r="B6759" s="29"/>
      <c r="D6759" s="29"/>
      <c r="E6759" s="20"/>
      <c r="F6759" s="20"/>
      <c r="AC6759" s="20"/>
      <c r="AG6759" s="29"/>
    </row>
    <row r="6760" spans="2:33">
      <c r="B6760" s="29"/>
      <c r="D6760" s="29"/>
      <c r="E6760" s="20"/>
      <c r="F6760" s="20"/>
      <c r="AC6760" s="20"/>
      <c r="AG6760" s="29"/>
    </row>
    <row r="6761" spans="2:33">
      <c r="B6761" s="29"/>
      <c r="D6761" s="29"/>
      <c r="E6761" s="20"/>
      <c r="F6761" s="20"/>
      <c r="AC6761" s="20"/>
      <c r="AG6761" s="29"/>
    </row>
    <row r="6762" spans="2:33">
      <c r="B6762" s="29"/>
      <c r="D6762" s="29"/>
      <c r="E6762" s="20"/>
      <c r="F6762" s="20"/>
      <c r="AC6762" s="20"/>
      <c r="AG6762" s="29"/>
    </row>
    <row r="6763" spans="2:33">
      <c r="B6763" s="29"/>
      <c r="D6763" s="29"/>
      <c r="E6763" s="20"/>
      <c r="F6763" s="20"/>
      <c r="AC6763" s="20"/>
      <c r="AG6763" s="29"/>
    </row>
    <row r="6764" spans="2:33">
      <c r="B6764" s="29"/>
      <c r="D6764" s="29"/>
      <c r="E6764" s="20"/>
      <c r="F6764" s="20"/>
      <c r="AC6764" s="20"/>
      <c r="AG6764" s="29"/>
    </row>
    <row r="6765" spans="2:33">
      <c r="B6765" s="29"/>
      <c r="D6765" s="29"/>
      <c r="E6765" s="20"/>
      <c r="F6765" s="20"/>
      <c r="AC6765" s="20"/>
      <c r="AG6765" s="29"/>
    </row>
    <row r="6766" spans="2:33">
      <c r="B6766" s="29"/>
      <c r="D6766" s="29"/>
      <c r="E6766" s="20"/>
      <c r="F6766" s="20"/>
      <c r="AC6766" s="20"/>
      <c r="AG6766" s="29"/>
    </row>
    <row r="6767" spans="2:33">
      <c r="B6767" s="29"/>
      <c r="D6767" s="29"/>
      <c r="E6767" s="20"/>
      <c r="F6767" s="20"/>
      <c r="AC6767" s="20"/>
      <c r="AG6767" s="29"/>
    </row>
    <row r="6768" spans="2:33">
      <c r="B6768" s="29"/>
      <c r="D6768" s="29"/>
      <c r="E6768" s="20"/>
      <c r="F6768" s="20"/>
      <c r="AC6768" s="20"/>
      <c r="AG6768" s="29"/>
    </row>
    <row r="6769" spans="2:33">
      <c r="B6769" s="29"/>
      <c r="D6769" s="29"/>
      <c r="E6769" s="20"/>
      <c r="F6769" s="20"/>
      <c r="AC6769" s="20"/>
      <c r="AG6769" s="29"/>
    </row>
    <row r="6770" spans="2:33">
      <c r="B6770" s="29"/>
      <c r="D6770" s="29"/>
      <c r="E6770" s="20"/>
      <c r="F6770" s="20"/>
      <c r="AC6770" s="20"/>
      <c r="AG6770" s="29"/>
    </row>
    <row r="6771" spans="2:33">
      <c r="B6771" s="29"/>
      <c r="D6771" s="29"/>
      <c r="E6771" s="20"/>
      <c r="F6771" s="20"/>
      <c r="AC6771" s="20"/>
      <c r="AG6771" s="29"/>
    </row>
    <row r="6772" spans="2:33">
      <c r="B6772" s="29"/>
      <c r="D6772" s="29"/>
      <c r="E6772" s="20"/>
      <c r="F6772" s="20"/>
      <c r="AC6772" s="20"/>
      <c r="AG6772" s="29"/>
    </row>
    <row r="6773" spans="2:33">
      <c r="B6773" s="29"/>
      <c r="D6773" s="29"/>
      <c r="E6773" s="20"/>
      <c r="F6773" s="20"/>
      <c r="AC6773" s="20"/>
      <c r="AG6773" s="29"/>
    </row>
    <row r="6774" spans="2:33">
      <c r="B6774" s="29"/>
      <c r="D6774" s="29"/>
      <c r="E6774" s="20"/>
      <c r="F6774" s="20"/>
      <c r="AC6774" s="20"/>
      <c r="AG6774" s="29"/>
    </row>
    <row r="6775" spans="2:33">
      <c r="B6775" s="29"/>
      <c r="D6775" s="29"/>
      <c r="E6775" s="20"/>
      <c r="F6775" s="20"/>
      <c r="AC6775" s="20"/>
      <c r="AG6775" s="29"/>
    </row>
    <row r="6776" spans="2:33">
      <c r="B6776" s="29"/>
      <c r="D6776" s="29"/>
      <c r="E6776" s="20"/>
      <c r="F6776" s="20"/>
      <c r="AC6776" s="20"/>
      <c r="AG6776" s="29"/>
    </row>
    <row r="6777" spans="2:33">
      <c r="B6777" s="29"/>
      <c r="D6777" s="29"/>
      <c r="E6777" s="20"/>
      <c r="F6777" s="20"/>
      <c r="AC6777" s="20"/>
      <c r="AG6777" s="29"/>
    </row>
    <row r="6778" spans="2:33">
      <c r="B6778" s="29"/>
      <c r="D6778" s="29"/>
      <c r="E6778" s="20"/>
      <c r="F6778" s="20"/>
      <c r="AC6778" s="20"/>
      <c r="AG6778" s="29"/>
    </row>
    <row r="6779" spans="2:33">
      <c r="B6779" s="29"/>
      <c r="D6779" s="29"/>
      <c r="E6779" s="20"/>
      <c r="F6779" s="20"/>
      <c r="AC6779" s="20"/>
      <c r="AG6779" s="29"/>
    </row>
    <row r="6780" spans="2:33">
      <c r="B6780" s="29"/>
      <c r="D6780" s="29"/>
      <c r="E6780" s="20"/>
      <c r="F6780" s="20"/>
      <c r="AC6780" s="20"/>
      <c r="AG6780" s="29"/>
    </row>
    <row r="6781" spans="2:33">
      <c r="B6781" s="29"/>
      <c r="D6781" s="29"/>
      <c r="E6781" s="20"/>
      <c r="F6781" s="20"/>
      <c r="AC6781" s="20"/>
      <c r="AG6781" s="29"/>
    </row>
    <row r="6782" spans="2:33">
      <c r="B6782" s="29"/>
      <c r="D6782" s="29"/>
      <c r="E6782" s="20"/>
      <c r="F6782" s="20"/>
      <c r="AC6782" s="20"/>
      <c r="AG6782" s="29"/>
    </row>
    <row r="6783" spans="2:33">
      <c r="B6783" s="29"/>
      <c r="D6783" s="29"/>
      <c r="E6783" s="20"/>
      <c r="F6783" s="20"/>
      <c r="AC6783" s="20"/>
      <c r="AG6783" s="29"/>
    </row>
    <row r="6784" spans="2:33">
      <c r="B6784" s="29"/>
      <c r="D6784" s="29"/>
      <c r="E6784" s="20"/>
      <c r="F6784" s="20"/>
      <c r="AC6784" s="20"/>
      <c r="AG6784" s="29"/>
    </row>
    <row r="6785" spans="2:33">
      <c r="B6785" s="29"/>
      <c r="D6785" s="29"/>
      <c r="E6785" s="20"/>
      <c r="F6785" s="20"/>
      <c r="AC6785" s="20"/>
      <c r="AG6785" s="29"/>
    </row>
    <row r="6786" spans="2:33">
      <c r="B6786" s="29"/>
      <c r="D6786" s="29"/>
      <c r="E6786" s="20"/>
      <c r="F6786" s="20"/>
      <c r="AC6786" s="20"/>
      <c r="AG6786" s="29"/>
    </row>
    <row r="6787" spans="2:33">
      <c r="B6787" s="29"/>
      <c r="D6787" s="29"/>
      <c r="E6787" s="20"/>
      <c r="F6787" s="20"/>
      <c r="AC6787" s="20"/>
      <c r="AG6787" s="29"/>
    </row>
    <row r="6788" spans="2:33">
      <c r="B6788" s="29"/>
      <c r="D6788" s="29"/>
      <c r="E6788" s="20"/>
      <c r="F6788" s="20"/>
      <c r="AC6788" s="20"/>
      <c r="AG6788" s="29"/>
    </row>
    <row r="6789" spans="2:33">
      <c r="B6789" s="29"/>
      <c r="D6789" s="29"/>
      <c r="E6789" s="20"/>
      <c r="F6789" s="20"/>
      <c r="AC6789" s="20"/>
      <c r="AG6789" s="29"/>
    </row>
    <row r="6790" spans="2:33">
      <c r="B6790" s="29"/>
      <c r="D6790" s="29"/>
      <c r="E6790" s="20"/>
      <c r="F6790" s="20"/>
      <c r="AC6790" s="20"/>
      <c r="AG6790" s="29"/>
    </row>
    <row r="6791" spans="2:33">
      <c r="B6791" s="29"/>
      <c r="D6791" s="29"/>
      <c r="E6791" s="20"/>
      <c r="F6791" s="20"/>
      <c r="AC6791" s="20"/>
      <c r="AG6791" s="29"/>
    </row>
    <row r="6792" spans="2:33">
      <c r="B6792" s="29"/>
      <c r="D6792" s="29"/>
      <c r="E6792" s="20"/>
      <c r="F6792" s="20"/>
      <c r="AC6792" s="20"/>
      <c r="AG6792" s="29"/>
    </row>
    <row r="6793" spans="2:33">
      <c r="B6793" s="29"/>
      <c r="D6793" s="29"/>
      <c r="E6793" s="20"/>
      <c r="F6793" s="20"/>
      <c r="AC6793" s="20"/>
      <c r="AG6793" s="29"/>
    </row>
    <row r="6794" spans="2:33">
      <c r="B6794" s="29"/>
      <c r="D6794" s="29"/>
      <c r="E6794" s="20"/>
      <c r="F6794" s="20"/>
      <c r="AC6794" s="20"/>
      <c r="AG6794" s="29"/>
    </row>
    <row r="6795" spans="2:33">
      <c r="B6795" s="29"/>
      <c r="D6795" s="29"/>
      <c r="E6795" s="20"/>
      <c r="F6795" s="20"/>
      <c r="AC6795" s="20"/>
      <c r="AG6795" s="29"/>
    </row>
    <row r="6796" spans="2:33">
      <c r="B6796" s="29"/>
      <c r="D6796" s="29"/>
      <c r="E6796" s="20"/>
      <c r="F6796" s="20"/>
      <c r="AC6796" s="20"/>
      <c r="AG6796" s="29"/>
    </row>
    <row r="6797" spans="2:33">
      <c r="B6797" s="29"/>
      <c r="D6797" s="29"/>
      <c r="E6797" s="20"/>
      <c r="F6797" s="20"/>
      <c r="AC6797" s="20"/>
      <c r="AG6797" s="29"/>
    </row>
    <row r="6798" spans="2:33">
      <c r="B6798" s="29"/>
      <c r="D6798" s="29"/>
      <c r="E6798" s="20"/>
      <c r="F6798" s="20"/>
      <c r="AC6798" s="20"/>
      <c r="AG6798" s="29"/>
    </row>
    <row r="6799" spans="2:33">
      <c r="B6799" s="29"/>
      <c r="D6799" s="29"/>
      <c r="E6799" s="20"/>
      <c r="F6799" s="20"/>
      <c r="AC6799" s="20"/>
      <c r="AG6799" s="29"/>
    </row>
    <row r="6800" spans="2:33">
      <c r="B6800" s="29"/>
      <c r="D6800" s="29"/>
      <c r="E6800" s="20"/>
      <c r="F6800" s="20"/>
      <c r="AC6800" s="20"/>
      <c r="AG6800" s="29"/>
    </row>
    <row r="6801" spans="2:33">
      <c r="B6801" s="29"/>
      <c r="D6801" s="29"/>
      <c r="E6801" s="20"/>
      <c r="F6801" s="20"/>
      <c r="AC6801" s="20"/>
      <c r="AG6801" s="29"/>
    </row>
    <row r="6802" spans="2:33">
      <c r="B6802" s="29"/>
      <c r="D6802" s="29"/>
      <c r="E6802" s="20"/>
      <c r="F6802" s="20"/>
      <c r="AC6802" s="20"/>
      <c r="AG6802" s="29"/>
    </row>
    <row r="6803" spans="2:33">
      <c r="B6803" s="29"/>
      <c r="D6803" s="29"/>
      <c r="E6803" s="20"/>
      <c r="F6803" s="20"/>
      <c r="AC6803" s="20"/>
      <c r="AG6803" s="29"/>
    </row>
    <row r="6804" spans="2:33">
      <c r="B6804" s="29"/>
      <c r="D6804" s="29"/>
      <c r="E6804" s="20"/>
      <c r="F6804" s="20"/>
      <c r="AC6804" s="20"/>
      <c r="AG6804" s="29"/>
    </row>
    <row r="6805" spans="2:33">
      <c r="B6805" s="29"/>
      <c r="D6805" s="29"/>
      <c r="E6805" s="20"/>
      <c r="F6805" s="20"/>
      <c r="AC6805" s="20"/>
      <c r="AG6805" s="29"/>
    </row>
    <row r="6806" spans="2:33">
      <c r="B6806" s="29"/>
      <c r="D6806" s="29"/>
      <c r="E6806" s="20"/>
      <c r="F6806" s="20"/>
      <c r="AC6806" s="20"/>
      <c r="AG6806" s="29"/>
    </row>
    <row r="6807" spans="2:33">
      <c r="B6807" s="29"/>
      <c r="D6807" s="29"/>
      <c r="E6807" s="20"/>
      <c r="F6807" s="20"/>
      <c r="AC6807" s="20"/>
      <c r="AG6807" s="29"/>
    </row>
    <row r="6808" spans="2:33">
      <c r="B6808" s="29"/>
      <c r="D6808" s="29"/>
      <c r="E6808" s="20"/>
      <c r="F6808" s="20"/>
      <c r="AC6808" s="20"/>
      <c r="AG6808" s="29"/>
    </row>
    <row r="6809" spans="2:33">
      <c r="B6809" s="29"/>
      <c r="D6809" s="29"/>
      <c r="E6809" s="20"/>
      <c r="F6809" s="20"/>
      <c r="AC6809" s="20"/>
      <c r="AG6809" s="29"/>
    </row>
    <row r="6810" spans="2:33">
      <c r="B6810" s="29"/>
      <c r="D6810" s="29"/>
      <c r="E6810" s="20"/>
      <c r="F6810" s="20"/>
      <c r="AC6810" s="20"/>
      <c r="AG6810" s="29"/>
    </row>
    <row r="6811" spans="2:33">
      <c r="B6811" s="29"/>
      <c r="D6811" s="29"/>
      <c r="E6811" s="20"/>
      <c r="F6811" s="20"/>
      <c r="AC6811" s="20"/>
      <c r="AG6811" s="29"/>
    </row>
    <row r="6812" spans="2:33">
      <c r="B6812" s="29"/>
      <c r="D6812" s="29"/>
      <c r="E6812" s="20"/>
      <c r="F6812" s="20"/>
      <c r="AC6812" s="20"/>
      <c r="AG6812" s="29"/>
    </row>
    <row r="6813" spans="2:33">
      <c r="B6813" s="29"/>
      <c r="D6813" s="29"/>
      <c r="E6813" s="20"/>
      <c r="F6813" s="20"/>
      <c r="AC6813" s="20"/>
      <c r="AG6813" s="29"/>
    </row>
    <row r="6814" spans="2:33">
      <c r="B6814" s="29"/>
      <c r="D6814" s="29"/>
      <c r="E6814" s="20"/>
      <c r="F6814" s="20"/>
      <c r="AC6814" s="20"/>
      <c r="AG6814" s="29"/>
    </row>
    <row r="6815" spans="2:33">
      <c r="B6815" s="29"/>
      <c r="D6815" s="29"/>
      <c r="E6815" s="20"/>
      <c r="F6815" s="20"/>
      <c r="AC6815" s="20"/>
      <c r="AG6815" s="29"/>
    </row>
    <row r="6816" spans="2:33">
      <c r="B6816" s="29"/>
      <c r="D6816" s="29"/>
      <c r="E6816" s="20"/>
      <c r="F6816" s="20"/>
      <c r="AC6816" s="20"/>
      <c r="AG6816" s="29"/>
    </row>
    <row r="6817" spans="2:33">
      <c r="B6817" s="29"/>
      <c r="D6817" s="29"/>
      <c r="E6817" s="20"/>
      <c r="F6817" s="20"/>
      <c r="AC6817" s="20"/>
      <c r="AG6817" s="29"/>
    </row>
    <row r="6818" spans="2:33">
      <c r="B6818" s="29"/>
      <c r="D6818" s="29"/>
      <c r="E6818" s="20"/>
      <c r="F6818" s="20"/>
      <c r="AC6818" s="20"/>
      <c r="AG6818" s="29"/>
    </row>
    <row r="6819" spans="2:33">
      <c r="B6819" s="29"/>
      <c r="D6819" s="29"/>
      <c r="E6819" s="20"/>
      <c r="F6819" s="20"/>
      <c r="AC6819" s="20"/>
      <c r="AG6819" s="29"/>
    </row>
    <row r="6820" spans="2:33">
      <c r="B6820" s="29"/>
      <c r="D6820" s="29"/>
      <c r="E6820" s="20"/>
      <c r="F6820" s="20"/>
      <c r="AC6820" s="20"/>
      <c r="AG6820" s="29"/>
    </row>
    <row r="6821" spans="2:33">
      <c r="B6821" s="29"/>
      <c r="D6821" s="29"/>
      <c r="E6821" s="20"/>
      <c r="F6821" s="20"/>
      <c r="AC6821" s="20"/>
      <c r="AG6821" s="29"/>
    </row>
    <row r="6822" spans="2:33">
      <c r="B6822" s="29"/>
      <c r="D6822" s="29"/>
      <c r="E6822" s="20"/>
      <c r="F6822" s="20"/>
      <c r="AC6822" s="20"/>
      <c r="AG6822" s="29"/>
    </row>
    <row r="6823" spans="2:33">
      <c r="B6823" s="29"/>
      <c r="D6823" s="29"/>
      <c r="E6823" s="20"/>
      <c r="F6823" s="20"/>
      <c r="AC6823" s="20"/>
      <c r="AG6823" s="29"/>
    </row>
    <row r="6824" spans="2:33">
      <c r="B6824" s="29"/>
      <c r="D6824" s="29"/>
      <c r="E6824" s="20"/>
      <c r="F6824" s="20"/>
      <c r="AC6824" s="20"/>
      <c r="AG6824" s="29"/>
    </row>
    <row r="6825" spans="2:33">
      <c r="B6825" s="29"/>
      <c r="D6825" s="29"/>
      <c r="E6825" s="20"/>
      <c r="F6825" s="20"/>
      <c r="AC6825" s="20"/>
      <c r="AG6825" s="29"/>
    </row>
    <row r="6826" spans="2:33">
      <c r="B6826" s="29"/>
      <c r="D6826" s="29"/>
      <c r="E6826" s="20"/>
      <c r="F6826" s="20"/>
      <c r="AC6826" s="20"/>
      <c r="AG6826" s="29"/>
    </row>
    <row r="6827" spans="2:33">
      <c r="B6827" s="29"/>
      <c r="D6827" s="29"/>
      <c r="E6827" s="20"/>
      <c r="F6827" s="20"/>
      <c r="AC6827" s="20"/>
      <c r="AG6827" s="29"/>
    </row>
    <row r="6828" spans="2:33">
      <c r="B6828" s="29"/>
      <c r="D6828" s="29"/>
      <c r="E6828" s="20"/>
      <c r="F6828" s="20"/>
      <c r="AC6828" s="20"/>
      <c r="AG6828" s="29"/>
    </row>
    <row r="6829" spans="2:33">
      <c r="B6829" s="29"/>
      <c r="D6829" s="29"/>
      <c r="E6829" s="20"/>
      <c r="F6829" s="20"/>
      <c r="AC6829" s="20"/>
      <c r="AG6829" s="29"/>
    </row>
    <row r="6830" spans="2:33">
      <c r="B6830" s="29"/>
      <c r="D6830" s="29"/>
      <c r="E6830" s="20"/>
      <c r="F6830" s="20"/>
      <c r="AC6830" s="20"/>
      <c r="AG6830" s="29"/>
    </row>
    <row r="6831" spans="2:33">
      <c r="B6831" s="29"/>
      <c r="D6831" s="29"/>
      <c r="E6831" s="20"/>
      <c r="F6831" s="20"/>
      <c r="AC6831" s="20"/>
      <c r="AG6831" s="29"/>
    </row>
    <row r="6832" spans="2:33">
      <c r="B6832" s="29"/>
      <c r="D6832" s="29"/>
      <c r="E6832" s="20"/>
      <c r="F6832" s="20"/>
      <c r="AC6832" s="20"/>
      <c r="AG6832" s="29"/>
    </row>
    <row r="6833" spans="2:33">
      <c r="B6833" s="29"/>
      <c r="D6833" s="29"/>
      <c r="E6833" s="20"/>
      <c r="F6833" s="20"/>
      <c r="AC6833" s="20"/>
      <c r="AG6833" s="29"/>
    </row>
    <row r="6834" spans="2:33">
      <c r="B6834" s="29"/>
      <c r="D6834" s="29"/>
      <c r="E6834" s="20"/>
      <c r="F6834" s="20"/>
      <c r="AC6834" s="20"/>
      <c r="AG6834" s="29"/>
    </row>
    <row r="6835" spans="2:33">
      <c r="B6835" s="29"/>
      <c r="D6835" s="29"/>
      <c r="E6835" s="20"/>
      <c r="F6835" s="20"/>
      <c r="AC6835" s="20"/>
      <c r="AG6835" s="29"/>
    </row>
    <row r="6836" spans="2:33">
      <c r="B6836" s="29"/>
      <c r="D6836" s="29"/>
      <c r="E6836" s="20"/>
      <c r="F6836" s="20"/>
      <c r="AC6836" s="20"/>
      <c r="AG6836" s="29"/>
    </row>
    <row r="6837" spans="2:33">
      <c r="B6837" s="29"/>
      <c r="D6837" s="29"/>
      <c r="E6837" s="20"/>
      <c r="F6837" s="20"/>
      <c r="AC6837" s="20"/>
      <c r="AG6837" s="29"/>
    </row>
    <row r="6838" spans="2:33">
      <c r="B6838" s="29"/>
      <c r="D6838" s="29"/>
      <c r="E6838" s="20"/>
      <c r="F6838" s="20"/>
      <c r="AC6838" s="20"/>
      <c r="AG6838" s="29"/>
    </row>
    <row r="6839" spans="2:33">
      <c r="B6839" s="29"/>
      <c r="D6839" s="29"/>
      <c r="E6839" s="20"/>
      <c r="F6839" s="20"/>
      <c r="AC6839" s="20"/>
      <c r="AG6839" s="29"/>
    </row>
    <row r="6840" spans="2:33">
      <c r="B6840" s="29"/>
      <c r="D6840" s="29"/>
      <c r="E6840" s="20"/>
      <c r="F6840" s="20"/>
      <c r="AC6840" s="20"/>
      <c r="AG6840" s="29"/>
    </row>
    <row r="6841" spans="2:33">
      <c r="B6841" s="29"/>
      <c r="D6841" s="29"/>
      <c r="E6841" s="20"/>
      <c r="F6841" s="20"/>
      <c r="AC6841" s="20"/>
      <c r="AG6841" s="29"/>
    </row>
    <row r="6842" spans="2:33">
      <c r="B6842" s="29"/>
      <c r="D6842" s="29"/>
      <c r="E6842" s="20"/>
      <c r="F6842" s="20"/>
      <c r="AC6842" s="20"/>
      <c r="AG6842" s="29"/>
    </row>
    <row r="6843" spans="2:33">
      <c r="B6843" s="29"/>
      <c r="D6843" s="29"/>
      <c r="E6843" s="20"/>
      <c r="F6843" s="20"/>
      <c r="AC6843" s="20"/>
      <c r="AG6843" s="29"/>
    </row>
    <row r="6844" spans="2:33">
      <c r="B6844" s="29"/>
      <c r="D6844" s="29"/>
      <c r="E6844" s="20"/>
      <c r="F6844" s="20"/>
      <c r="AC6844" s="20"/>
      <c r="AG6844" s="29"/>
    </row>
    <row r="6845" spans="2:33">
      <c r="B6845" s="29"/>
      <c r="D6845" s="29"/>
      <c r="E6845" s="20"/>
      <c r="F6845" s="20"/>
      <c r="AC6845" s="20"/>
      <c r="AG6845" s="29"/>
    </row>
    <row r="6846" spans="2:33">
      <c r="B6846" s="29"/>
      <c r="D6846" s="29"/>
      <c r="E6846" s="20"/>
      <c r="F6846" s="20"/>
      <c r="AC6846" s="20"/>
      <c r="AG6846" s="29"/>
    </row>
    <row r="6847" spans="2:33">
      <c r="B6847" s="29"/>
      <c r="D6847" s="29"/>
      <c r="E6847" s="20"/>
      <c r="F6847" s="20"/>
      <c r="AC6847" s="20"/>
      <c r="AG6847" s="29"/>
    </row>
    <row r="6848" spans="2:33">
      <c r="B6848" s="29"/>
      <c r="D6848" s="29"/>
      <c r="E6848" s="20"/>
      <c r="F6848" s="20"/>
      <c r="AC6848" s="20"/>
      <c r="AG6848" s="29"/>
    </row>
    <row r="6849" spans="2:33">
      <c r="B6849" s="29"/>
      <c r="D6849" s="29"/>
      <c r="E6849" s="20"/>
      <c r="F6849" s="20"/>
      <c r="AC6849" s="20"/>
      <c r="AG6849" s="29"/>
    </row>
    <row r="6850" spans="2:33">
      <c r="B6850" s="29"/>
      <c r="D6850" s="29"/>
      <c r="E6850" s="20"/>
      <c r="F6850" s="20"/>
      <c r="AC6850" s="20"/>
      <c r="AG6850" s="29"/>
    </row>
    <row r="6851" spans="2:33">
      <c r="B6851" s="29"/>
      <c r="D6851" s="29"/>
      <c r="E6851" s="20"/>
      <c r="F6851" s="20"/>
      <c r="AC6851" s="20"/>
      <c r="AG6851" s="29"/>
    </row>
    <row r="6852" spans="2:33">
      <c r="B6852" s="29"/>
      <c r="D6852" s="29"/>
      <c r="E6852" s="20"/>
      <c r="F6852" s="20"/>
      <c r="AC6852" s="20"/>
      <c r="AG6852" s="29"/>
    </row>
    <row r="6853" spans="2:33">
      <c r="B6853" s="29"/>
      <c r="D6853" s="29"/>
      <c r="E6853" s="20"/>
      <c r="F6853" s="20"/>
      <c r="AC6853" s="20"/>
      <c r="AG6853" s="29"/>
    </row>
    <row r="6854" spans="2:33">
      <c r="B6854" s="29"/>
      <c r="D6854" s="29"/>
      <c r="E6854" s="20"/>
      <c r="F6854" s="20"/>
      <c r="AC6854" s="20"/>
      <c r="AG6854" s="29"/>
    </row>
    <row r="6855" spans="2:33">
      <c r="B6855" s="29"/>
      <c r="D6855" s="29"/>
      <c r="E6855" s="20"/>
      <c r="F6855" s="20"/>
      <c r="AC6855" s="20"/>
      <c r="AG6855" s="29"/>
    </row>
    <row r="6856" spans="2:33">
      <c r="B6856" s="29"/>
      <c r="D6856" s="29"/>
      <c r="E6856" s="20"/>
      <c r="F6856" s="20"/>
      <c r="AC6856" s="20"/>
      <c r="AG6856" s="29"/>
    </row>
    <row r="6857" spans="2:33">
      <c r="B6857" s="29"/>
      <c r="D6857" s="29"/>
      <c r="E6857" s="20"/>
      <c r="F6857" s="20"/>
      <c r="AC6857" s="20"/>
      <c r="AG6857" s="29"/>
    </row>
    <row r="6858" spans="2:33">
      <c r="B6858" s="29"/>
      <c r="D6858" s="29"/>
      <c r="E6858" s="20"/>
      <c r="F6858" s="20"/>
      <c r="AC6858" s="20"/>
      <c r="AG6858" s="29"/>
    </row>
    <row r="6859" spans="2:33">
      <c r="B6859" s="29"/>
      <c r="D6859" s="29"/>
      <c r="E6859" s="20"/>
      <c r="F6859" s="20"/>
      <c r="AC6859" s="20"/>
      <c r="AG6859" s="29"/>
    </row>
    <row r="6860" spans="2:33">
      <c r="B6860" s="29"/>
      <c r="D6860" s="29"/>
      <c r="E6860" s="20"/>
      <c r="F6860" s="20"/>
      <c r="AC6860" s="20"/>
      <c r="AG6860" s="29"/>
    </row>
    <row r="6861" spans="2:33">
      <c r="B6861" s="29"/>
      <c r="D6861" s="29"/>
      <c r="E6861" s="20"/>
      <c r="F6861" s="20"/>
      <c r="AC6861" s="20"/>
      <c r="AG6861" s="29"/>
    </row>
    <row r="6862" spans="2:33">
      <c r="B6862" s="29"/>
      <c r="D6862" s="29"/>
      <c r="E6862" s="20"/>
      <c r="F6862" s="20"/>
      <c r="AC6862" s="20"/>
      <c r="AG6862" s="29"/>
    </row>
    <row r="6863" spans="2:33">
      <c r="B6863" s="29"/>
      <c r="D6863" s="29"/>
      <c r="E6863" s="20"/>
      <c r="F6863" s="20"/>
      <c r="AC6863" s="20"/>
      <c r="AG6863" s="29"/>
    </row>
    <row r="6864" spans="2:33">
      <c r="B6864" s="29"/>
      <c r="D6864" s="29"/>
      <c r="E6864" s="20"/>
      <c r="F6864" s="20"/>
      <c r="AC6864" s="20"/>
      <c r="AG6864" s="29"/>
    </row>
    <row r="6865" spans="2:33">
      <c r="B6865" s="29"/>
      <c r="D6865" s="29"/>
      <c r="E6865" s="20"/>
      <c r="F6865" s="20"/>
      <c r="AC6865" s="20"/>
      <c r="AG6865" s="29"/>
    </row>
    <row r="6866" spans="2:33">
      <c r="B6866" s="29"/>
      <c r="D6866" s="29"/>
      <c r="E6866" s="20"/>
      <c r="F6866" s="20"/>
      <c r="AC6866" s="20"/>
      <c r="AG6866" s="29"/>
    </row>
    <row r="6867" spans="2:33">
      <c r="B6867" s="29"/>
      <c r="D6867" s="29"/>
      <c r="E6867" s="20"/>
      <c r="F6867" s="20"/>
      <c r="AC6867" s="20"/>
      <c r="AG6867" s="29"/>
    </row>
    <row r="6868" spans="2:33">
      <c r="B6868" s="29"/>
      <c r="D6868" s="29"/>
      <c r="E6868" s="20"/>
      <c r="F6868" s="20"/>
      <c r="AC6868" s="20"/>
      <c r="AG6868" s="29"/>
    </row>
    <row r="6869" spans="2:33">
      <c r="B6869" s="29"/>
      <c r="D6869" s="29"/>
      <c r="E6869" s="20"/>
      <c r="F6869" s="20"/>
      <c r="AC6869" s="20"/>
      <c r="AG6869" s="29"/>
    </row>
    <row r="6870" spans="2:33">
      <c r="B6870" s="29"/>
      <c r="D6870" s="29"/>
      <c r="E6870" s="20"/>
      <c r="F6870" s="20"/>
      <c r="AC6870" s="20"/>
      <c r="AG6870" s="29"/>
    </row>
    <row r="6871" spans="2:33">
      <c r="B6871" s="29"/>
      <c r="D6871" s="29"/>
      <c r="E6871" s="20"/>
      <c r="F6871" s="20"/>
      <c r="AC6871" s="20"/>
      <c r="AG6871" s="29"/>
    </row>
    <row r="6872" spans="2:33">
      <c r="B6872" s="29"/>
      <c r="D6872" s="29"/>
      <c r="E6872" s="20"/>
      <c r="F6872" s="20"/>
      <c r="AC6872" s="20"/>
      <c r="AG6872" s="29"/>
    </row>
    <row r="6873" spans="2:33">
      <c r="B6873" s="29"/>
      <c r="D6873" s="29"/>
      <c r="E6873" s="20"/>
      <c r="F6873" s="20"/>
      <c r="AC6873" s="20"/>
      <c r="AG6873" s="29"/>
    </row>
    <row r="6874" spans="2:33">
      <c r="B6874" s="29"/>
      <c r="D6874" s="29"/>
      <c r="E6874" s="20"/>
      <c r="F6874" s="20"/>
      <c r="AC6874" s="20"/>
      <c r="AG6874" s="29"/>
    </row>
    <row r="6875" spans="2:33">
      <c r="B6875" s="29"/>
      <c r="D6875" s="29"/>
      <c r="E6875" s="20"/>
      <c r="F6875" s="20"/>
      <c r="AC6875" s="20"/>
      <c r="AG6875" s="29"/>
    </row>
    <row r="6876" spans="2:33">
      <c r="B6876" s="29"/>
      <c r="D6876" s="29"/>
      <c r="E6876" s="20"/>
      <c r="F6876" s="20"/>
      <c r="AC6876" s="20"/>
      <c r="AG6876" s="29"/>
    </row>
    <row r="6877" spans="2:33">
      <c r="B6877" s="29"/>
      <c r="D6877" s="29"/>
      <c r="E6877" s="20"/>
      <c r="F6877" s="20"/>
      <c r="AC6877" s="20"/>
      <c r="AG6877" s="29"/>
    </row>
    <row r="6878" spans="2:33">
      <c r="B6878" s="29"/>
      <c r="D6878" s="29"/>
      <c r="E6878" s="20"/>
      <c r="F6878" s="20"/>
      <c r="AC6878" s="20"/>
      <c r="AG6878" s="29"/>
    </row>
    <row r="6879" spans="2:33">
      <c r="B6879" s="29"/>
      <c r="D6879" s="29"/>
      <c r="E6879" s="20"/>
      <c r="F6879" s="20"/>
      <c r="AC6879" s="20"/>
      <c r="AG6879" s="29"/>
    </row>
    <row r="6880" spans="2:33">
      <c r="B6880" s="29"/>
      <c r="D6880" s="29"/>
      <c r="E6880" s="20"/>
      <c r="F6880" s="20"/>
      <c r="AC6880" s="20"/>
      <c r="AG6880" s="29"/>
    </row>
    <row r="6881" spans="2:33">
      <c r="B6881" s="29"/>
      <c r="D6881" s="29"/>
      <c r="E6881" s="20"/>
      <c r="F6881" s="20"/>
      <c r="AC6881" s="20"/>
      <c r="AG6881" s="29"/>
    </row>
    <row r="6882" spans="2:33">
      <c r="B6882" s="29"/>
      <c r="D6882" s="29"/>
      <c r="E6882" s="20"/>
      <c r="F6882" s="20"/>
      <c r="AC6882" s="20"/>
      <c r="AG6882" s="29"/>
    </row>
    <row r="6883" spans="2:33">
      <c r="B6883" s="29"/>
      <c r="D6883" s="29"/>
      <c r="E6883" s="20"/>
      <c r="F6883" s="20"/>
      <c r="AC6883" s="20"/>
      <c r="AG6883" s="29"/>
    </row>
    <row r="6884" spans="2:33">
      <c r="B6884" s="29"/>
      <c r="D6884" s="29"/>
      <c r="E6884" s="20"/>
      <c r="F6884" s="20"/>
      <c r="AC6884" s="20"/>
      <c r="AG6884" s="29"/>
    </row>
    <row r="6885" spans="2:33">
      <c r="B6885" s="29"/>
      <c r="D6885" s="29"/>
      <c r="E6885" s="20"/>
      <c r="F6885" s="20"/>
      <c r="AC6885" s="20"/>
      <c r="AG6885" s="29"/>
    </row>
    <row r="6886" spans="2:33">
      <c r="B6886" s="29"/>
      <c r="D6886" s="29"/>
      <c r="E6886" s="20"/>
      <c r="F6886" s="20"/>
      <c r="AC6886" s="20"/>
      <c r="AG6886" s="29"/>
    </row>
    <row r="6887" spans="2:33">
      <c r="B6887" s="29"/>
      <c r="D6887" s="29"/>
      <c r="E6887" s="20"/>
      <c r="F6887" s="20"/>
      <c r="AC6887" s="20"/>
      <c r="AG6887" s="29"/>
    </row>
    <row r="6888" spans="2:33">
      <c r="B6888" s="29"/>
      <c r="D6888" s="29"/>
      <c r="E6888" s="20"/>
      <c r="F6888" s="20"/>
      <c r="AC6888" s="20"/>
      <c r="AG6888" s="29"/>
    </row>
    <row r="6889" spans="2:33">
      <c r="B6889" s="29"/>
      <c r="D6889" s="29"/>
      <c r="E6889" s="20"/>
      <c r="F6889" s="20"/>
      <c r="AC6889" s="20"/>
      <c r="AG6889" s="29"/>
    </row>
    <row r="6890" spans="2:33">
      <c r="B6890" s="29"/>
      <c r="D6890" s="29"/>
      <c r="E6890" s="20"/>
      <c r="F6890" s="20"/>
      <c r="AC6890" s="20"/>
      <c r="AG6890" s="29"/>
    </row>
    <row r="6891" spans="2:33">
      <c r="B6891" s="29"/>
      <c r="D6891" s="29"/>
      <c r="E6891" s="20"/>
      <c r="F6891" s="20"/>
      <c r="AC6891" s="20"/>
      <c r="AG6891" s="29"/>
    </row>
    <row r="6892" spans="2:33">
      <c r="B6892" s="29"/>
      <c r="D6892" s="29"/>
      <c r="E6892" s="20"/>
      <c r="F6892" s="20"/>
      <c r="AC6892" s="20"/>
      <c r="AG6892" s="29"/>
    </row>
    <row r="6893" spans="2:33">
      <c r="B6893" s="29"/>
      <c r="D6893" s="29"/>
      <c r="E6893" s="20"/>
      <c r="F6893" s="20"/>
      <c r="AC6893" s="20"/>
      <c r="AG6893" s="29"/>
    </row>
    <row r="6894" spans="2:33">
      <c r="B6894" s="29"/>
      <c r="D6894" s="29"/>
      <c r="E6894" s="20"/>
      <c r="F6894" s="20"/>
      <c r="AC6894" s="20"/>
      <c r="AG6894" s="29"/>
    </row>
    <row r="6895" spans="2:33">
      <c r="B6895" s="29"/>
      <c r="D6895" s="29"/>
      <c r="E6895" s="20"/>
      <c r="F6895" s="20"/>
      <c r="AC6895" s="20"/>
      <c r="AG6895" s="29"/>
    </row>
    <row r="6896" spans="2:33">
      <c r="B6896" s="29"/>
      <c r="D6896" s="29"/>
      <c r="E6896" s="20"/>
      <c r="F6896" s="20"/>
      <c r="AC6896" s="20"/>
      <c r="AG6896" s="29"/>
    </row>
    <row r="6897" spans="2:33">
      <c r="B6897" s="29"/>
      <c r="D6897" s="29"/>
      <c r="E6897" s="20"/>
      <c r="F6897" s="20"/>
      <c r="AC6897" s="20"/>
      <c r="AG6897" s="29"/>
    </row>
    <row r="6898" spans="2:33">
      <c r="B6898" s="29"/>
      <c r="D6898" s="29"/>
      <c r="E6898" s="20"/>
      <c r="F6898" s="20"/>
      <c r="AC6898" s="20"/>
      <c r="AG6898" s="29"/>
    </row>
    <row r="6899" spans="2:33">
      <c r="B6899" s="29"/>
      <c r="D6899" s="29"/>
      <c r="E6899" s="20"/>
      <c r="F6899" s="20"/>
      <c r="AC6899" s="20"/>
      <c r="AG6899" s="29"/>
    </row>
    <row r="6900" spans="2:33">
      <c r="B6900" s="29"/>
      <c r="D6900" s="29"/>
      <c r="E6900" s="20"/>
      <c r="F6900" s="20"/>
      <c r="AC6900" s="20"/>
      <c r="AG6900" s="29"/>
    </row>
    <row r="6901" spans="2:33">
      <c r="B6901" s="29"/>
      <c r="D6901" s="29"/>
      <c r="E6901" s="20"/>
      <c r="F6901" s="20"/>
      <c r="AC6901" s="20"/>
      <c r="AG6901" s="29"/>
    </row>
    <row r="6902" spans="2:33">
      <c r="B6902" s="29"/>
      <c r="D6902" s="29"/>
      <c r="E6902" s="20"/>
      <c r="F6902" s="20"/>
      <c r="AC6902" s="20"/>
      <c r="AG6902" s="29"/>
    </row>
    <row r="6903" spans="2:33">
      <c r="B6903" s="29"/>
      <c r="D6903" s="29"/>
      <c r="E6903" s="20"/>
      <c r="F6903" s="20"/>
      <c r="AC6903" s="20"/>
      <c r="AG6903" s="29"/>
    </row>
    <row r="6904" spans="2:33">
      <c r="B6904" s="29"/>
      <c r="D6904" s="29"/>
      <c r="E6904" s="20"/>
      <c r="F6904" s="20"/>
      <c r="AC6904" s="20"/>
      <c r="AG6904" s="29"/>
    </row>
    <row r="6905" spans="2:33">
      <c r="B6905" s="29"/>
      <c r="D6905" s="29"/>
      <c r="E6905" s="20"/>
      <c r="F6905" s="20"/>
      <c r="AC6905" s="20"/>
      <c r="AG6905" s="29"/>
    </row>
    <row r="6906" spans="2:33">
      <c r="B6906" s="29"/>
      <c r="D6906" s="29"/>
      <c r="E6906" s="20"/>
      <c r="F6906" s="20"/>
      <c r="AC6906" s="20"/>
      <c r="AG6906" s="29"/>
    </row>
    <row r="6907" spans="2:33">
      <c r="B6907" s="29"/>
      <c r="D6907" s="29"/>
      <c r="E6907" s="20"/>
      <c r="F6907" s="20"/>
      <c r="AC6907" s="20"/>
      <c r="AG6907" s="29"/>
    </row>
    <row r="6908" spans="2:33">
      <c r="B6908" s="29"/>
      <c r="D6908" s="29"/>
      <c r="E6908" s="20"/>
      <c r="F6908" s="20"/>
      <c r="AC6908" s="20"/>
      <c r="AG6908" s="29"/>
    </row>
    <row r="6909" spans="2:33">
      <c r="B6909" s="29"/>
      <c r="D6909" s="29"/>
      <c r="E6909" s="20"/>
      <c r="F6909" s="20"/>
      <c r="AC6909" s="20"/>
      <c r="AG6909" s="29"/>
    </row>
    <row r="6910" spans="2:33">
      <c r="B6910" s="29"/>
      <c r="D6910" s="29"/>
      <c r="E6910" s="20"/>
      <c r="F6910" s="20"/>
      <c r="AC6910" s="20"/>
      <c r="AG6910" s="29"/>
    </row>
    <row r="6911" spans="2:33">
      <c r="B6911" s="29"/>
      <c r="D6911" s="29"/>
      <c r="E6911" s="20"/>
      <c r="F6911" s="20"/>
      <c r="AC6911" s="20"/>
      <c r="AG6911" s="29"/>
    </row>
    <row r="6912" spans="2:33">
      <c r="B6912" s="29"/>
      <c r="D6912" s="29"/>
      <c r="E6912" s="20"/>
      <c r="F6912" s="20"/>
      <c r="AC6912" s="20"/>
      <c r="AG6912" s="29"/>
    </row>
    <row r="6913" spans="2:33">
      <c r="B6913" s="29"/>
      <c r="D6913" s="29"/>
      <c r="E6913" s="20"/>
      <c r="F6913" s="20"/>
      <c r="AC6913" s="20"/>
      <c r="AG6913" s="29"/>
    </row>
    <row r="6914" spans="2:33">
      <c r="B6914" s="29"/>
      <c r="D6914" s="29"/>
      <c r="E6914" s="20"/>
      <c r="F6914" s="20"/>
      <c r="AC6914" s="20"/>
      <c r="AG6914" s="29"/>
    </row>
    <row r="6915" spans="2:33">
      <c r="B6915" s="29"/>
      <c r="D6915" s="29"/>
      <c r="E6915" s="20"/>
      <c r="F6915" s="20"/>
      <c r="AC6915" s="20"/>
      <c r="AG6915" s="29"/>
    </row>
    <row r="6916" spans="2:33">
      <c r="B6916" s="29"/>
      <c r="D6916" s="29"/>
      <c r="E6916" s="20"/>
      <c r="F6916" s="20"/>
      <c r="AC6916" s="20"/>
      <c r="AG6916" s="29"/>
    </row>
    <row r="6917" spans="2:33">
      <c r="B6917" s="29"/>
      <c r="D6917" s="29"/>
      <c r="E6917" s="20"/>
      <c r="F6917" s="20"/>
      <c r="AC6917" s="20"/>
      <c r="AG6917" s="29"/>
    </row>
    <row r="6918" spans="2:33">
      <c r="B6918" s="29"/>
      <c r="D6918" s="29"/>
      <c r="E6918" s="20"/>
      <c r="F6918" s="20"/>
      <c r="AC6918" s="20"/>
      <c r="AG6918" s="29"/>
    </row>
    <row r="6919" spans="2:33">
      <c r="B6919" s="29"/>
      <c r="D6919" s="29"/>
      <c r="E6919" s="20"/>
      <c r="F6919" s="20"/>
      <c r="AC6919" s="20"/>
      <c r="AG6919" s="29"/>
    </row>
    <row r="6920" spans="2:33">
      <c r="B6920" s="29"/>
      <c r="D6920" s="29"/>
      <c r="E6920" s="20"/>
      <c r="F6920" s="20"/>
      <c r="AC6920" s="20"/>
      <c r="AG6920" s="29"/>
    </row>
    <row r="6921" spans="2:33">
      <c r="B6921" s="29"/>
      <c r="D6921" s="29"/>
      <c r="E6921" s="20"/>
      <c r="F6921" s="20"/>
      <c r="AC6921" s="20"/>
      <c r="AG6921" s="29"/>
    </row>
    <row r="6922" spans="2:33">
      <c r="B6922" s="29"/>
      <c r="D6922" s="29"/>
      <c r="E6922" s="20"/>
      <c r="F6922" s="20"/>
      <c r="AC6922" s="20"/>
      <c r="AG6922" s="29"/>
    </row>
    <row r="6923" spans="2:33">
      <c r="B6923" s="29"/>
      <c r="D6923" s="29"/>
      <c r="E6923" s="20"/>
      <c r="F6923" s="20"/>
      <c r="AC6923" s="20"/>
      <c r="AG6923" s="29"/>
    </row>
    <row r="6924" spans="2:33">
      <c r="B6924" s="29"/>
      <c r="D6924" s="29"/>
      <c r="E6924" s="20"/>
      <c r="F6924" s="20"/>
      <c r="AC6924" s="20"/>
      <c r="AG6924" s="29"/>
    </row>
    <row r="6925" spans="2:33">
      <c r="B6925" s="29"/>
      <c r="D6925" s="29"/>
      <c r="E6925" s="20"/>
      <c r="F6925" s="20"/>
      <c r="AC6925" s="20"/>
      <c r="AG6925" s="29"/>
    </row>
    <row r="6926" spans="2:33">
      <c r="B6926" s="29"/>
      <c r="D6926" s="29"/>
      <c r="E6926" s="20"/>
      <c r="F6926" s="20"/>
      <c r="AC6926" s="20"/>
      <c r="AG6926" s="29"/>
    </row>
    <row r="6927" spans="2:33">
      <c r="B6927" s="29"/>
      <c r="D6927" s="29"/>
      <c r="E6927" s="20"/>
      <c r="F6927" s="20"/>
      <c r="AC6927" s="20"/>
      <c r="AG6927" s="29"/>
    </row>
    <row r="6928" spans="2:33">
      <c r="B6928" s="29"/>
      <c r="D6928" s="29"/>
      <c r="E6928" s="20"/>
      <c r="F6928" s="20"/>
      <c r="AC6928" s="20"/>
      <c r="AG6928" s="29"/>
    </row>
    <row r="6929" spans="2:33">
      <c r="B6929" s="29"/>
      <c r="D6929" s="29"/>
      <c r="E6929" s="20"/>
      <c r="F6929" s="20"/>
      <c r="AC6929" s="20"/>
      <c r="AG6929" s="29"/>
    </row>
    <row r="6930" spans="2:33">
      <c r="B6930" s="29"/>
      <c r="D6930" s="29"/>
      <c r="E6930" s="20"/>
      <c r="F6930" s="20"/>
      <c r="AC6930" s="20"/>
      <c r="AG6930" s="29"/>
    </row>
    <row r="6931" spans="2:33">
      <c r="B6931" s="29"/>
      <c r="D6931" s="29"/>
      <c r="E6931" s="20"/>
      <c r="F6931" s="20"/>
      <c r="AC6931" s="20"/>
      <c r="AG6931" s="29"/>
    </row>
    <row r="6932" spans="2:33">
      <c r="B6932" s="29"/>
      <c r="D6932" s="29"/>
      <c r="E6932" s="20"/>
      <c r="F6932" s="20"/>
      <c r="AC6932" s="20"/>
      <c r="AG6932" s="29"/>
    </row>
    <row r="6933" spans="2:33">
      <c r="B6933" s="29"/>
      <c r="D6933" s="29"/>
      <c r="E6933" s="20"/>
      <c r="F6933" s="20"/>
      <c r="AC6933" s="20"/>
      <c r="AG6933" s="29"/>
    </row>
    <row r="6934" spans="2:33">
      <c r="B6934" s="29"/>
      <c r="D6934" s="29"/>
      <c r="E6934" s="20"/>
      <c r="F6934" s="20"/>
      <c r="AC6934" s="20"/>
      <c r="AG6934" s="29"/>
    </row>
    <row r="6935" spans="2:33">
      <c r="B6935" s="29"/>
      <c r="D6935" s="29"/>
      <c r="E6935" s="20"/>
      <c r="F6935" s="20"/>
      <c r="AC6935" s="20"/>
      <c r="AG6935" s="29"/>
    </row>
    <row r="6936" spans="2:33">
      <c r="B6936" s="29"/>
      <c r="D6936" s="29"/>
      <c r="E6936" s="20"/>
      <c r="F6936" s="20"/>
      <c r="AC6936" s="20"/>
      <c r="AG6936" s="29"/>
    </row>
    <row r="6937" spans="2:33">
      <c r="B6937" s="29"/>
      <c r="D6937" s="29"/>
      <c r="E6937" s="20"/>
      <c r="F6937" s="20"/>
      <c r="AC6937" s="20"/>
      <c r="AG6937" s="29"/>
    </row>
    <row r="6938" spans="2:33">
      <c r="B6938" s="29"/>
      <c r="D6938" s="29"/>
      <c r="E6938" s="20"/>
      <c r="F6938" s="20"/>
      <c r="AC6938" s="20"/>
      <c r="AG6938" s="29"/>
    </row>
    <row r="6939" spans="2:33">
      <c r="B6939" s="29"/>
      <c r="D6939" s="29"/>
      <c r="E6939" s="20"/>
      <c r="F6939" s="20"/>
      <c r="AC6939" s="20"/>
      <c r="AG6939" s="29"/>
    </row>
    <row r="6940" spans="2:33">
      <c r="B6940" s="29"/>
      <c r="D6940" s="29"/>
      <c r="E6940" s="20"/>
      <c r="F6940" s="20"/>
      <c r="AC6940" s="20"/>
      <c r="AG6940" s="29"/>
    </row>
    <row r="6941" spans="2:33">
      <c r="B6941" s="29"/>
      <c r="D6941" s="29"/>
      <c r="E6941" s="20"/>
      <c r="F6941" s="20"/>
      <c r="AC6941" s="20"/>
      <c r="AG6941" s="29"/>
    </row>
    <row r="6942" spans="2:33">
      <c r="B6942" s="29"/>
      <c r="D6942" s="29"/>
      <c r="E6942" s="20"/>
      <c r="F6942" s="20"/>
      <c r="AC6942" s="20"/>
      <c r="AG6942" s="29"/>
    </row>
    <row r="6943" spans="2:33">
      <c r="B6943" s="29"/>
      <c r="D6943" s="29"/>
      <c r="E6943" s="20"/>
      <c r="F6943" s="20"/>
      <c r="AC6943" s="20"/>
      <c r="AG6943" s="29"/>
    </row>
    <row r="6944" spans="2:33">
      <c r="B6944" s="29"/>
      <c r="D6944" s="29"/>
      <c r="E6944" s="20"/>
      <c r="F6944" s="20"/>
      <c r="AC6944" s="20"/>
      <c r="AG6944" s="29"/>
    </row>
    <row r="6945" spans="2:33">
      <c r="B6945" s="29"/>
      <c r="D6945" s="29"/>
      <c r="E6945" s="20"/>
      <c r="F6945" s="20"/>
      <c r="AC6945" s="20"/>
      <c r="AG6945" s="29"/>
    </row>
    <row r="6946" spans="2:33">
      <c r="B6946" s="29"/>
      <c r="D6946" s="29"/>
      <c r="E6946" s="20"/>
      <c r="F6946" s="20"/>
      <c r="AC6946" s="20"/>
      <c r="AG6946" s="29"/>
    </row>
    <row r="6947" spans="2:33">
      <c r="B6947" s="29"/>
      <c r="D6947" s="29"/>
      <c r="E6947" s="20"/>
      <c r="F6947" s="20"/>
      <c r="AC6947" s="20"/>
      <c r="AG6947" s="29"/>
    </row>
    <row r="6948" spans="2:33">
      <c r="B6948" s="29"/>
      <c r="D6948" s="29"/>
      <c r="E6948" s="20"/>
      <c r="F6948" s="20"/>
      <c r="AC6948" s="20"/>
      <c r="AG6948" s="29"/>
    </row>
    <row r="6949" spans="2:33">
      <c r="B6949" s="29"/>
      <c r="D6949" s="29"/>
      <c r="E6949" s="20"/>
      <c r="F6949" s="20"/>
      <c r="AC6949" s="20"/>
      <c r="AG6949" s="29"/>
    </row>
    <row r="6950" spans="2:33">
      <c r="B6950" s="29"/>
      <c r="D6950" s="29"/>
      <c r="E6950" s="20"/>
      <c r="F6950" s="20"/>
      <c r="AC6950" s="20"/>
      <c r="AG6950" s="29"/>
    </row>
    <row r="6951" spans="2:33">
      <c r="B6951" s="29"/>
      <c r="D6951" s="29"/>
      <c r="E6951" s="20"/>
      <c r="F6951" s="20"/>
      <c r="AC6951" s="20"/>
      <c r="AG6951" s="29"/>
    </row>
    <row r="6952" spans="2:33">
      <c r="B6952" s="29"/>
      <c r="D6952" s="29"/>
      <c r="E6952" s="20"/>
      <c r="F6952" s="20"/>
      <c r="AC6952" s="20"/>
      <c r="AG6952" s="29"/>
    </row>
    <row r="6953" spans="2:33">
      <c r="B6953" s="29"/>
      <c r="D6953" s="29"/>
      <c r="E6953" s="20"/>
      <c r="F6953" s="20"/>
      <c r="AC6953" s="20"/>
      <c r="AG6953" s="29"/>
    </row>
    <row r="6954" spans="2:33">
      <c r="B6954" s="29"/>
      <c r="D6954" s="29"/>
      <c r="E6954" s="20"/>
      <c r="F6954" s="20"/>
      <c r="AC6954" s="20"/>
      <c r="AG6954" s="29"/>
    </row>
    <row r="6955" spans="2:33">
      <c r="B6955" s="29"/>
      <c r="D6955" s="29"/>
      <c r="E6955" s="20"/>
      <c r="F6955" s="20"/>
      <c r="AC6955" s="20"/>
      <c r="AG6955" s="29"/>
    </row>
    <row r="6956" spans="2:33">
      <c r="B6956" s="29"/>
      <c r="D6956" s="29"/>
      <c r="E6956" s="20"/>
      <c r="F6956" s="20"/>
      <c r="AC6956" s="20"/>
      <c r="AG6956" s="29"/>
    </row>
    <row r="6957" spans="2:33">
      <c r="B6957" s="29"/>
      <c r="D6957" s="29"/>
      <c r="E6957" s="20"/>
      <c r="F6957" s="20"/>
      <c r="AC6957" s="20"/>
      <c r="AG6957" s="29"/>
    </row>
    <row r="6958" spans="2:33">
      <c r="B6958" s="29"/>
      <c r="D6958" s="29"/>
      <c r="E6958" s="20"/>
      <c r="F6958" s="20"/>
      <c r="AC6958" s="20"/>
      <c r="AG6958" s="29"/>
    </row>
    <row r="6959" spans="2:33">
      <c r="B6959" s="29"/>
      <c r="D6959" s="29"/>
      <c r="E6959" s="20"/>
      <c r="F6959" s="20"/>
      <c r="AC6959" s="20"/>
      <c r="AG6959" s="29"/>
    </row>
    <row r="6960" spans="2:33">
      <c r="B6960" s="29"/>
      <c r="D6960" s="29"/>
      <c r="E6960" s="20"/>
      <c r="F6960" s="20"/>
      <c r="AC6960" s="20"/>
      <c r="AG6960" s="29"/>
    </row>
    <row r="6961" spans="2:33">
      <c r="B6961" s="29"/>
      <c r="D6961" s="29"/>
      <c r="E6961" s="20"/>
      <c r="F6961" s="20"/>
      <c r="AC6961" s="20"/>
      <c r="AG6961" s="29"/>
    </row>
    <row r="6962" spans="2:33">
      <c r="B6962" s="29"/>
      <c r="D6962" s="29"/>
      <c r="E6962" s="20"/>
      <c r="F6962" s="20"/>
      <c r="AC6962" s="20"/>
      <c r="AG6962" s="29"/>
    </row>
    <row r="6963" spans="2:33">
      <c r="B6963" s="29"/>
      <c r="D6963" s="29"/>
      <c r="E6963" s="20"/>
      <c r="F6963" s="20"/>
      <c r="AC6963" s="20"/>
      <c r="AG6963" s="29"/>
    </row>
    <row r="6964" spans="2:33">
      <c r="B6964" s="29"/>
      <c r="D6964" s="29"/>
      <c r="E6964" s="20"/>
      <c r="F6964" s="20"/>
      <c r="AC6964" s="20"/>
      <c r="AG6964" s="29"/>
    </row>
    <row r="6965" spans="2:33">
      <c r="B6965" s="29"/>
      <c r="D6965" s="29"/>
      <c r="E6965" s="20"/>
      <c r="F6965" s="20"/>
      <c r="AC6965" s="20"/>
      <c r="AG6965" s="29"/>
    </row>
    <row r="6966" spans="2:33">
      <c r="B6966" s="29"/>
      <c r="D6966" s="29"/>
      <c r="E6966" s="20"/>
      <c r="F6966" s="20"/>
      <c r="AC6966" s="20"/>
      <c r="AG6966" s="29"/>
    </row>
    <row r="6967" spans="2:33">
      <c r="B6967" s="29"/>
      <c r="D6967" s="29"/>
      <c r="E6967" s="20"/>
      <c r="F6967" s="20"/>
      <c r="AC6967" s="20"/>
      <c r="AG6967" s="29"/>
    </row>
    <row r="6968" spans="2:33">
      <c r="B6968" s="29"/>
      <c r="D6968" s="29"/>
      <c r="E6968" s="20"/>
      <c r="F6968" s="20"/>
      <c r="AC6968" s="20"/>
      <c r="AG6968" s="29"/>
    </row>
    <row r="6969" spans="2:33">
      <c r="B6969" s="29"/>
      <c r="D6969" s="29"/>
      <c r="E6969" s="20"/>
      <c r="F6969" s="20"/>
      <c r="AC6969" s="20"/>
      <c r="AG6969" s="29"/>
    </row>
    <row r="6970" spans="2:33">
      <c r="B6970" s="29"/>
      <c r="D6970" s="29"/>
      <c r="E6970" s="20"/>
      <c r="F6970" s="20"/>
      <c r="AC6970" s="20"/>
      <c r="AG6970" s="29"/>
    </row>
    <row r="6971" spans="2:33">
      <c r="B6971" s="29"/>
      <c r="D6971" s="29"/>
      <c r="E6971" s="20"/>
      <c r="F6971" s="20"/>
      <c r="AC6971" s="20"/>
      <c r="AG6971" s="29"/>
    </row>
    <row r="6972" spans="2:33">
      <c r="B6972" s="29"/>
      <c r="D6972" s="29"/>
      <c r="E6972" s="20"/>
      <c r="F6972" s="20"/>
      <c r="AC6972" s="20"/>
      <c r="AG6972" s="29"/>
    </row>
    <row r="6973" spans="2:33">
      <c r="B6973" s="29"/>
      <c r="D6973" s="29"/>
      <c r="E6973" s="20"/>
      <c r="F6973" s="20"/>
      <c r="AC6973" s="20"/>
      <c r="AG6973" s="29"/>
    </row>
    <row r="6974" spans="2:33">
      <c r="B6974" s="29"/>
      <c r="D6974" s="29"/>
      <c r="E6974" s="20"/>
      <c r="F6974" s="20"/>
      <c r="AC6974" s="20"/>
      <c r="AG6974" s="29"/>
    </row>
    <row r="6975" spans="2:33">
      <c r="B6975" s="29"/>
      <c r="D6975" s="29"/>
      <c r="E6975" s="20"/>
      <c r="F6975" s="20"/>
      <c r="AC6975" s="20"/>
      <c r="AG6975" s="29"/>
    </row>
    <row r="6976" spans="2:33">
      <c r="B6976" s="29"/>
      <c r="D6976" s="29"/>
      <c r="E6976" s="20"/>
      <c r="F6976" s="20"/>
      <c r="AC6976" s="20"/>
      <c r="AG6976" s="29"/>
    </row>
    <row r="6977" spans="2:33">
      <c r="B6977" s="29"/>
      <c r="D6977" s="29"/>
      <c r="E6977" s="20"/>
      <c r="F6977" s="20"/>
      <c r="AC6977" s="20"/>
      <c r="AG6977" s="29"/>
    </row>
    <row r="6978" spans="2:33">
      <c r="B6978" s="29"/>
      <c r="D6978" s="29"/>
      <c r="E6978" s="20"/>
      <c r="F6978" s="20"/>
      <c r="AC6978" s="20"/>
      <c r="AG6978" s="29"/>
    </row>
    <row r="6979" spans="2:33">
      <c r="B6979" s="29"/>
      <c r="D6979" s="29"/>
      <c r="E6979" s="20"/>
      <c r="F6979" s="20"/>
      <c r="AC6979" s="20"/>
      <c r="AG6979" s="29"/>
    </row>
    <row r="6980" spans="2:33">
      <c r="B6980" s="29"/>
      <c r="D6980" s="29"/>
      <c r="E6980" s="20"/>
      <c r="F6980" s="20"/>
      <c r="AC6980" s="20"/>
      <c r="AG6980" s="29"/>
    </row>
    <row r="6981" spans="2:33">
      <c r="B6981" s="29"/>
      <c r="D6981" s="29"/>
      <c r="E6981" s="20"/>
      <c r="F6981" s="20"/>
      <c r="AC6981" s="20"/>
      <c r="AG6981" s="29"/>
    </row>
    <row r="6982" spans="2:33">
      <c r="B6982" s="29"/>
      <c r="D6982" s="29"/>
      <c r="E6982" s="20"/>
      <c r="F6982" s="20"/>
      <c r="AC6982" s="20"/>
      <c r="AG6982" s="29"/>
    </row>
    <row r="6983" spans="2:33">
      <c r="B6983" s="29"/>
      <c r="D6983" s="29"/>
      <c r="E6983" s="20"/>
      <c r="F6983" s="20"/>
      <c r="AC6983" s="20"/>
      <c r="AG6983" s="29"/>
    </row>
    <row r="6984" spans="2:33">
      <c r="B6984" s="29"/>
      <c r="D6984" s="29"/>
      <c r="E6984" s="20"/>
      <c r="F6984" s="20"/>
      <c r="AC6984" s="20"/>
      <c r="AG6984" s="29"/>
    </row>
    <row r="6985" spans="2:33">
      <c r="B6985" s="29"/>
      <c r="D6985" s="29"/>
      <c r="E6985" s="20"/>
      <c r="F6985" s="20"/>
      <c r="AC6985" s="20"/>
      <c r="AG6985" s="29"/>
    </row>
    <row r="6986" spans="2:33">
      <c r="B6986" s="29"/>
      <c r="D6986" s="29"/>
      <c r="E6986" s="20"/>
      <c r="F6986" s="20"/>
      <c r="AC6986" s="20"/>
      <c r="AG6986" s="29"/>
    </row>
    <row r="6987" spans="2:33">
      <c r="B6987" s="29"/>
      <c r="D6987" s="29"/>
      <c r="E6987" s="20"/>
      <c r="F6987" s="20"/>
      <c r="AC6987" s="20"/>
      <c r="AG6987" s="29"/>
    </row>
    <row r="6988" spans="2:33">
      <c r="B6988" s="29"/>
      <c r="D6988" s="29"/>
      <c r="E6988" s="20"/>
      <c r="F6988" s="20"/>
      <c r="AC6988" s="20"/>
      <c r="AG6988" s="29"/>
    </row>
    <row r="6989" spans="2:33">
      <c r="B6989" s="29"/>
      <c r="D6989" s="29"/>
      <c r="E6989" s="20"/>
      <c r="F6989" s="20"/>
      <c r="AC6989" s="20"/>
      <c r="AG6989" s="29"/>
    </row>
    <row r="6990" spans="2:33">
      <c r="B6990" s="29"/>
      <c r="D6990" s="29"/>
      <c r="E6990" s="20"/>
      <c r="F6990" s="20"/>
      <c r="AC6990" s="20"/>
      <c r="AG6990" s="29"/>
    </row>
    <row r="6991" spans="2:33">
      <c r="B6991" s="29"/>
      <c r="D6991" s="29"/>
      <c r="E6991" s="20"/>
      <c r="F6991" s="20"/>
      <c r="AC6991" s="20"/>
      <c r="AG6991" s="29"/>
    </row>
    <row r="6992" spans="2:33">
      <c r="B6992" s="29"/>
      <c r="D6992" s="29"/>
      <c r="E6992" s="20"/>
      <c r="F6992" s="20"/>
      <c r="AC6992" s="20"/>
      <c r="AG6992" s="29"/>
    </row>
    <row r="6993" spans="2:33">
      <c r="B6993" s="29"/>
      <c r="D6993" s="29"/>
      <c r="E6993" s="20"/>
      <c r="F6993" s="20"/>
      <c r="AC6993" s="20"/>
      <c r="AG6993" s="29"/>
    </row>
    <row r="6994" spans="2:33">
      <c r="B6994" s="29"/>
      <c r="D6994" s="29"/>
      <c r="E6994" s="20"/>
      <c r="F6994" s="20"/>
      <c r="AC6994" s="20"/>
      <c r="AG6994" s="29"/>
    </row>
    <row r="6995" spans="2:33">
      <c r="B6995" s="29"/>
      <c r="D6995" s="29"/>
      <c r="E6995" s="20"/>
      <c r="F6995" s="20"/>
      <c r="AC6995" s="20"/>
      <c r="AG6995" s="29"/>
    </row>
    <row r="6996" spans="2:33">
      <c r="B6996" s="29"/>
      <c r="D6996" s="29"/>
      <c r="E6996" s="20"/>
      <c r="F6996" s="20"/>
      <c r="AC6996" s="20"/>
      <c r="AG6996" s="29"/>
    </row>
    <row r="6997" spans="2:33">
      <c r="B6997" s="29"/>
      <c r="D6997" s="29"/>
      <c r="E6997" s="20"/>
      <c r="F6997" s="20"/>
      <c r="AC6997" s="20"/>
      <c r="AG6997" s="29"/>
    </row>
    <row r="6998" spans="2:33">
      <c r="B6998" s="29"/>
      <c r="D6998" s="29"/>
      <c r="E6998" s="20"/>
      <c r="F6998" s="20"/>
      <c r="AC6998" s="20"/>
      <c r="AG6998" s="29"/>
    </row>
    <row r="6999" spans="2:33">
      <c r="B6999" s="29"/>
      <c r="D6999" s="29"/>
      <c r="E6999" s="20"/>
      <c r="F6999" s="20"/>
      <c r="AC6999" s="20"/>
      <c r="AG6999" s="29"/>
    </row>
    <row r="7000" spans="2:33">
      <c r="B7000" s="29"/>
      <c r="D7000" s="29"/>
      <c r="E7000" s="20"/>
      <c r="F7000" s="20"/>
      <c r="AC7000" s="20"/>
      <c r="AG7000" s="29"/>
    </row>
    <row r="7001" spans="2:33">
      <c r="B7001" s="29"/>
      <c r="D7001" s="29"/>
      <c r="E7001" s="20"/>
      <c r="F7001" s="20"/>
      <c r="AC7001" s="20"/>
      <c r="AG7001" s="29"/>
    </row>
    <row r="7002" spans="2:33">
      <c r="B7002" s="29"/>
      <c r="D7002" s="29"/>
      <c r="E7002" s="20"/>
      <c r="F7002" s="20"/>
      <c r="AC7002" s="20"/>
      <c r="AG7002" s="29"/>
    </row>
    <row r="7003" spans="2:33">
      <c r="B7003" s="29"/>
      <c r="D7003" s="29"/>
      <c r="E7003" s="20"/>
      <c r="F7003" s="20"/>
      <c r="AC7003" s="20"/>
      <c r="AG7003" s="29"/>
    </row>
    <row r="7004" spans="2:33">
      <c r="B7004" s="29"/>
      <c r="D7004" s="29"/>
      <c r="E7004" s="20"/>
      <c r="F7004" s="20"/>
      <c r="AC7004" s="20"/>
      <c r="AG7004" s="29"/>
    </row>
    <row r="7005" spans="2:33">
      <c r="B7005" s="29"/>
      <c r="D7005" s="29"/>
      <c r="E7005" s="20"/>
      <c r="F7005" s="20"/>
      <c r="AC7005" s="20"/>
      <c r="AG7005" s="29"/>
    </row>
    <row r="7006" spans="2:33">
      <c r="B7006" s="29"/>
      <c r="D7006" s="29"/>
      <c r="E7006" s="20"/>
      <c r="F7006" s="20"/>
      <c r="AC7006" s="20"/>
      <c r="AG7006" s="29"/>
    </row>
    <row r="7007" spans="2:33">
      <c r="B7007" s="29"/>
      <c r="D7007" s="29"/>
      <c r="E7007" s="20"/>
      <c r="F7007" s="20"/>
      <c r="AC7007" s="20"/>
      <c r="AG7007" s="29"/>
    </row>
    <row r="7008" spans="2:33">
      <c r="B7008" s="29"/>
      <c r="D7008" s="29"/>
      <c r="E7008" s="20"/>
      <c r="F7008" s="20"/>
      <c r="AC7008" s="20"/>
      <c r="AG7008" s="29"/>
    </row>
    <row r="7009" spans="2:33">
      <c r="B7009" s="29"/>
      <c r="D7009" s="29"/>
      <c r="E7009" s="20"/>
      <c r="F7009" s="20"/>
      <c r="AC7009" s="20"/>
      <c r="AG7009" s="29"/>
    </row>
    <row r="7010" spans="2:33">
      <c r="B7010" s="29"/>
      <c r="D7010" s="29"/>
      <c r="E7010" s="20"/>
      <c r="F7010" s="20"/>
      <c r="AC7010" s="20"/>
      <c r="AG7010" s="29"/>
    </row>
    <row r="7011" spans="2:33">
      <c r="B7011" s="29"/>
      <c r="D7011" s="29"/>
      <c r="E7011" s="20"/>
      <c r="F7011" s="20"/>
      <c r="AC7011" s="20"/>
      <c r="AG7011" s="29"/>
    </row>
    <row r="7012" spans="2:33">
      <c r="B7012" s="29"/>
      <c r="D7012" s="29"/>
      <c r="E7012" s="20"/>
      <c r="F7012" s="20"/>
      <c r="AC7012" s="20"/>
      <c r="AG7012" s="29"/>
    </row>
    <row r="7013" spans="2:33">
      <c r="B7013" s="29"/>
      <c r="D7013" s="29"/>
      <c r="E7013" s="20"/>
      <c r="F7013" s="20"/>
      <c r="AC7013" s="20"/>
      <c r="AG7013" s="29"/>
    </row>
    <row r="7014" spans="2:33">
      <c r="B7014" s="29"/>
      <c r="D7014" s="29"/>
      <c r="E7014" s="20"/>
      <c r="F7014" s="20"/>
      <c r="AC7014" s="20"/>
      <c r="AG7014" s="29"/>
    </row>
    <row r="7015" spans="2:33">
      <c r="B7015" s="29"/>
      <c r="D7015" s="29"/>
      <c r="E7015" s="20"/>
      <c r="F7015" s="20"/>
      <c r="AC7015" s="20"/>
      <c r="AG7015" s="29"/>
    </row>
    <row r="7016" spans="2:33">
      <c r="B7016" s="29"/>
      <c r="D7016" s="29"/>
      <c r="E7016" s="20"/>
      <c r="F7016" s="20"/>
      <c r="AC7016" s="20"/>
      <c r="AG7016" s="29"/>
    </row>
    <row r="7017" spans="2:33">
      <c r="B7017" s="29"/>
      <c r="D7017" s="29"/>
      <c r="E7017" s="20"/>
      <c r="F7017" s="20"/>
      <c r="AC7017" s="20"/>
      <c r="AG7017" s="29"/>
    </row>
    <row r="7018" spans="2:33">
      <c r="B7018" s="29"/>
      <c r="D7018" s="29"/>
      <c r="E7018" s="20"/>
      <c r="F7018" s="20"/>
      <c r="AC7018" s="20"/>
      <c r="AG7018" s="29"/>
    </row>
    <row r="7019" spans="2:33">
      <c r="B7019" s="29"/>
      <c r="D7019" s="29"/>
      <c r="E7019" s="20"/>
      <c r="F7019" s="20"/>
      <c r="AC7019" s="20"/>
      <c r="AG7019" s="29"/>
    </row>
    <row r="7020" spans="2:33">
      <c r="B7020" s="29"/>
      <c r="D7020" s="29"/>
      <c r="E7020" s="20"/>
      <c r="F7020" s="20"/>
      <c r="AC7020" s="20"/>
      <c r="AG7020" s="29"/>
    </row>
    <row r="7021" spans="2:33">
      <c r="B7021" s="29"/>
      <c r="D7021" s="29"/>
      <c r="E7021" s="20"/>
      <c r="F7021" s="20"/>
      <c r="AC7021" s="20"/>
      <c r="AG7021" s="29"/>
    </row>
    <row r="7022" spans="2:33">
      <c r="B7022" s="29"/>
      <c r="D7022" s="29"/>
      <c r="E7022" s="20"/>
      <c r="F7022" s="20"/>
      <c r="AC7022" s="20"/>
      <c r="AG7022" s="29"/>
    </row>
    <row r="7023" spans="2:33">
      <c r="B7023" s="29"/>
      <c r="D7023" s="29"/>
      <c r="E7023" s="20"/>
      <c r="F7023" s="20"/>
      <c r="AC7023" s="20"/>
      <c r="AG7023" s="29"/>
    </row>
    <row r="7024" spans="2:33">
      <c r="B7024" s="29"/>
      <c r="D7024" s="29"/>
      <c r="E7024" s="20"/>
      <c r="F7024" s="20"/>
      <c r="AC7024" s="20"/>
      <c r="AG7024" s="29"/>
    </row>
    <row r="7025" spans="2:33">
      <c r="B7025" s="29"/>
      <c r="D7025" s="29"/>
      <c r="E7025" s="20"/>
      <c r="F7025" s="20"/>
      <c r="AC7025" s="20"/>
      <c r="AG7025" s="29"/>
    </row>
    <row r="7026" spans="2:33">
      <c r="B7026" s="29"/>
      <c r="D7026" s="29"/>
      <c r="E7026" s="20"/>
      <c r="F7026" s="20"/>
      <c r="AC7026" s="20"/>
      <c r="AG7026" s="29"/>
    </row>
    <row r="7027" spans="2:33">
      <c r="B7027" s="29"/>
      <c r="D7027" s="29"/>
      <c r="E7027" s="20"/>
      <c r="F7027" s="20"/>
      <c r="AC7027" s="20"/>
      <c r="AG7027" s="29"/>
    </row>
    <row r="7028" spans="2:33">
      <c r="B7028" s="29"/>
      <c r="D7028" s="29"/>
      <c r="E7028" s="20"/>
      <c r="F7028" s="20"/>
      <c r="AC7028" s="20"/>
      <c r="AG7028" s="29"/>
    </row>
    <row r="7029" spans="2:33">
      <c r="B7029" s="29"/>
      <c r="D7029" s="29"/>
      <c r="E7029" s="20"/>
      <c r="F7029" s="20"/>
      <c r="AC7029" s="20"/>
      <c r="AG7029" s="29"/>
    </row>
    <row r="7030" spans="2:33">
      <c r="B7030" s="29"/>
      <c r="D7030" s="29"/>
      <c r="E7030" s="20"/>
      <c r="F7030" s="20"/>
      <c r="AC7030" s="20"/>
      <c r="AG7030" s="29"/>
    </row>
    <row r="7031" spans="2:33">
      <c r="B7031" s="29"/>
      <c r="D7031" s="29"/>
      <c r="E7031" s="20"/>
      <c r="F7031" s="20"/>
      <c r="AC7031" s="20"/>
      <c r="AG7031" s="29"/>
    </row>
    <row r="7032" spans="2:33">
      <c r="B7032" s="29"/>
      <c r="D7032" s="29"/>
      <c r="E7032" s="20"/>
      <c r="F7032" s="20"/>
      <c r="AC7032" s="20"/>
      <c r="AG7032" s="29"/>
    </row>
    <row r="7033" spans="2:33">
      <c r="B7033" s="29"/>
      <c r="D7033" s="29"/>
      <c r="E7033" s="20"/>
      <c r="F7033" s="20"/>
      <c r="AC7033" s="20"/>
      <c r="AG7033" s="29"/>
    </row>
    <row r="7034" spans="2:33">
      <c r="B7034" s="29"/>
      <c r="D7034" s="29"/>
      <c r="E7034" s="20"/>
      <c r="F7034" s="20"/>
      <c r="AC7034" s="20"/>
      <c r="AG7034" s="29"/>
    </row>
    <row r="7035" spans="2:33">
      <c r="B7035" s="29"/>
      <c r="D7035" s="29"/>
      <c r="E7035" s="20"/>
      <c r="F7035" s="20"/>
      <c r="AC7035" s="20"/>
      <c r="AG7035" s="29"/>
    </row>
    <row r="7036" spans="2:33">
      <c r="B7036" s="29"/>
      <c r="D7036" s="29"/>
      <c r="E7036" s="20"/>
      <c r="F7036" s="20"/>
      <c r="AC7036" s="20"/>
      <c r="AG7036" s="29"/>
    </row>
    <row r="7037" spans="2:33">
      <c r="B7037" s="29"/>
      <c r="D7037" s="29"/>
      <c r="E7037" s="20"/>
      <c r="F7037" s="20"/>
      <c r="AC7037" s="20"/>
      <c r="AG7037" s="29"/>
    </row>
    <row r="7038" spans="2:33">
      <c r="B7038" s="29"/>
      <c r="D7038" s="29"/>
      <c r="E7038" s="20"/>
      <c r="F7038" s="20"/>
      <c r="AC7038" s="20"/>
      <c r="AG7038" s="29"/>
    </row>
    <row r="7039" spans="2:33">
      <c r="B7039" s="29"/>
      <c r="D7039" s="29"/>
      <c r="E7039" s="20"/>
      <c r="F7039" s="20"/>
      <c r="AC7039" s="20"/>
      <c r="AG7039" s="29"/>
    </row>
    <row r="7040" spans="2:33">
      <c r="B7040" s="29"/>
      <c r="D7040" s="29"/>
      <c r="E7040" s="20"/>
      <c r="F7040" s="20"/>
      <c r="AC7040" s="20"/>
      <c r="AG7040" s="29"/>
    </row>
    <row r="7041" spans="2:33">
      <c r="B7041" s="29"/>
      <c r="D7041" s="29"/>
      <c r="E7041" s="20"/>
      <c r="F7041" s="20"/>
      <c r="AC7041" s="20"/>
      <c r="AG7041" s="29"/>
    </row>
    <row r="7042" spans="2:33">
      <c r="B7042" s="29"/>
      <c r="D7042" s="29"/>
      <c r="E7042" s="20"/>
      <c r="F7042" s="20"/>
      <c r="AC7042" s="20"/>
      <c r="AG7042" s="29"/>
    </row>
    <row r="7043" spans="2:33">
      <c r="B7043" s="29"/>
      <c r="D7043" s="29"/>
      <c r="E7043" s="20"/>
      <c r="F7043" s="20"/>
      <c r="AC7043" s="20"/>
      <c r="AG7043" s="29"/>
    </row>
    <row r="7044" spans="2:33">
      <c r="B7044" s="29"/>
      <c r="D7044" s="29"/>
      <c r="E7044" s="20"/>
      <c r="F7044" s="20"/>
      <c r="AC7044" s="20"/>
      <c r="AG7044" s="29"/>
    </row>
    <row r="7045" spans="2:33">
      <c r="B7045" s="29"/>
      <c r="D7045" s="29"/>
      <c r="E7045" s="20"/>
      <c r="F7045" s="20"/>
      <c r="AC7045" s="20"/>
      <c r="AG7045" s="29"/>
    </row>
    <row r="7046" spans="2:33">
      <c r="B7046" s="29"/>
      <c r="D7046" s="29"/>
      <c r="E7046" s="20"/>
      <c r="F7046" s="20"/>
      <c r="AC7046" s="20"/>
      <c r="AG7046" s="29"/>
    </row>
    <row r="7047" spans="2:33">
      <c r="B7047" s="29"/>
      <c r="D7047" s="29"/>
      <c r="E7047" s="20"/>
      <c r="F7047" s="20"/>
      <c r="AC7047" s="20"/>
      <c r="AG7047" s="29"/>
    </row>
    <row r="7048" spans="2:33">
      <c r="B7048" s="29"/>
      <c r="D7048" s="29"/>
      <c r="E7048" s="20"/>
      <c r="F7048" s="20"/>
      <c r="AC7048" s="20"/>
      <c r="AG7048" s="29"/>
    </row>
    <row r="7049" spans="2:33">
      <c r="B7049" s="29"/>
      <c r="D7049" s="29"/>
      <c r="E7049" s="20"/>
      <c r="F7049" s="20"/>
      <c r="AC7049" s="20"/>
      <c r="AG7049" s="29"/>
    </row>
    <row r="7050" spans="2:33">
      <c r="B7050" s="29"/>
      <c r="D7050" s="29"/>
      <c r="E7050" s="20"/>
      <c r="F7050" s="20"/>
      <c r="AC7050" s="20"/>
      <c r="AG7050" s="29"/>
    </row>
    <row r="7051" spans="2:33">
      <c r="B7051" s="29"/>
      <c r="D7051" s="29"/>
      <c r="E7051" s="20"/>
      <c r="F7051" s="20"/>
      <c r="AC7051" s="20"/>
      <c r="AG7051" s="29"/>
    </row>
    <row r="7052" spans="2:33">
      <c r="B7052" s="29"/>
      <c r="D7052" s="29"/>
      <c r="E7052" s="20"/>
      <c r="F7052" s="20"/>
      <c r="AC7052" s="20"/>
      <c r="AG7052" s="29"/>
    </row>
    <row r="7053" spans="2:33">
      <c r="B7053" s="29"/>
      <c r="D7053" s="29"/>
      <c r="E7053" s="20"/>
      <c r="F7053" s="20"/>
      <c r="AC7053" s="20"/>
      <c r="AG7053" s="29"/>
    </row>
    <row r="7054" spans="2:33">
      <c r="B7054" s="29"/>
      <c r="D7054" s="29"/>
      <c r="E7054" s="20"/>
      <c r="F7054" s="20"/>
      <c r="AC7054" s="20"/>
      <c r="AG7054" s="29"/>
    </row>
    <row r="7055" spans="2:33">
      <c r="B7055" s="29"/>
      <c r="D7055" s="29"/>
      <c r="E7055" s="20"/>
      <c r="F7055" s="20"/>
      <c r="AC7055" s="20"/>
      <c r="AG7055" s="29"/>
    </row>
    <row r="7056" spans="2:33">
      <c r="B7056" s="29"/>
      <c r="D7056" s="29"/>
      <c r="E7056" s="20"/>
      <c r="F7056" s="20"/>
      <c r="AC7056" s="20"/>
      <c r="AG7056" s="29"/>
    </row>
    <row r="7057" spans="2:33">
      <c r="B7057" s="29"/>
      <c r="D7057" s="29"/>
      <c r="E7057" s="20"/>
      <c r="F7057" s="20"/>
      <c r="AC7057" s="20"/>
      <c r="AG7057" s="29"/>
    </row>
    <row r="7058" spans="2:33">
      <c r="B7058" s="29"/>
      <c r="D7058" s="29"/>
      <c r="E7058" s="20"/>
      <c r="F7058" s="20"/>
      <c r="AC7058" s="20"/>
      <c r="AG7058" s="29"/>
    </row>
    <row r="7059" spans="2:33">
      <c r="B7059" s="29"/>
      <c r="D7059" s="29"/>
      <c r="E7059" s="20"/>
      <c r="F7059" s="20"/>
      <c r="AC7059" s="20"/>
      <c r="AG7059" s="29"/>
    </row>
    <row r="7060" spans="2:33">
      <c r="B7060" s="29"/>
      <c r="D7060" s="29"/>
      <c r="E7060" s="20"/>
      <c r="F7060" s="20"/>
      <c r="AC7060" s="20"/>
      <c r="AG7060" s="29"/>
    </row>
    <row r="7061" spans="2:33">
      <c r="B7061" s="29"/>
      <c r="D7061" s="29"/>
      <c r="E7061" s="20"/>
      <c r="F7061" s="20"/>
      <c r="AC7061" s="20"/>
      <c r="AG7061" s="29"/>
    </row>
    <row r="7062" spans="2:33">
      <c r="B7062" s="29"/>
      <c r="D7062" s="29"/>
      <c r="E7062" s="20"/>
      <c r="F7062" s="20"/>
      <c r="AC7062" s="20"/>
      <c r="AG7062" s="29"/>
    </row>
    <row r="7063" spans="2:33">
      <c r="B7063" s="29"/>
      <c r="D7063" s="29"/>
      <c r="E7063" s="20"/>
      <c r="F7063" s="20"/>
      <c r="AC7063" s="20"/>
      <c r="AG7063" s="29"/>
    </row>
    <row r="7064" spans="2:33">
      <c r="B7064" s="29"/>
      <c r="D7064" s="29"/>
      <c r="E7064" s="20"/>
      <c r="F7064" s="20"/>
      <c r="AC7064" s="20"/>
      <c r="AG7064" s="29"/>
    </row>
    <row r="7065" spans="2:33">
      <c r="B7065" s="29"/>
      <c r="D7065" s="29"/>
      <c r="E7065" s="20"/>
      <c r="F7065" s="20"/>
      <c r="AC7065" s="20"/>
      <c r="AG7065" s="29"/>
    </row>
    <row r="7066" spans="2:33">
      <c r="B7066" s="29"/>
      <c r="D7066" s="29"/>
      <c r="E7066" s="20"/>
      <c r="F7066" s="20"/>
      <c r="AC7066" s="20"/>
      <c r="AG7066" s="29"/>
    </row>
    <row r="7067" spans="2:33">
      <c r="B7067" s="29"/>
      <c r="D7067" s="29"/>
      <c r="E7067" s="20"/>
      <c r="F7067" s="20"/>
      <c r="AC7067" s="20"/>
      <c r="AG7067" s="29"/>
    </row>
    <row r="7068" spans="2:33">
      <c r="B7068" s="29"/>
      <c r="D7068" s="29"/>
      <c r="E7068" s="20"/>
      <c r="F7068" s="20"/>
      <c r="AC7068" s="20"/>
      <c r="AG7068" s="29"/>
    </row>
    <row r="7069" spans="2:33">
      <c r="B7069" s="29"/>
      <c r="D7069" s="29"/>
      <c r="E7069" s="20"/>
      <c r="F7069" s="20"/>
      <c r="AC7069" s="20"/>
      <c r="AG7069" s="29"/>
    </row>
    <row r="7070" spans="2:33">
      <c r="B7070" s="29"/>
      <c r="D7070" s="29"/>
      <c r="E7070" s="20"/>
      <c r="F7070" s="20"/>
      <c r="AC7070" s="20"/>
      <c r="AG7070" s="29"/>
    </row>
    <row r="7071" spans="2:33">
      <c r="B7071" s="29"/>
      <c r="D7071" s="29"/>
      <c r="E7071" s="20"/>
      <c r="F7071" s="20"/>
      <c r="AC7071" s="20"/>
      <c r="AG7071" s="29"/>
    </row>
    <row r="7072" spans="2:33">
      <c r="B7072" s="29"/>
      <c r="D7072" s="29"/>
      <c r="E7072" s="20"/>
      <c r="F7072" s="20"/>
      <c r="AC7072" s="20"/>
      <c r="AG7072" s="29"/>
    </row>
    <row r="7073" spans="2:33">
      <c r="B7073" s="29"/>
      <c r="D7073" s="29"/>
      <c r="E7073" s="20"/>
      <c r="F7073" s="20"/>
      <c r="AC7073" s="20"/>
      <c r="AG7073" s="29"/>
    </row>
    <row r="7074" spans="2:33">
      <c r="B7074" s="29"/>
      <c r="D7074" s="29"/>
      <c r="E7074" s="20"/>
      <c r="F7074" s="20"/>
      <c r="AC7074" s="20"/>
      <c r="AG7074" s="29"/>
    </row>
    <row r="7075" spans="2:33">
      <c r="B7075" s="29"/>
      <c r="D7075" s="29"/>
      <c r="E7075" s="20"/>
      <c r="F7075" s="20"/>
      <c r="AC7075" s="20"/>
      <c r="AG7075" s="29"/>
    </row>
    <row r="7076" spans="2:33">
      <c r="B7076" s="29"/>
      <c r="D7076" s="29"/>
      <c r="E7076" s="20"/>
      <c r="F7076" s="20"/>
      <c r="AC7076" s="20"/>
      <c r="AG7076" s="29"/>
    </row>
    <row r="7077" spans="2:33">
      <c r="B7077" s="29"/>
      <c r="D7077" s="29"/>
      <c r="E7077" s="20"/>
      <c r="F7077" s="20"/>
      <c r="AC7077" s="20"/>
      <c r="AG7077" s="29"/>
    </row>
    <row r="7078" spans="2:33">
      <c r="B7078" s="29"/>
      <c r="D7078" s="29"/>
      <c r="E7078" s="20"/>
      <c r="F7078" s="20"/>
      <c r="AC7078" s="20"/>
      <c r="AG7078" s="29"/>
    </row>
    <row r="7079" spans="2:33">
      <c r="B7079" s="29"/>
      <c r="D7079" s="29"/>
      <c r="E7079" s="20"/>
      <c r="F7079" s="20"/>
      <c r="AC7079" s="20"/>
      <c r="AG7079" s="29"/>
    </row>
    <row r="7080" spans="2:33">
      <c r="B7080" s="29"/>
      <c r="D7080" s="29"/>
      <c r="E7080" s="20"/>
      <c r="F7080" s="20"/>
      <c r="AC7080" s="20"/>
      <c r="AG7080" s="29"/>
    </row>
    <row r="7081" spans="2:33">
      <c r="B7081" s="29"/>
      <c r="D7081" s="29"/>
      <c r="E7081" s="20"/>
      <c r="F7081" s="20"/>
      <c r="AC7081" s="20"/>
      <c r="AG7081" s="29"/>
    </row>
    <row r="7082" spans="2:33">
      <c r="B7082" s="29"/>
      <c r="D7082" s="29"/>
      <c r="E7082" s="20"/>
      <c r="F7082" s="20"/>
      <c r="AC7082" s="20"/>
      <c r="AG7082" s="29"/>
    </row>
    <row r="7083" spans="2:33">
      <c r="B7083" s="29"/>
      <c r="D7083" s="29"/>
      <c r="E7083" s="20"/>
      <c r="F7083" s="20"/>
      <c r="AC7083" s="20"/>
      <c r="AG7083" s="29"/>
    </row>
    <row r="7084" spans="2:33">
      <c r="B7084" s="29"/>
      <c r="D7084" s="29"/>
      <c r="E7084" s="20"/>
      <c r="F7084" s="20"/>
      <c r="AC7084" s="20"/>
      <c r="AG7084" s="29"/>
    </row>
    <row r="7085" spans="2:33">
      <c r="B7085" s="29"/>
      <c r="D7085" s="29"/>
      <c r="E7085" s="20"/>
      <c r="F7085" s="20"/>
      <c r="AC7085" s="20"/>
      <c r="AG7085" s="29"/>
    </row>
    <row r="7086" spans="2:33">
      <c r="B7086" s="29"/>
      <c r="D7086" s="29"/>
      <c r="E7086" s="20"/>
      <c r="F7086" s="20"/>
      <c r="AC7086" s="20"/>
      <c r="AG7086" s="29"/>
    </row>
    <row r="7087" spans="2:33">
      <c r="B7087" s="29"/>
      <c r="D7087" s="29"/>
      <c r="E7087" s="20"/>
      <c r="F7087" s="20"/>
      <c r="AC7087" s="20"/>
      <c r="AG7087" s="29"/>
    </row>
    <row r="7088" spans="2:33">
      <c r="B7088" s="29"/>
      <c r="D7088" s="29"/>
      <c r="E7088" s="20"/>
      <c r="F7088" s="20"/>
      <c r="AC7088" s="20"/>
      <c r="AG7088" s="29"/>
    </row>
    <row r="7089" spans="2:33">
      <c r="B7089" s="29"/>
      <c r="D7089" s="29"/>
      <c r="E7089" s="20"/>
      <c r="F7089" s="20"/>
      <c r="AC7089" s="20"/>
      <c r="AG7089" s="29"/>
    </row>
    <row r="7090" spans="2:33">
      <c r="B7090" s="29"/>
      <c r="D7090" s="29"/>
      <c r="E7090" s="20"/>
      <c r="F7090" s="20"/>
      <c r="AC7090" s="20"/>
      <c r="AG7090" s="29"/>
    </row>
    <row r="7091" spans="2:33">
      <c r="B7091" s="29"/>
      <c r="D7091" s="29"/>
      <c r="E7091" s="20"/>
      <c r="F7091" s="20"/>
      <c r="AC7091" s="20"/>
      <c r="AG7091" s="29"/>
    </row>
    <row r="7092" spans="2:33">
      <c r="B7092" s="29"/>
      <c r="D7092" s="29"/>
      <c r="E7092" s="20"/>
      <c r="F7092" s="20"/>
      <c r="AC7092" s="20"/>
      <c r="AG7092" s="29"/>
    </row>
    <row r="7093" spans="2:33">
      <c r="B7093" s="29"/>
      <c r="D7093" s="29"/>
      <c r="E7093" s="20"/>
      <c r="F7093" s="20"/>
      <c r="AC7093" s="20"/>
      <c r="AG7093" s="29"/>
    </row>
    <row r="7094" spans="2:33">
      <c r="B7094" s="29"/>
      <c r="D7094" s="29"/>
      <c r="E7094" s="20"/>
      <c r="F7094" s="20"/>
      <c r="AC7094" s="20"/>
      <c r="AG7094" s="29"/>
    </row>
    <row r="7095" spans="2:33">
      <c r="B7095" s="29"/>
      <c r="D7095" s="29"/>
      <c r="E7095" s="20"/>
      <c r="F7095" s="20"/>
      <c r="AC7095" s="20"/>
      <c r="AG7095" s="29"/>
    </row>
    <row r="7096" spans="2:33">
      <c r="B7096" s="29"/>
      <c r="D7096" s="29"/>
      <c r="E7096" s="20"/>
      <c r="F7096" s="20"/>
      <c r="AC7096" s="20"/>
      <c r="AG7096" s="29"/>
    </row>
    <row r="7097" spans="2:33">
      <c r="B7097" s="29"/>
      <c r="D7097" s="29"/>
      <c r="E7097" s="20"/>
      <c r="F7097" s="20"/>
      <c r="AC7097" s="20"/>
      <c r="AG7097" s="29"/>
    </row>
    <row r="7098" spans="2:33">
      <c r="B7098" s="29"/>
      <c r="D7098" s="29"/>
      <c r="E7098" s="20"/>
      <c r="F7098" s="20"/>
      <c r="AC7098" s="20"/>
      <c r="AG7098" s="29"/>
    </row>
    <row r="7099" spans="2:33">
      <c r="B7099" s="29"/>
      <c r="D7099" s="29"/>
      <c r="E7099" s="20"/>
      <c r="F7099" s="20"/>
      <c r="AC7099" s="20"/>
      <c r="AG7099" s="29"/>
    </row>
    <row r="7100" spans="2:33">
      <c r="B7100" s="29"/>
      <c r="D7100" s="29"/>
      <c r="E7100" s="20"/>
      <c r="F7100" s="20"/>
      <c r="AC7100" s="20"/>
      <c r="AG7100" s="29"/>
    </row>
    <row r="7101" spans="2:33">
      <c r="B7101" s="29"/>
      <c r="D7101" s="29"/>
      <c r="E7101" s="20"/>
      <c r="F7101" s="20"/>
      <c r="AC7101" s="20"/>
      <c r="AG7101" s="29"/>
    </row>
    <row r="7102" spans="2:33">
      <c r="B7102" s="29"/>
      <c r="D7102" s="29"/>
      <c r="E7102" s="20"/>
      <c r="F7102" s="20"/>
      <c r="AC7102" s="20"/>
      <c r="AG7102" s="29"/>
    </row>
    <row r="7103" spans="2:33">
      <c r="B7103" s="29"/>
      <c r="D7103" s="29"/>
      <c r="E7103" s="20"/>
      <c r="F7103" s="20"/>
      <c r="AC7103" s="20"/>
      <c r="AG7103" s="29"/>
    </row>
    <row r="7104" spans="2:33">
      <c r="B7104" s="29"/>
      <c r="D7104" s="29"/>
      <c r="E7104" s="20"/>
      <c r="F7104" s="20"/>
      <c r="AC7104" s="20"/>
      <c r="AG7104" s="29"/>
    </row>
    <row r="7105" spans="2:33">
      <c r="B7105" s="29"/>
      <c r="D7105" s="29"/>
      <c r="E7105" s="20"/>
      <c r="F7105" s="20"/>
      <c r="AC7105" s="20"/>
      <c r="AG7105" s="29"/>
    </row>
    <row r="7106" spans="2:33">
      <c r="B7106" s="29"/>
      <c r="D7106" s="29"/>
      <c r="E7106" s="20"/>
      <c r="F7106" s="20"/>
      <c r="AC7106" s="20"/>
      <c r="AG7106" s="29"/>
    </row>
    <row r="7107" spans="2:33">
      <c r="B7107" s="29"/>
      <c r="D7107" s="29"/>
      <c r="E7107" s="20"/>
      <c r="F7107" s="20"/>
      <c r="AC7107" s="20"/>
      <c r="AG7107" s="29"/>
    </row>
    <row r="7108" spans="2:33">
      <c r="B7108" s="29"/>
      <c r="D7108" s="29"/>
      <c r="E7108" s="20"/>
      <c r="F7108" s="20"/>
      <c r="AC7108" s="20"/>
      <c r="AG7108" s="29"/>
    </row>
    <row r="7109" spans="2:33">
      <c r="B7109" s="29"/>
      <c r="D7109" s="29"/>
      <c r="E7109" s="20"/>
      <c r="F7109" s="20"/>
      <c r="AC7109" s="20"/>
      <c r="AG7109" s="29"/>
    </row>
    <row r="7110" spans="2:33">
      <c r="B7110" s="29"/>
      <c r="D7110" s="29"/>
      <c r="E7110" s="20"/>
      <c r="F7110" s="20"/>
      <c r="AC7110" s="20"/>
      <c r="AG7110" s="29"/>
    </row>
    <row r="7111" spans="2:33">
      <c r="B7111" s="29"/>
      <c r="D7111" s="29"/>
      <c r="E7111" s="20"/>
      <c r="F7111" s="20"/>
      <c r="AC7111" s="20"/>
      <c r="AG7111" s="29"/>
    </row>
    <row r="7112" spans="2:33">
      <c r="B7112" s="29"/>
      <c r="D7112" s="29"/>
      <c r="E7112" s="20"/>
      <c r="F7112" s="20"/>
      <c r="AC7112" s="20"/>
      <c r="AG7112" s="29"/>
    </row>
    <row r="7113" spans="2:33">
      <c r="B7113" s="29"/>
      <c r="D7113" s="29"/>
      <c r="E7113" s="20"/>
      <c r="F7113" s="20"/>
      <c r="AC7113" s="20"/>
      <c r="AG7113" s="29"/>
    </row>
    <row r="7114" spans="2:33">
      <c r="B7114" s="29"/>
      <c r="D7114" s="29"/>
      <c r="E7114" s="20"/>
      <c r="F7114" s="20"/>
      <c r="AC7114" s="20"/>
      <c r="AG7114" s="29"/>
    </row>
    <row r="7115" spans="2:33">
      <c r="B7115" s="29"/>
      <c r="D7115" s="29"/>
      <c r="E7115" s="20"/>
      <c r="F7115" s="20"/>
      <c r="AC7115" s="20"/>
      <c r="AG7115" s="29"/>
    </row>
    <row r="7116" spans="2:33">
      <c r="B7116" s="29"/>
      <c r="D7116" s="29"/>
      <c r="E7116" s="20"/>
      <c r="F7116" s="20"/>
      <c r="AC7116" s="20"/>
      <c r="AG7116" s="29"/>
    </row>
    <row r="7117" spans="2:33">
      <c r="B7117" s="29"/>
      <c r="D7117" s="29"/>
      <c r="E7117" s="20"/>
      <c r="F7117" s="20"/>
      <c r="AC7117" s="20"/>
      <c r="AG7117" s="29"/>
    </row>
    <row r="7118" spans="2:33">
      <c r="B7118" s="29"/>
      <c r="D7118" s="29"/>
      <c r="E7118" s="20"/>
      <c r="F7118" s="20"/>
      <c r="AC7118" s="20"/>
      <c r="AG7118" s="29"/>
    </row>
    <row r="7119" spans="2:33">
      <c r="B7119" s="29"/>
      <c r="D7119" s="29"/>
      <c r="E7119" s="20"/>
      <c r="F7119" s="20"/>
      <c r="AC7119" s="20"/>
      <c r="AG7119" s="29"/>
    </row>
    <row r="7120" spans="2:33">
      <c r="B7120" s="29"/>
      <c r="D7120" s="29"/>
      <c r="E7120" s="20"/>
      <c r="F7120" s="20"/>
      <c r="AC7120" s="20"/>
      <c r="AG7120" s="29"/>
    </row>
    <row r="7121" spans="2:33">
      <c r="B7121" s="29"/>
      <c r="D7121" s="29"/>
      <c r="E7121" s="20"/>
      <c r="F7121" s="20"/>
      <c r="AC7121" s="20"/>
      <c r="AG7121" s="29"/>
    </row>
    <row r="7122" spans="2:33">
      <c r="B7122" s="29"/>
      <c r="D7122" s="29"/>
      <c r="E7122" s="20"/>
      <c r="F7122" s="20"/>
      <c r="AC7122" s="20"/>
      <c r="AG7122" s="29"/>
    </row>
    <row r="7123" spans="2:33">
      <c r="B7123" s="29"/>
      <c r="D7123" s="29"/>
      <c r="E7123" s="20"/>
      <c r="F7123" s="20"/>
      <c r="AC7123" s="20"/>
      <c r="AG7123" s="29"/>
    </row>
    <row r="7124" spans="2:33">
      <c r="B7124" s="29"/>
      <c r="D7124" s="29"/>
      <c r="E7124" s="20"/>
      <c r="F7124" s="20"/>
      <c r="AC7124" s="20"/>
      <c r="AG7124" s="29"/>
    </row>
    <row r="7125" spans="2:33">
      <c r="B7125" s="29"/>
      <c r="D7125" s="29"/>
      <c r="E7125" s="20"/>
      <c r="F7125" s="20"/>
      <c r="AC7125" s="20"/>
      <c r="AG7125" s="29"/>
    </row>
    <row r="7126" spans="2:33">
      <c r="B7126" s="29"/>
      <c r="D7126" s="29"/>
      <c r="E7126" s="20"/>
      <c r="F7126" s="20"/>
      <c r="AC7126" s="20"/>
      <c r="AG7126" s="29"/>
    </row>
    <row r="7127" spans="2:33">
      <c r="B7127" s="29"/>
      <c r="D7127" s="29"/>
      <c r="E7127" s="20"/>
      <c r="F7127" s="20"/>
      <c r="AC7127" s="20"/>
      <c r="AG7127" s="29"/>
    </row>
    <row r="7128" spans="2:33">
      <c r="B7128" s="29"/>
      <c r="D7128" s="29"/>
      <c r="E7128" s="20"/>
      <c r="F7128" s="20"/>
      <c r="AC7128" s="20"/>
      <c r="AG7128" s="29"/>
    </row>
    <row r="7129" spans="2:33">
      <c r="B7129" s="29"/>
      <c r="D7129" s="29"/>
      <c r="E7129" s="20"/>
      <c r="F7129" s="20"/>
      <c r="AC7129" s="20"/>
      <c r="AG7129" s="29"/>
    </row>
    <row r="7130" spans="2:33">
      <c r="B7130" s="29"/>
      <c r="D7130" s="29"/>
      <c r="E7130" s="20"/>
      <c r="F7130" s="20"/>
      <c r="AC7130" s="20"/>
      <c r="AG7130" s="29"/>
    </row>
    <row r="7131" spans="2:33">
      <c r="B7131" s="29"/>
      <c r="D7131" s="29"/>
      <c r="E7131" s="20"/>
      <c r="F7131" s="20"/>
      <c r="AC7131" s="20"/>
      <c r="AG7131" s="29"/>
    </row>
    <row r="7132" spans="2:33">
      <c r="B7132" s="29"/>
      <c r="D7132" s="29"/>
      <c r="E7132" s="20"/>
      <c r="F7132" s="20"/>
      <c r="AC7132" s="20"/>
      <c r="AG7132" s="29"/>
    </row>
    <row r="7133" spans="2:33">
      <c r="B7133" s="29"/>
      <c r="D7133" s="29"/>
      <c r="E7133" s="20"/>
      <c r="F7133" s="20"/>
      <c r="AC7133" s="20"/>
      <c r="AG7133" s="29"/>
    </row>
    <row r="7134" spans="2:33">
      <c r="B7134" s="29"/>
      <c r="D7134" s="29"/>
      <c r="E7134" s="20"/>
      <c r="F7134" s="20"/>
      <c r="AC7134" s="20"/>
      <c r="AG7134" s="29"/>
    </row>
    <row r="7135" spans="2:33">
      <c r="B7135" s="29"/>
      <c r="D7135" s="29"/>
      <c r="E7135" s="20"/>
      <c r="F7135" s="20"/>
      <c r="AC7135" s="20"/>
      <c r="AG7135" s="29"/>
    </row>
    <row r="7136" spans="2:33">
      <c r="B7136" s="29"/>
      <c r="D7136" s="29"/>
      <c r="E7136" s="20"/>
      <c r="F7136" s="20"/>
      <c r="AC7136" s="20"/>
      <c r="AG7136" s="29"/>
    </row>
    <row r="7137" spans="2:33">
      <c r="B7137" s="29"/>
      <c r="D7137" s="29"/>
      <c r="E7137" s="20"/>
      <c r="F7137" s="20"/>
      <c r="AC7137" s="20"/>
      <c r="AG7137" s="29"/>
    </row>
    <row r="7138" spans="2:33">
      <c r="B7138" s="29"/>
      <c r="D7138" s="29"/>
      <c r="E7138" s="20"/>
      <c r="F7138" s="20"/>
      <c r="AC7138" s="20"/>
      <c r="AG7138" s="29"/>
    </row>
    <row r="7139" spans="2:33">
      <c r="B7139" s="29"/>
      <c r="D7139" s="29"/>
      <c r="E7139" s="20"/>
      <c r="F7139" s="20"/>
      <c r="AC7139" s="20"/>
      <c r="AG7139" s="29"/>
    </row>
    <row r="7140" spans="2:33">
      <c r="B7140" s="29"/>
      <c r="D7140" s="29"/>
      <c r="E7140" s="20"/>
      <c r="F7140" s="20"/>
      <c r="AC7140" s="20"/>
      <c r="AG7140" s="29"/>
    </row>
    <row r="7141" spans="2:33">
      <c r="B7141" s="29"/>
      <c r="D7141" s="29"/>
      <c r="E7141" s="20"/>
      <c r="F7141" s="20"/>
      <c r="AC7141" s="20"/>
      <c r="AG7141" s="29"/>
    </row>
    <row r="7142" spans="2:33">
      <c r="B7142" s="29"/>
      <c r="D7142" s="29"/>
      <c r="E7142" s="20"/>
      <c r="F7142" s="20"/>
      <c r="AC7142" s="20"/>
      <c r="AG7142" s="29"/>
    </row>
    <row r="7143" spans="2:33">
      <c r="B7143" s="29"/>
      <c r="D7143" s="29"/>
      <c r="E7143" s="20"/>
      <c r="F7143" s="20"/>
      <c r="AC7143" s="20"/>
      <c r="AG7143" s="29"/>
    </row>
    <row r="7144" spans="2:33">
      <c r="B7144" s="29"/>
      <c r="D7144" s="29"/>
      <c r="E7144" s="20"/>
      <c r="F7144" s="20"/>
      <c r="AC7144" s="20"/>
      <c r="AG7144" s="29"/>
    </row>
    <row r="7145" spans="2:33">
      <c r="B7145" s="29"/>
      <c r="D7145" s="29"/>
      <c r="E7145" s="20"/>
      <c r="F7145" s="20"/>
      <c r="AC7145" s="20"/>
      <c r="AG7145" s="29"/>
    </row>
    <row r="7146" spans="2:33">
      <c r="B7146" s="29"/>
      <c r="D7146" s="29"/>
      <c r="E7146" s="20"/>
      <c r="F7146" s="20"/>
      <c r="AC7146" s="20"/>
      <c r="AG7146" s="29"/>
    </row>
    <row r="7147" spans="2:33">
      <c r="B7147" s="29"/>
      <c r="D7147" s="29"/>
      <c r="E7147" s="20"/>
      <c r="F7147" s="20"/>
      <c r="AC7147" s="20"/>
      <c r="AG7147" s="29"/>
    </row>
    <row r="7148" spans="2:33">
      <c r="B7148" s="29"/>
      <c r="D7148" s="29"/>
      <c r="E7148" s="20"/>
      <c r="F7148" s="20"/>
      <c r="AC7148" s="20"/>
      <c r="AG7148" s="29"/>
    </row>
    <row r="7149" spans="2:33">
      <c r="B7149" s="29"/>
      <c r="D7149" s="29"/>
      <c r="E7149" s="20"/>
      <c r="F7149" s="20"/>
      <c r="AC7149" s="20"/>
      <c r="AG7149" s="29"/>
    </row>
    <row r="7150" spans="2:33">
      <c r="B7150" s="29"/>
      <c r="D7150" s="29"/>
      <c r="E7150" s="20"/>
      <c r="F7150" s="20"/>
      <c r="AC7150" s="20"/>
      <c r="AG7150" s="29"/>
    </row>
    <row r="7151" spans="2:33">
      <c r="B7151" s="29"/>
      <c r="D7151" s="29"/>
      <c r="E7151" s="20"/>
      <c r="F7151" s="20"/>
      <c r="AC7151" s="20"/>
      <c r="AG7151" s="29"/>
    </row>
    <row r="7152" spans="2:33">
      <c r="B7152" s="29"/>
      <c r="D7152" s="29"/>
      <c r="E7152" s="20"/>
      <c r="F7152" s="20"/>
      <c r="AC7152" s="20"/>
      <c r="AG7152" s="29"/>
    </row>
    <row r="7153" spans="2:33">
      <c r="B7153" s="29"/>
      <c r="D7153" s="29"/>
      <c r="E7153" s="20"/>
      <c r="F7153" s="20"/>
      <c r="AC7153" s="20"/>
      <c r="AG7153" s="29"/>
    </row>
    <row r="7154" spans="2:33">
      <c r="B7154" s="29"/>
      <c r="D7154" s="29"/>
      <c r="E7154" s="20"/>
      <c r="F7154" s="20"/>
      <c r="AC7154" s="20"/>
      <c r="AG7154" s="29"/>
    </row>
    <row r="7155" spans="2:33">
      <c r="B7155" s="29"/>
      <c r="D7155" s="29"/>
      <c r="E7155" s="20"/>
      <c r="F7155" s="20"/>
      <c r="AC7155" s="20"/>
      <c r="AG7155" s="29"/>
    </row>
    <row r="7156" spans="2:33">
      <c r="B7156" s="29"/>
      <c r="D7156" s="29"/>
      <c r="E7156" s="20"/>
      <c r="F7156" s="20"/>
      <c r="AC7156" s="20"/>
      <c r="AG7156" s="29"/>
    </row>
    <row r="7157" spans="2:33">
      <c r="B7157" s="29"/>
      <c r="D7157" s="29"/>
      <c r="E7157" s="20"/>
      <c r="F7157" s="20"/>
      <c r="AC7157" s="20"/>
      <c r="AG7157" s="29"/>
    </row>
    <row r="7158" spans="2:33">
      <c r="B7158" s="29"/>
      <c r="D7158" s="29"/>
      <c r="E7158" s="20"/>
      <c r="F7158" s="20"/>
      <c r="AC7158" s="20"/>
      <c r="AG7158" s="29"/>
    </row>
    <row r="7159" spans="2:33">
      <c r="B7159" s="29"/>
      <c r="D7159" s="29"/>
      <c r="E7159" s="20"/>
      <c r="F7159" s="20"/>
      <c r="AC7159" s="20"/>
      <c r="AG7159" s="29"/>
    </row>
    <row r="7160" spans="2:33">
      <c r="B7160" s="29"/>
      <c r="D7160" s="29"/>
      <c r="E7160" s="20"/>
      <c r="F7160" s="20"/>
      <c r="AC7160" s="20"/>
      <c r="AG7160" s="29"/>
    </row>
    <row r="7161" spans="2:33">
      <c r="B7161" s="29"/>
      <c r="D7161" s="29"/>
      <c r="E7161" s="20"/>
      <c r="F7161" s="20"/>
      <c r="AC7161" s="20"/>
      <c r="AG7161" s="29"/>
    </row>
    <row r="7162" spans="2:33">
      <c r="B7162" s="29"/>
      <c r="D7162" s="29"/>
      <c r="E7162" s="20"/>
      <c r="F7162" s="20"/>
      <c r="AC7162" s="20"/>
      <c r="AG7162" s="29"/>
    </row>
    <row r="7163" spans="2:33">
      <c r="B7163" s="29"/>
      <c r="D7163" s="29"/>
      <c r="E7163" s="20"/>
      <c r="F7163" s="20"/>
      <c r="AC7163" s="20"/>
      <c r="AG7163" s="29"/>
    </row>
    <row r="7164" spans="2:33">
      <c r="B7164" s="29"/>
      <c r="D7164" s="29"/>
      <c r="E7164" s="20"/>
      <c r="F7164" s="20"/>
      <c r="AC7164" s="20"/>
      <c r="AG7164" s="29"/>
    </row>
    <row r="7165" spans="2:33">
      <c r="B7165" s="29"/>
      <c r="D7165" s="29"/>
      <c r="E7165" s="20"/>
      <c r="F7165" s="20"/>
      <c r="AC7165" s="20"/>
      <c r="AG7165" s="29"/>
    </row>
    <row r="7166" spans="2:33">
      <c r="B7166" s="29"/>
      <c r="D7166" s="29"/>
      <c r="E7166" s="20"/>
      <c r="F7166" s="20"/>
      <c r="AC7166" s="20"/>
      <c r="AG7166" s="29"/>
    </row>
    <row r="7167" spans="2:33">
      <c r="B7167" s="29"/>
      <c r="D7167" s="29"/>
      <c r="E7167" s="20"/>
      <c r="F7167" s="20"/>
      <c r="AC7167" s="20"/>
      <c r="AG7167" s="29"/>
    </row>
    <row r="7168" spans="2:33">
      <c r="B7168" s="29"/>
      <c r="D7168" s="29"/>
      <c r="E7168" s="20"/>
      <c r="F7168" s="20"/>
      <c r="AC7168" s="20"/>
      <c r="AG7168" s="29"/>
    </row>
    <row r="7169" spans="2:33">
      <c r="B7169" s="29"/>
      <c r="D7169" s="29"/>
      <c r="E7169" s="20"/>
      <c r="F7169" s="20"/>
      <c r="AC7169" s="20"/>
      <c r="AG7169" s="29"/>
    </row>
    <row r="7170" spans="2:33">
      <c r="B7170" s="29"/>
      <c r="D7170" s="29"/>
      <c r="E7170" s="20"/>
      <c r="F7170" s="20"/>
      <c r="AC7170" s="20"/>
      <c r="AG7170" s="29"/>
    </row>
    <row r="7171" spans="2:33">
      <c r="B7171" s="29"/>
      <c r="D7171" s="29"/>
      <c r="E7171" s="20"/>
      <c r="F7171" s="20"/>
      <c r="AC7171" s="20"/>
      <c r="AG7171" s="29"/>
    </row>
    <row r="7172" spans="2:33">
      <c r="B7172" s="29"/>
      <c r="D7172" s="29"/>
      <c r="E7172" s="20"/>
      <c r="F7172" s="20"/>
      <c r="AC7172" s="20"/>
      <c r="AG7172" s="29"/>
    </row>
    <row r="7173" spans="2:33">
      <c r="B7173" s="29"/>
      <c r="D7173" s="29"/>
      <c r="E7173" s="20"/>
      <c r="F7173" s="20"/>
      <c r="AC7173" s="20"/>
      <c r="AG7173" s="29"/>
    </row>
    <row r="7174" spans="2:33">
      <c r="B7174" s="29"/>
      <c r="D7174" s="29"/>
      <c r="E7174" s="20"/>
      <c r="F7174" s="20"/>
      <c r="AC7174" s="20"/>
      <c r="AG7174" s="29"/>
    </row>
    <row r="7175" spans="2:33">
      <c r="B7175" s="29"/>
      <c r="D7175" s="29"/>
      <c r="E7175" s="20"/>
      <c r="F7175" s="20"/>
      <c r="AC7175" s="20"/>
      <c r="AG7175" s="29"/>
    </row>
    <row r="7176" spans="2:33">
      <c r="B7176" s="29"/>
      <c r="D7176" s="29"/>
      <c r="E7176" s="20"/>
      <c r="F7176" s="20"/>
      <c r="AC7176" s="20"/>
      <c r="AG7176" s="29"/>
    </row>
    <row r="7177" spans="2:33">
      <c r="B7177" s="29"/>
      <c r="D7177" s="29"/>
      <c r="E7177" s="20"/>
      <c r="F7177" s="20"/>
      <c r="AC7177" s="20"/>
      <c r="AG7177" s="29"/>
    </row>
    <row r="7178" spans="2:33">
      <c r="B7178" s="29"/>
      <c r="D7178" s="29"/>
      <c r="E7178" s="20"/>
      <c r="F7178" s="20"/>
      <c r="AC7178" s="20"/>
      <c r="AG7178" s="29"/>
    </row>
    <row r="7179" spans="2:33">
      <c r="B7179" s="29"/>
      <c r="D7179" s="29"/>
      <c r="E7179" s="20"/>
      <c r="F7179" s="20"/>
      <c r="AC7179" s="20"/>
      <c r="AG7179" s="29"/>
    </row>
    <row r="7180" spans="2:33">
      <c r="B7180" s="29"/>
      <c r="D7180" s="29"/>
      <c r="E7180" s="20"/>
      <c r="F7180" s="20"/>
      <c r="AC7180" s="20"/>
      <c r="AG7180" s="29"/>
    </row>
    <row r="7181" spans="2:33">
      <c r="B7181" s="29"/>
      <c r="D7181" s="29"/>
      <c r="E7181" s="20"/>
      <c r="F7181" s="20"/>
      <c r="AC7181" s="20"/>
      <c r="AG7181" s="29"/>
    </row>
    <row r="7182" spans="2:33">
      <c r="B7182" s="29"/>
      <c r="D7182" s="29"/>
      <c r="E7182" s="20"/>
      <c r="F7182" s="20"/>
      <c r="AC7182" s="20"/>
      <c r="AG7182" s="29"/>
    </row>
    <row r="7183" spans="2:33">
      <c r="B7183" s="29"/>
      <c r="D7183" s="29"/>
      <c r="E7183" s="20"/>
      <c r="F7183" s="20"/>
      <c r="AC7183" s="20"/>
      <c r="AG7183" s="29"/>
    </row>
    <row r="7184" spans="2:33">
      <c r="B7184" s="29"/>
      <c r="D7184" s="29"/>
      <c r="E7184" s="20"/>
      <c r="F7184" s="20"/>
      <c r="AC7184" s="20"/>
      <c r="AG7184" s="29"/>
    </row>
    <row r="7185" spans="2:33">
      <c r="B7185" s="29"/>
      <c r="D7185" s="29"/>
      <c r="E7185" s="20"/>
      <c r="F7185" s="20"/>
      <c r="AC7185" s="20"/>
      <c r="AG7185" s="29"/>
    </row>
    <row r="7186" spans="2:33">
      <c r="B7186" s="29"/>
      <c r="D7186" s="29"/>
      <c r="E7186" s="20"/>
      <c r="F7186" s="20"/>
      <c r="AC7186" s="20"/>
      <c r="AG7186" s="29"/>
    </row>
    <row r="7187" spans="2:33">
      <c r="B7187" s="29"/>
      <c r="D7187" s="29"/>
      <c r="E7187" s="20"/>
      <c r="F7187" s="20"/>
      <c r="AC7187" s="20"/>
      <c r="AG7187" s="29"/>
    </row>
    <row r="7188" spans="2:33">
      <c r="B7188" s="29"/>
      <c r="D7188" s="29"/>
      <c r="E7188" s="20"/>
      <c r="F7188" s="20"/>
      <c r="AC7188" s="20"/>
      <c r="AG7188" s="29"/>
    </row>
    <row r="7189" spans="2:33">
      <c r="B7189" s="29"/>
      <c r="D7189" s="29"/>
      <c r="E7189" s="20"/>
      <c r="F7189" s="20"/>
      <c r="AC7189" s="20"/>
      <c r="AG7189" s="29"/>
    </row>
    <row r="7190" spans="2:33">
      <c r="B7190" s="29"/>
      <c r="D7190" s="29"/>
      <c r="E7190" s="20"/>
      <c r="F7190" s="20"/>
      <c r="AC7190" s="20"/>
      <c r="AG7190" s="29"/>
    </row>
    <row r="7191" spans="2:33">
      <c r="B7191" s="29"/>
      <c r="D7191" s="29"/>
      <c r="E7191" s="20"/>
      <c r="F7191" s="20"/>
      <c r="AC7191" s="20"/>
      <c r="AG7191" s="29"/>
    </row>
    <row r="7192" spans="2:33">
      <c r="B7192" s="29"/>
      <c r="D7192" s="29"/>
      <c r="E7192" s="20"/>
      <c r="F7192" s="20"/>
      <c r="AC7192" s="20"/>
      <c r="AG7192" s="29"/>
    </row>
    <row r="7193" spans="2:33">
      <c r="B7193" s="29"/>
      <c r="D7193" s="29"/>
      <c r="E7193" s="20"/>
      <c r="F7193" s="20"/>
      <c r="AC7193" s="20"/>
      <c r="AG7193" s="29"/>
    </row>
    <row r="7194" spans="2:33">
      <c r="B7194" s="29"/>
      <c r="D7194" s="29"/>
      <c r="E7194" s="20"/>
      <c r="F7194" s="20"/>
      <c r="AC7194" s="20"/>
      <c r="AG7194" s="29"/>
    </row>
    <row r="7195" spans="2:33">
      <c r="B7195" s="29"/>
      <c r="D7195" s="29"/>
      <c r="E7195" s="20"/>
      <c r="F7195" s="20"/>
      <c r="AC7195" s="20"/>
      <c r="AG7195" s="29"/>
    </row>
    <row r="7196" spans="2:33">
      <c r="B7196" s="29"/>
      <c r="D7196" s="29"/>
      <c r="E7196" s="20"/>
      <c r="F7196" s="20"/>
      <c r="AC7196" s="20"/>
      <c r="AG7196" s="29"/>
    </row>
    <row r="7197" spans="2:33">
      <c r="B7197" s="29"/>
      <c r="D7197" s="29"/>
      <c r="E7197" s="20"/>
      <c r="F7197" s="20"/>
      <c r="AC7197" s="20"/>
      <c r="AG7197" s="29"/>
    </row>
    <row r="7198" spans="2:33">
      <c r="B7198" s="29"/>
      <c r="D7198" s="29"/>
      <c r="E7198" s="20"/>
      <c r="F7198" s="20"/>
      <c r="AC7198" s="20"/>
      <c r="AG7198" s="29"/>
    </row>
    <row r="7199" spans="2:33">
      <c r="B7199" s="29"/>
      <c r="D7199" s="29"/>
      <c r="E7199" s="20"/>
      <c r="F7199" s="20"/>
      <c r="AC7199" s="20"/>
      <c r="AG7199" s="29"/>
    </row>
    <row r="7200" spans="2:33">
      <c r="B7200" s="29"/>
      <c r="D7200" s="29"/>
      <c r="E7200" s="20"/>
      <c r="F7200" s="20"/>
      <c r="AC7200" s="20"/>
      <c r="AG7200" s="29"/>
    </row>
    <row r="7201" spans="2:33">
      <c r="B7201" s="29"/>
      <c r="D7201" s="29"/>
      <c r="E7201" s="20"/>
      <c r="F7201" s="20"/>
      <c r="AC7201" s="20"/>
      <c r="AG7201" s="29"/>
    </row>
    <row r="7202" spans="2:33">
      <c r="B7202" s="29"/>
      <c r="D7202" s="29"/>
      <c r="E7202" s="20"/>
      <c r="F7202" s="20"/>
      <c r="AC7202" s="20"/>
      <c r="AG7202" s="29"/>
    </row>
    <row r="7203" spans="2:33">
      <c r="B7203" s="29"/>
      <c r="D7203" s="29"/>
      <c r="E7203" s="20"/>
      <c r="F7203" s="20"/>
      <c r="AC7203" s="20"/>
      <c r="AG7203" s="29"/>
    </row>
    <row r="7204" spans="2:33">
      <c r="B7204" s="29"/>
      <c r="D7204" s="29"/>
      <c r="E7204" s="20"/>
      <c r="F7204" s="20"/>
      <c r="AC7204" s="20"/>
      <c r="AG7204" s="29"/>
    </row>
    <row r="7205" spans="2:33">
      <c r="B7205" s="29"/>
      <c r="D7205" s="29"/>
      <c r="E7205" s="20"/>
      <c r="F7205" s="20"/>
      <c r="AC7205" s="20"/>
      <c r="AG7205" s="29"/>
    </row>
    <row r="7206" spans="2:33">
      <c r="B7206" s="29"/>
      <c r="D7206" s="29"/>
      <c r="E7206" s="20"/>
      <c r="F7206" s="20"/>
      <c r="AC7206" s="20"/>
      <c r="AG7206" s="29"/>
    </row>
    <row r="7207" spans="2:33">
      <c r="B7207" s="29"/>
      <c r="D7207" s="29"/>
      <c r="E7207" s="20"/>
      <c r="F7207" s="20"/>
      <c r="AC7207" s="20"/>
      <c r="AG7207" s="29"/>
    </row>
    <row r="7208" spans="2:33">
      <c r="B7208" s="29"/>
      <c r="D7208" s="29"/>
      <c r="E7208" s="20"/>
      <c r="F7208" s="20"/>
      <c r="AC7208" s="20"/>
      <c r="AG7208" s="29"/>
    </row>
    <row r="7209" spans="2:33">
      <c r="B7209" s="29"/>
      <c r="D7209" s="29"/>
      <c r="E7209" s="20"/>
      <c r="F7209" s="20"/>
      <c r="AC7209" s="20"/>
      <c r="AG7209" s="29"/>
    </row>
    <row r="7210" spans="2:33">
      <c r="B7210" s="29"/>
      <c r="D7210" s="29"/>
      <c r="E7210" s="20"/>
      <c r="F7210" s="20"/>
      <c r="AC7210" s="20"/>
      <c r="AG7210" s="29"/>
    </row>
    <row r="7211" spans="2:33">
      <c r="B7211" s="29"/>
      <c r="D7211" s="29"/>
      <c r="E7211" s="20"/>
      <c r="F7211" s="20"/>
      <c r="AC7211" s="20"/>
      <c r="AG7211" s="29"/>
    </row>
    <row r="7212" spans="2:33">
      <c r="B7212" s="29"/>
      <c r="D7212" s="29"/>
      <c r="E7212" s="20"/>
      <c r="F7212" s="20"/>
      <c r="AC7212" s="20"/>
      <c r="AG7212" s="29"/>
    </row>
    <row r="7213" spans="2:33">
      <c r="B7213" s="29"/>
      <c r="D7213" s="29"/>
      <c r="E7213" s="20"/>
      <c r="F7213" s="20"/>
      <c r="AC7213" s="20"/>
      <c r="AG7213" s="29"/>
    </row>
    <row r="7214" spans="2:33">
      <c r="B7214" s="29"/>
      <c r="D7214" s="29"/>
      <c r="E7214" s="20"/>
      <c r="F7214" s="20"/>
      <c r="AC7214" s="20"/>
      <c r="AG7214" s="29"/>
    </row>
    <row r="7215" spans="2:33">
      <c r="B7215" s="29"/>
      <c r="D7215" s="29"/>
      <c r="E7215" s="20"/>
      <c r="F7215" s="20"/>
      <c r="AC7215" s="20"/>
      <c r="AG7215" s="29"/>
    </row>
    <row r="7216" spans="2:33">
      <c r="B7216" s="29"/>
      <c r="D7216" s="29"/>
      <c r="E7216" s="20"/>
      <c r="F7216" s="20"/>
      <c r="AC7216" s="20"/>
      <c r="AG7216" s="29"/>
    </row>
    <row r="7217" spans="2:33">
      <c r="B7217" s="29"/>
      <c r="D7217" s="29"/>
      <c r="E7217" s="20"/>
      <c r="F7217" s="20"/>
      <c r="AC7217" s="20"/>
      <c r="AG7217" s="29"/>
    </row>
    <row r="7218" spans="2:33">
      <c r="B7218" s="29"/>
      <c r="D7218" s="29"/>
      <c r="E7218" s="20"/>
      <c r="F7218" s="20"/>
      <c r="AC7218" s="20"/>
      <c r="AG7218" s="29"/>
    </row>
    <row r="7219" spans="2:33">
      <c r="B7219" s="29"/>
      <c r="D7219" s="29"/>
      <c r="E7219" s="20"/>
      <c r="F7219" s="20"/>
      <c r="AC7219" s="20"/>
      <c r="AG7219" s="29"/>
    </row>
    <row r="7220" spans="2:33">
      <c r="B7220" s="29"/>
      <c r="D7220" s="29"/>
      <c r="E7220" s="20"/>
      <c r="F7220" s="20"/>
      <c r="AC7220" s="20"/>
      <c r="AG7220" s="29"/>
    </row>
    <row r="7221" spans="2:33">
      <c r="B7221" s="29"/>
      <c r="D7221" s="29"/>
      <c r="E7221" s="20"/>
      <c r="F7221" s="20"/>
      <c r="AC7221" s="20"/>
      <c r="AG7221" s="29"/>
    </row>
    <row r="7222" spans="2:33">
      <c r="B7222" s="29"/>
      <c r="D7222" s="29"/>
      <c r="E7222" s="20"/>
      <c r="F7222" s="20"/>
      <c r="AC7222" s="20"/>
      <c r="AG7222" s="29"/>
    </row>
    <row r="7223" spans="2:33">
      <c r="B7223" s="29"/>
      <c r="D7223" s="29"/>
      <c r="E7223" s="20"/>
      <c r="F7223" s="20"/>
      <c r="AC7223" s="20"/>
      <c r="AG7223" s="29"/>
    </row>
    <row r="7224" spans="2:33">
      <c r="B7224" s="29"/>
      <c r="D7224" s="29"/>
      <c r="E7224" s="20"/>
      <c r="F7224" s="20"/>
      <c r="AC7224" s="20"/>
      <c r="AG7224" s="29"/>
    </row>
    <row r="7225" spans="2:33">
      <c r="B7225" s="29"/>
      <c r="D7225" s="29"/>
      <c r="E7225" s="20"/>
      <c r="F7225" s="20"/>
      <c r="AC7225" s="20"/>
      <c r="AG7225" s="29"/>
    </row>
    <row r="7226" spans="2:33">
      <c r="B7226" s="29"/>
      <c r="D7226" s="29"/>
      <c r="E7226" s="20"/>
      <c r="F7226" s="20"/>
      <c r="AC7226" s="20"/>
      <c r="AG7226" s="29"/>
    </row>
    <row r="7227" spans="2:33">
      <c r="B7227" s="29"/>
      <c r="D7227" s="29"/>
      <c r="E7227" s="20"/>
      <c r="F7227" s="20"/>
      <c r="AC7227" s="20"/>
      <c r="AG7227" s="29"/>
    </row>
    <row r="7228" spans="2:33">
      <c r="B7228" s="29"/>
      <c r="D7228" s="29"/>
      <c r="E7228" s="20"/>
      <c r="F7228" s="20"/>
      <c r="AC7228" s="20"/>
      <c r="AG7228" s="29"/>
    </row>
    <row r="7229" spans="2:33">
      <c r="B7229" s="29"/>
      <c r="D7229" s="29"/>
      <c r="E7229" s="20"/>
      <c r="F7229" s="20"/>
      <c r="AC7229" s="20"/>
      <c r="AG7229" s="29"/>
    </row>
    <row r="7230" spans="2:33">
      <c r="B7230" s="29"/>
      <c r="D7230" s="29"/>
      <c r="E7230" s="20"/>
      <c r="F7230" s="20"/>
      <c r="AC7230" s="20"/>
      <c r="AG7230" s="29"/>
    </row>
    <row r="7231" spans="2:33">
      <c r="B7231" s="29"/>
      <c r="D7231" s="29"/>
      <c r="E7231" s="20"/>
      <c r="F7231" s="20"/>
      <c r="AC7231" s="20"/>
      <c r="AG7231" s="29"/>
    </row>
    <row r="7232" spans="2:33">
      <c r="B7232" s="29"/>
      <c r="D7232" s="29"/>
      <c r="E7232" s="20"/>
      <c r="F7232" s="20"/>
      <c r="AC7232" s="20"/>
      <c r="AG7232" s="29"/>
    </row>
    <row r="7233" spans="2:33">
      <c r="B7233" s="29"/>
      <c r="D7233" s="29"/>
      <c r="E7233" s="20"/>
      <c r="F7233" s="20"/>
      <c r="AC7233" s="20"/>
      <c r="AG7233" s="29"/>
    </row>
    <row r="7234" spans="2:33">
      <c r="B7234" s="29"/>
      <c r="D7234" s="29"/>
      <c r="E7234" s="20"/>
      <c r="F7234" s="20"/>
      <c r="AC7234" s="20"/>
      <c r="AG7234" s="29"/>
    </row>
    <row r="7235" spans="2:33">
      <c r="B7235" s="29"/>
      <c r="D7235" s="29"/>
      <c r="E7235" s="20"/>
      <c r="F7235" s="20"/>
      <c r="AC7235" s="20"/>
      <c r="AG7235" s="29"/>
    </row>
    <row r="7236" spans="2:33">
      <c r="B7236" s="29"/>
      <c r="D7236" s="29"/>
      <c r="E7236" s="20"/>
      <c r="F7236" s="20"/>
      <c r="AC7236" s="20"/>
      <c r="AG7236" s="29"/>
    </row>
    <row r="7237" spans="2:33">
      <c r="B7237" s="29"/>
      <c r="D7237" s="29"/>
      <c r="E7237" s="20"/>
      <c r="F7237" s="20"/>
      <c r="AC7237" s="20"/>
      <c r="AG7237" s="29"/>
    </row>
    <row r="7238" spans="2:33">
      <c r="B7238" s="29"/>
      <c r="D7238" s="29"/>
      <c r="E7238" s="20"/>
      <c r="F7238" s="20"/>
      <c r="AC7238" s="20"/>
      <c r="AG7238" s="29"/>
    </row>
    <row r="7239" spans="2:33">
      <c r="B7239" s="29"/>
      <c r="D7239" s="29"/>
      <c r="E7239" s="20"/>
      <c r="F7239" s="20"/>
      <c r="AC7239" s="20"/>
      <c r="AG7239" s="29"/>
    </row>
    <row r="7240" spans="2:33">
      <c r="B7240" s="29"/>
      <c r="D7240" s="29"/>
      <c r="E7240" s="20"/>
      <c r="F7240" s="20"/>
      <c r="AC7240" s="20"/>
      <c r="AG7240" s="29"/>
    </row>
    <row r="7241" spans="2:33">
      <c r="B7241" s="29"/>
      <c r="D7241" s="29"/>
      <c r="E7241" s="20"/>
      <c r="F7241" s="20"/>
      <c r="AC7241" s="20"/>
      <c r="AG7241" s="29"/>
    </row>
    <row r="7242" spans="2:33">
      <c r="B7242" s="29"/>
      <c r="D7242" s="29"/>
      <c r="E7242" s="20"/>
      <c r="F7242" s="20"/>
      <c r="AC7242" s="20"/>
      <c r="AG7242" s="29"/>
    </row>
    <row r="7243" spans="2:33">
      <c r="B7243" s="29"/>
      <c r="D7243" s="29"/>
      <c r="E7243" s="20"/>
      <c r="F7243" s="20"/>
      <c r="AC7243" s="20"/>
      <c r="AG7243" s="29"/>
    </row>
    <row r="7244" spans="2:33">
      <c r="B7244" s="29"/>
      <c r="D7244" s="29"/>
      <c r="E7244" s="20"/>
      <c r="F7244" s="20"/>
      <c r="AC7244" s="20"/>
      <c r="AG7244" s="29"/>
    </row>
    <row r="7245" spans="2:33">
      <c r="B7245" s="29"/>
      <c r="D7245" s="29"/>
      <c r="E7245" s="20"/>
      <c r="F7245" s="20"/>
      <c r="AC7245" s="20"/>
      <c r="AG7245" s="29"/>
    </row>
    <row r="7246" spans="2:33">
      <c r="B7246" s="29"/>
      <c r="D7246" s="29"/>
      <c r="E7246" s="20"/>
      <c r="F7246" s="20"/>
      <c r="AC7246" s="20"/>
      <c r="AG7246" s="29"/>
    </row>
    <row r="7247" spans="2:33">
      <c r="B7247" s="29"/>
      <c r="D7247" s="29"/>
      <c r="E7247" s="20"/>
      <c r="F7247" s="20"/>
      <c r="AC7247" s="20"/>
      <c r="AG7247" s="29"/>
    </row>
    <row r="7248" spans="2:33">
      <c r="B7248" s="29"/>
      <c r="D7248" s="29"/>
      <c r="E7248" s="20"/>
      <c r="F7248" s="20"/>
      <c r="AC7248" s="20"/>
      <c r="AG7248" s="29"/>
    </row>
    <row r="7249" spans="2:33">
      <c r="B7249" s="29"/>
      <c r="D7249" s="29"/>
      <c r="E7249" s="20"/>
      <c r="F7249" s="20"/>
      <c r="AC7249" s="20"/>
      <c r="AG7249" s="29"/>
    </row>
    <row r="7250" spans="2:33">
      <c r="B7250" s="29"/>
      <c r="D7250" s="29"/>
      <c r="E7250" s="20"/>
      <c r="F7250" s="20"/>
      <c r="AC7250" s="20"/>
      <c r="AG7250" s="29"/>
    </row>
    <row r="7251" spans="2:33">
      <c r="B7251" s="29"/>
      <c r="D7251" s="29"/>
      <c r="E7251" s="20"/>
      <c r="F7251" s="20"/>
      <c r="AC7251" s="20"/>
      <c r="AG7251" s="29"/>
    </row>
    <row r="7252" spans="2:33">
      <c r="B7252" s="29"/>
      <c r="D7252" s="29"/>
      <c r="E7252" s="20"/>
      <c r="F7252" s="20"/>
      <c r="AC7252" s="20"/>
      <c r="AG7252" s="29"/>
    </row>
    <row r="7253" spans="2:33">
      <c r="B7253" s="29"/>
      <c r="D7253" s="29"/>
      <c r="E7253" s="20"/>
      <c r="F7253" s="20"/>
      <c r="AC7253" s="20"/>
      <c r="AG7253" s="29"/>
    </row>
    <row r="7254" spans="2:33">
      <c r="B7254" s="29"/>
      <c r="D7254" s="29"/>
      <c r="E7254" s="20"/>
      <c r="F7254" s="20"/>
      <c r="AC7254" s="20"/>
      <c r="AG7254" s="29"/>
    </row>
    <row r="7255" spans="2:33">
      <c r="B7255" s="29"/>
      <c r="D7255" s="29"/>
      <c r="E7255" s="20"/>
      <c r="F7255" s="20"/>
      <c r="AC7255" s="20"/>
      <c r="AG7255" s="29"/>
    </row>
    <row r="7256" spans="2:33">
      <c r="B7256" s="29"/>
      <c r="D7256" s="29"/>
      <c r="E7256" s="20"/>
      <c r="F7256" s="20"/>
      <c r="AC7256" s="20"/>
      <c r="AG7256" s="29"/>
    </row>
    <row r="7257" spans="2:33">
      <c r="B7257" s="29"/>
      <c r="D7257" s="29"/>
      <c r="E7257" s="20"/>
      <c r="F7257" s="20"/>
      <c r="AC7257" s="20"/>
      <c r="AG7257" s="29"/>
    </row>
    <row r="7258" spans="2:33">
      <c r="B7258" s="29"/>
      <c r="D7258" s="29"/>
      <c r="E7258" s="20"/>
      <c r="F7258" s="20"/>
      <c r="AC7258" s="20"/>
      <c r="AG7258" s="29"/>
    </row>
    <row r="7259" spans="2:33">
      <c r="B7259" s="29"/>
      <c r="D7259" s="29"/>
      <c r="E7259" s="20"/>
      <c r="F7259" s="20"/>
      <c r="AC7259" s="20"/>
      <c r="AG7259" s="29"/>
    </row>
    <row r="7260" spans="2:33">
      <c r="B7260" s="29"/>
      <c r="D7260" s="29"/>
      <c r="E7260" s="20"/>
      <c r="F7260" s="20"/>
      <c r="AC7260" s="20"/>
      <c r="AG7260" s="29"/>
    </row>
    <row r="7261" spans="2:33">
      <c r="B7261" s="29"/>
      <c r="D7261" s="29"/>
      <c r="E7261" s="20"/>
      <c r="F7261" s="20"/>
      <c r="AC7261" s="20"/>
      <c r="AG7261" s="29"/>
    </row>
    <row r="7262" spans="2:33">
      <c r="B7262" s="29"/>
      <c r="D7262" s="29"/>
      <c r="E7262" s="20"/>
      <c r="F7262" s="20"/>
      <c r="AC7262" s="20"/>
      <c r="AG7262" s="29"/>
    </row>
    <row r="7263" spans="2:33">
      <c r="B7263" s="29"/>
      <c r="D7263" s="29"/>
      <c r="E7263" s="20"/>
      <c r="F7263" s="20"/>
      <c r="AC7263" s="20"/>
      <c r="AG7263" s="29"/>
    </row>
    <row r="7264" spans="2:33">
      <c r="B7264" s="29"/>
      <c r="D7264" s="29"/>
      <c r="E7264" s="20"/>
      <c r="F7264" s="20"/>
      <c r="AC7264" s="20"/>
      <c r="AG7264" s="29"/>
    </row>
    <row r="7265" spans="2:33">
      <c r="B7265" s="29"/>
      <c r="D7265" s="29"/>
      <c r="E7265" s="20"/>
      <c r="F7265" s="20"/>
      <c r="AC7265" s="20"/>
      <c r="AG7265" s="29"/>
    </row>
    <row r="7266" spans="2:33">
      <c r="B7266" s="29"/>
      <c r="D7266" s="29"/>
      <c r="E7266" s="20"/>
      <c r="F7266" s="20"/>
      <c r="AC7266" s="20"/>
      <c r="AG7266" s="29"/>
    </row>
    <row r="7267" spans="2:33">
      <c r="B7267" s="29"/>
      <c r="D7267" s="29"/>
      <c r="E7267" s="20"/>
      <c r="F7267" s="20"/>
      <c r="AC7267" s="20"/>
      <c r="AG7267" s="29"/>
    </row>
    <row r="7268" spans="2:33">
      <c r="B7268" s="29"/>
      <c r="D7268" s="29"/>
      <c r="E7268" s="20"/>
      <c r="F7268" s="20"/>
      <c r="AC7268" s="20"/>
      <c r="AG7268" s="29"/>
    </row>
    <row r="7269" spans="2:33">
      <c r="B7269" s="29"/>
      <c r="D7269" s="29"/>
      <c r="E7269" s="20"/>
      <c r="F7269" s="20"/>
      <c r="AC7269" s="20"/>
      <c r="AG7269" s="29"/>
    </row>
    <row r="7270" spans="2:33">
      <c r="B7270" s="29"/>
      <c r="D7270" s="29"/>
      <c r="E7270" s="20"/>
      <c r="F7270" s="20"/>
      <c r="AC7270" s="20"/>
      <c r="AG7270" s="29"/>
    </row>
    <row r="7271" spans="2:33">
      <c r="B7271" s="29"/>
      <c r="D7271" s="29"/>
      <c r="E7271" s="20"/>
      <c r="F7271" s="20"/>
      <c r="AC7271" s="20"/>
      <c r="AG7271" s="29"/>
    </row>
    <row r="7272" spans="2:33">
      <c r="B7272" s="29"/>
      <c r="D7272" s="29"/>
      <c r="E7272" s="20"/>
      <c r="F7272" s="20"/>
      <c r="AC7272" s="20"/>
      <c r="AG7272" s="29"/>
    </row>
    <row r="7273" spans="2:33">
      <c r="B7273" s="29"/>
      <c r="D7273" s="29"/>
      <c r="E7273" s="20"/>
      <c r="F7273" s="20"/>
      <c r="AC7273" s="20"/>
      <c r="AG7273" s="29"/>
    </row>
    <row r="7274" spans="2:33">
      <c r="B7274" s="29"/>
      <c r="D7274" s="29"/>
      <c r="E7274" s="20"/>
      <c r="F7274" s="20"/>
      <c r="AC7274" s="20"/>
      <c r="AG7274" s="29"/>
    </row>
    <row r="7275" spans="2:33">
      <c r="B7275" s="29"/>
      <c r="D7275" s="29"/>
      <c r="E7275" s="20"/>
      <c r="F7275" s="20"/>
      <c r="AC7275" s="20"/>
      <c r="AG7275" s="29"/>
    </row>
    <row r="7276" spans="2:33">
      <c r="B7276" s="29"/>
      <c r="D7276" s="29"/>
      <c r="E7276" s="20"/>
      <c r="F7276" s="20"/>
      <c r="AC7276" s="20"/>
      <c r="AG7276" s="29"/>
    </row>
    <row r="7277" spans="2:33">
      <c r="B7277" s="29"/>
      <c r="D7277" s="29"/>
      <c r="E7277" s="20"/>
      <c r="F7277" s="20"/>
      <c r="AC7277" s="20"/>
      <c r="AG7277" s="29"/>
    </row>
    <row r="7278" spans="2:33">
      <c r="B7278" s="29"/>
      <c r="D7278" s="29"/>
      <c r="E7278" s="20"/>
      <c r="F7278" s="20"/>
      <c r="AC7278" s="20"/>
      <c r="AG7278" s="29"/>
    </row>
    <row r="7279" spans="2:33">
      <c r="B7279" s="29"/>
      <c r="D7279" s="29"/>
      <c r="E7279" s="20"/>
      <c r="F7279" s="20"/>
      <c r="AC7279" s="20"/>
      <c r="AG7279" s="29"/>
    </row>
    <row r="7280" spans="2:33">
      <c r="B7280" s="29"/>
      <c r="D7280" s="29"/>
      <c r="E7280" s="20"/>
      <c r="F7280" s="20"/>
      <c r="AC7280" s="20"/>
      <c r="AG7280" s="29"/>
    </row>
    <row r="7281" spans="2:33">
      <c r="B7281" s="29"/>
      <c r="D7281" s="29"/>
      <c r="E7281" s="20"/>
      <c r="F7281" s="20"/>
      <c r="AC7281" s="20"/>
      <c r="AG7281" s="29"/>
    </row>
    <row r="7282" spans="2:33">
      <c r="B7282" s="29"/>
      <c r="D7282" s="29"/>
      <c r="E7282" s="20"/>
      <c r="F7282" s="20"/>
      <c r="AC7282" s="20"/>
      <c r="AG7282" s="29"/>
    </row>
    <row r="7283" spans="2:33">
      <c r="B7283" s="29"/>
      <c r="D7283" s="29"/>
      <c r="E7283" s="20"/>
      <c r="F7283" s="20"/>
      <c r="AC7283" s="20"/>
      <c r="AG7283" s="29"/>
    </row>
    <row r="7284" spans="2:33">
      <c r="B7284" s="29"/>
      <c r="D7284" s="29"/>
      <c r="E7284" s="20"/>
      <c r="F7284" s="20"/>
      <c r="AC7284" s="20"/>
      <c r="AG7284" s="29"/>
    </row>
    <row r="7285" spans="2:33">
      <c r="B7285" s="29"/>
      <c r="D7285" s="29"/>
      <c r="E7285" s="20"/>
      <c r="F7285" s="20"/>
      <c r="AC7285" s="20"/>
      <c r="AG7285" s="29"/>
    </row>
    <row r="7286" spans="2:33">
      <c r="B7286" s="29"/>
      <c r="D7286" s="29"/>
      <c r="E7286" s="20"/>
      <c r="F7286" s="20"/>
      <c r="AC7286" s="20"/>
      <c r="AG7286" s="29"/>
    </row>
    <row r="7287" spans="2:33">
      <c r="B7287" s="29"/>
      <c r="D7287" s="29"/>
      <c r="E7287" s="20"/>
      <c r="F7287" s="20"/>
      <c r="AC7287" s="20"/>
      <c r="AG7287" s="29"/>
    </row>
    <row r="7288" spans="2:33">
      <c r="B7288" s="29"/>
      <c r="D7288" s="29"/>
      <c r="E7288" s="20"/>
      <c r="F7288" s="20"/>
      <c r="AC7288" s="20"/>
      <c r="AG7288" s="29"/>
    </row>
    <row r="7289" spans="2:33">
      <c r="B7289" s="29"/>
      <c r="D7289" s="29"/>
      <c r="E7289" s="20"/>
      <c r="F7289" s="20"/>
      <c r="AC7289" s="20"/>
      <c r="AG7289" s="29"/>
    </row>
    <row r="7290" spans="2:33">
      <c r="B7290" s="29"/>
      <c r="D7290" s="29"/>
      <c r="E7290" s="20"/>
      <c r="F7290" s="20"/>
      <c r="AC7290" s="20"/>
      <c r="AG7290" s="29"/>
    </row>
    <row r="7291" spans="2:33">
      <c r="B7291" s="29"/>
      <c r="D7291" s="29"/>
      <c r="E7291" s="20"/>
      <c r="F7291" s="20"/>
      <c r="AC7291" s="20"/>
      <c r="AG7291" s="29"/>
    </row>
    <row r="7292" spans="2:33">
      <c r="B7292" s="29"/>
      <c r="D7292" s="29"/>
      <c r="E7292" s="20"/>
      <c r="F7292" s="20"/>
      <c r="AC7292" s="20"/>
      <c r="AG7292" s="29"/>
    </row>
    <row r="7293" spans="2:33">
      <c r="B7293" s="29"/>
      <c r="D7293" s="29"/>
      <c r="E7293" s="20"/>
      <c r="F7293" s="20"/>
      <c r="AC7293" s="20"/>
      <c r="AG7293" s="29"/>
    </row>
    <row r="7294" spans="2:33">
      <c r="B7294" s="29"/>
      <c r="D7294" s="29"/>
      <c r="E7294" s="20"/>
      <c r="F7294" s="20"/>
      <c r="AC7294" s="20"/>
      <c r="AG7294" s="29"/>
    </row>
    <row r="7295" spans="2:33">
      <c r="B7295" s="29"/>
      <c r="D7295" s="29"/>
      <c r="E7295" s="20"/>
      <c r="F7295" s="20"/>
      <c r="AC7295" s="20"/>
      <c r="AG7295" s="29"/>
    </row>
    <row r="7296" spans="2:33">
      <c r="B7296" s="29"/>
      <c r="D7296" s="29"/>
      <c r="E7296" s="20"/>
      <c r="F7296" s="20"/>
      <c r="AC7296" s="20"/>
      <c r="AG7296" s="29"/>
    </row>
    <row r="7297" spans="2:33">
      <c r="B7297" s="29"/>
      <c r="D7297" s="29"/>
      <c r="E7297" s="20"/>
      <c r="F7297" s="20"/>
      <c r="AC7297" s="20"/>
      <c r="AG7297" s="29"/>
    </row>
    <row r="7298" spans="2:33">
      <c r="B7298" s="29"/>
      <c r="D7298" s="29"/>
      <c r="E7298" s="20"/>
      <c r="F7298" s="20"/>
      <c r="AC7298" s="20"/>
      <c r="AG7298" s="29"/>
    </row>
    <row r="7299" spans="2:33">
      <c r="B7299" s="29"/>
      <c r="D7299" s="29"/>
      <c r="E7299" s="20"/>
      <c r="F7299" s="20"/>
      <c r="AC7299" s="20"/>
      <c r="AG7299" s="29"/>
    </row>
    <row r="7300" spans="2:33">
      <c r="B7300" s="29"/>
      <c r="D7300" s="29"/>
      <c r="E7300" s="20"/>
      <c r="F7300" s="20"/>
      <c r="AC7300" s="20"/>
      <c r="AG7300" s="29"/>
    </row>
    <row r="7301" spans="2:33">
      <c r="B7301" s="29"/>
      <c r="D7301" s="29"/>
      <c r="E7301" s="20"/>
      <c r="F7301" s="20"/>
      <c r="AC7301" s="20"/>
      <c r="AG7301" s="29"/>
    </row>
    <row r="7302" spans="2:33">
      <c r="B7302" s="29"/>
      <c r="D7302" s="29"/>
      <c r="E7302" s="20"/>
      <c r="F7302" s="20"/>
      <c r="AC7302" s="20"/>
      <c r="AG7302" s="29"/>
    </row>
    <row r="7303" spans="2:33">
      <c r="B7303" s="29"/>
      <c r="D7303" s="29"/>
      <c r="E7303" s="20"/>
      <c r="F7303" s="20"/>
      <c r="AC7303" s="20"/>
      <c r="AG7303" s="29"/>
    </row>
    <row r="7304" spans="2:33">
      <c r="B7304" s="29"/>
      <c r="D7304" s="29"/>
      <c r="E7304" s="20"/>
      <c r="F7304" s="20"/>
      <c r="AC7304" s="20"/>
      <c r="AG7304" s="29"/>
    </row>
    <row r="7305" spans="2:33">
      <c r="B7305" s="29"/>
      <c r="D7305" s="29"/>
      <c r="E7305" s="20"/>
      <c r="F7305" s="20"/>
      <c r="AC7305" s="20"/>
      <c r="AG7305" s="29"/>
    </row>
    <row r="7306" spans="2:33">
      <c r="B7306" s="29"/>
      <c r="D7306" s="29"/>
      <c r="E7306" s="20"/>
      <c r="F7306" s="20"/>
      <c r="AC7306" s="20"/>
      <c r="AG7306" s="29"/>
    </row>
    <row r="7307" spans="2:33">
      <c r="B7307" s="29"/>
      <c r="D7307" s="29"/>
      <c r="E7307" s="20"/>
      <c r="F7307" s="20"/>
      <c r="AC7307" s="20"/>
      <c r="AG7307" s="29"/>
    </row>
    <row r="7308" spans="2:33">
      <c r="B7308" s="29"/>
      <c r="D7308" s="29"/>
      <c r="E7308" s="20"/>
      <c r="F7308" s="20"/>
      <c r="AC7308" s="20"/>
      <c r="AG7308" s="29"/>
    </row>
    <row r="7309" spans="2:33">
      <c r="B7309" s="29"/>
      <c r="D7309" s="29"/>
      <c r="E7309" s="20"/>
      <c r="F7309" s="20"/>
      <c r="AC7309" s="20"/>
      <c r="AG7309" s="29"/>
    </row>
    <row r="7310" spans="2:33">
      <c r="B7310" s="29"/>
      <c r="D7310" s="29"/>
      <c r="E7310" s="20"/>
      <c r="F7310" s="20"/>
      <c r="AC7310" s="20"/>
      <c r="AG7310" s="29"/>
    </row>
    <row r="7311" spans="2:33">
      <c r="B7311" s="29"/>
      <c r="D7311" s="29"/>
      <c r="E7311" s="20"/>
      <c r="F7311" s="20"/>
      <c r="AC7311" s="20"/>
      <c r="AG7311" s="29"/>
    </row>
    <row r="7312" spans="2:33">
      <c r="B7312" s="29"/>
      <c r="D7312" s="29"/>
      <c r="E7312" s="20"/>
      <c r="F7312" s="20"/>
      <c r="AC7312" s="20"/>
      <c r="AG7312" s="29"/>
    </row>
    <row r="7313" spans="2:33">
      <c r="B7313" s="29"/>
      <c r="D7313" s="29"/>
      <c r="E7313" s="20"/>
      <c r="F7313" s="20"/>
      <c r="AC7313" s="20"/>
      <c r="AG7313" s="29"/>
    </row>
    <row r="7314" spans="2:33">
      <c r="B7314" s="29"/>
      <c r="D7314" s="29"/>
      <c r="E7314" s="20"/>
      <c r="F7314" s="20"/>
      <c r="AC7314" s="20"/>
      <c r="AG7314" s="29"/>
    </row>
    <row r="7315" spans="2:33">
      <c r="B7315" s="29"/>
      <c r="D7315" s="29"/>
      <c r="E7315" s="20"/>
      <c r="F7315" s="20"/>
      <c r="AC7315" s="20"/>
      <c r="AG7315" s="29"/>
    </row>
    <row r="7316" spans="2:33">
      <c r="B7316" s="29"/>
      <c r="D7316" s="29"/>
      <c r="E7316" s="20"/>
      <c r="F7316" s="20"/>
      <c r="AC7316" s="20"/>
      <c r="AG7316" s="29"/>
    </row>
    <row r="7317" spans="2:33">
      <c r="B7317" s="29"/>
      <c r="D7317" s="29"/>
      <c r="E7317" s="20"/>
      <c r="F7317" s="20"/>
      <c r="AC7317" s="20"/>
      <c r="AG7317" s="29"/>
    </row>
    <row r="7318" spans="2:33">
      <c r="B7318" s="29"/>
      <c r="D7318" s="29"/>
      <c r="E7318" s="20"/>
      <c r="F7318" s="20"/>
      <c r="AC7318" s="20"/>
      <c r="AG7318" s="29"/>
    </row>
    <row r="7319" spans="2:33">
      <c r="B7319" s="29"/>
      <c r="D7319" s="29"/>
      <c r="E7319" s="20"/>
      <c r="F7319" s="20"/>
      <c r="AC7319" s="20"/>
      <c r="AG7319" s="29"/>
    </row>
    <row r="7320" spans="2:33">
      <c r="B7320" s="29"/>
      <c r="D7320" s="29"/>
      <c r="E7320" s="20"/>
      <c r="F7320" s="20"/>
      <c r="AC7320" s="20"/>
      <c r="AG7320" s="29"/>
    </row>
    <row r="7321" spans="2:33">
      <c r="B7321" s="29"/>
      <c r="D7321" s="29"/>
      <c r="E7321" s="20"/>
      <c r="F7321" s="20"/>
      <c r="AC7321" s="20"/>
      <c r="AG7321" s="29"/>
    </row>
    <row r="7322" spans="2:33">
      <c r="B7322" s="29"/>
      <c r="D7322" s="29"/>
      <c r="E7322" s="20"/>
      <c r="F7322" s="20"/>
      <c r="AC7322" s="20"/>
      <c r="AG7322" s="29"/>
    </row>
    <row r="7323" spans="2:33">
      <c r="B7323" s="29"/>
      <c r="D7323" s="29"/>
      <c r="E7323" s="20"/>
      <c r="F7323" s="20"/>
      <c r="AC7323" s="20"/>
      <c r="AG7323" s="29"/>
    </row>
    <row r="7324" spans="2:33">
      <c r="B7324" s="29"/>
      <c r="D7324" s="29"/>
      <c r="E7324" s="20"/>
      <c r="F7324" s="20"/>
      <c r="AC7324" s="20"/>
      <c r="AG7324" s="29"/>
    </row>
    <row r="7325" spans="2:33">
      <c r="B7325" s="29"/>
      <c r="D7325" s="29"/>
      <c r="E7325" s="20"/>
      <c r="F7325" s="20"/>
      <c r="AC7325" s="20"/>
      <c r="AG7325" s="29"/>
    </row>
    <row r="7326" spans="2:33">
      <c r="B7326" s="29"/>
      <c r="D7326" s="29"/>
      <c r="E7326" s="20"/>
      <c r="F7326" s="20"/>
      <c r="AC7326" s="20"/>
      <c r="AG7326" s="29"/>
    </row>
    <row r="7327" spans="2:33">
      <c r="B7327" s="29"/>
      <c r="D7327" s="29"/>
      <c r="E7327" s="20"/>
      <c r="F7327" s="20"/>
      <c r="AC7327" s="20"/>
      <c r="AG7327" s="29"/>
    </row>
    <row r="7328" spans="2:33">
      <c r="B7328" s="29"/>
      <c r="D7328" s="29"/>
      <c r="E7328" s="20"/>
      <c r="F7328" s="20"/>
      <c r="AC7328" s="20"/>
      <c r="AG7328" s="29"/>
    </row>
    <row r="7329" spans="2:33">
      <c r="B7329" s="29"/>
      <c r="D7329" s="29"/>
      <c r="E7329" s="20"/>
      <c r="F7329" s="20"/>
      <c r="AC7329" s="20"/>
      <c r="AG7329" s="29"/>
    </row>
    <row r="7330" spans="2:33">
      <c r="B7330" s="29"/>
      <c r="D7330" s="29"/>
      <c r="E7330" s="20"/>
      <c r="F7330" s="20"/>
      <c r="AC7330" s="20"/>
      <c r="AG7330" s="29"/>
    </row>
    <row r="7331" spans="2:33">
      <c r="B7331" s="29"/>
      <c r="D7331" s="29"/>
      <c r="E7331" s="20"/>
      <c r="F7331" s="20"/>
      <c r="AC7331" s="20"/>
      <c r="AG7331" s="29"/>
    </row>
    <row r="7332" spans="2:33">
      <c r="B7332" s="29"/>
      <c r="D7332" s="29"/>
      <c r="E7332" s="20"/>
      <c r="F7332" s="20"/>
      <c r="AC7332" s="20"/>
      <c r="AG7332" s="29"/>
    </row>
    <row r="7333" spans="2:33">
      <c r="B7333" s="29"/>
      <c r="D7333" s="29"/>
      <c r="E7333" s="20"/>
      <c r="F7333" s="20"/>
      <c r="AC7333" s="20"/>
      <c r="AG7333" s="29"/>
    </row>
    <row r="7334" spans="2:33">
      <c r="B7334" s="29"/>
      <c r="D7334" s="29"/>
      <c r="E7334" s="20"/>
      <c r="F7334" s="20"/>
      <c r="AC7334" s="20"/>
      <c r="AG7334" s="29"/>
    </row>
    <row r="7335" spans="2:33">
      <c r="B7335" s="29"/>
      <c r="D7335" s="29"/>
      <c r="E7335" s="20"/>
      <c r="F7335" s="20"/>
      <c r="AC7335" s="20"/>
      <c r="AG7335" s="29"/>
    </row>
    <row r="7336" spans="2:33">
      <c r="B7336" s="29"/>
      <c r="D7336" s="29"/>
      <c r="E7336" s="20"/>
      <c r="F7336" s="20"/>
      <c r="AC7336" s="20"/>
      <c r="AG7336" s="29"/>
    </row>
    <row r="7337" spans="2:33">
      <c r="B7337" s="29"/>
      <c r="D7337" s="29"/>
      <c r="E7337" s="20"/>
      <c r="F7337" s="20"/>
      <c r="AC7337" s="20"/>
      <c r="AG7337" s="29"/>
    </row>
    <row r="7338" spans="2:33">
      <c r="B7338" s="29"/>
      <c r="D7338" s="29"/>
      <c r="E7338" s="20"/>
      <c r="F7338" s="20"/>
      <c r="AC7338" s="20"/>
      <c r="AG7338" s="29"/>
    </row>
    <row r="7339" spans="2:33">
      <c r="B7339" s="29"/>
      <c r="D7339" s="29"/>
      <c r="E7339" s="20"/>
      <c r="F7339" s="20"/>
      <c r="AC7339" s="20"/>
      <c r="AG7339" s="29"/>
    </row>
    <row r="7340" spans="2:33">
      <c r="B7340" s="29"/>
      <c r="D7340" s="29"/>
      <c r="E7340" s="20"/>
      <c r="F7340" s="20"/>
      <c r="AC7340" s="20"/>
      <c r="AG7340" s="29"/>
    </row>
    <row r="7341" spans="2:33">
      <c r="B7341" s="29"/>
      <c r="D7341" s="29"/>
      <c r="E7341" s="20"/>
      <c r="F7341" s="20"/>
      <c r="AC7341" s="20"/>
      <c r="AG7341" s="29"/>
    </row>
    <row r="7342" spans="2:33">
      <c r="B7342" s="29"/>
      <c r="D7342" s="29"/>
      <c r="E7342" s="20"/>
      <c r="F7342" s="20"/>
      <c r="AC7342" s="20"/>
      <c r="AG7342" s="29"/>
    </row>
    <row r="7343" spans="2:33">
      <c r="B7343" s="29"/>
      <c r="D7343" s="29"/>
      <c r="E7343" s="20"/>
      <c r="F7343" s="20"/>
      <c r="AC7343" s="20"/>
      <c r="AG7343" s="29"/>
    </row>
    <row r="7344" spans="2:33">
      <c r="B7344" s="29"/>
      <c r="D7344" s="29"/>
      <c r="E7344" s="20"/>
      <c r="F7344" s="20"/>
      <c r="AC7344" s="20"/>
      <c r="AG7344" s="29"/>
    </row>
    <row r="7345" spans="2:33">
      <c r="B7345" s="29"/>
      <c r="D7345" s="29"/>
      <c r="E7345" s="20"/>
      <c r="F7345" s="20"/>
      <c r="AC7345" s="20"/>
      <c r="AG7345" s="29"/>
    </row>
    <row r="7346" spans="2:33">
      <c r="B7346" s="29"/>
      <c r="D7346" s="29"/>
      <c r="E7346" s="20"/>
      <c r="F7346" s="20"/>
      <c r="AC7346" s="20"/>
      <c r="AG7346" s="29"/>
    </row>
    <row r="7347" spans="2:33">
      <c r="B7347" s="29"/>
      <c r="D7347" s="29"/>
      <c r="E7347" s="20"/>
      <c r="F7347" s="20"/>
      <c r="AC7347" s="20"/>
      <c r="AG7347" s="29"/>
    </row>
    <row r="7348" spans="2:33">
      <c r="B7348" s="29"/>
      <c r="D7348" s="29"/>
      <c r="E7348" s="20"/>
      <c r="F7348" s="20"/>
      <c r="AC7348" s="20"/>
      <c r="AG7348" s="29"/>
    </row>
    <row r="7349" spans="2:33">
      <c r="B7349" s="29"/>
      <c r="D7349" s="29"/>
      <c r="E7349" s="20"/>
      <c r="F7349" s="20"/>
      <c r="AC7349" s="20"/>
      <c r="AG7349" s="29"/>
    </row>
    <row r="7350" spans="2:33">
      <c r="B7350" s="29"/>
      <c r="D7350" s="29"/>
      <c r="E7350" s="20"/>
      <c r="F7350" s="20"/>
      <c r="AC7350" s="20"/>
      <c r="AG7350" s="29"/>
    </row>
    <row r="7351" spans="2:33">
      <c r="B7351" s="29"/>
      <c r="D7351" s="29"/>
      <c r="E7351" s="20"/>
      <c r="F7351" s="20"/>
      <c r="AC7351" s="20"/>
      <c r="AG7351" s="29"/>
    </row>
    <row r="7352" spans="2:33">
      <c r="B7352" s="29"/>
      <c r="D7352" s="29"/>
      <c r="E7352" s="20"/>
      <c r="F7352" s="20"/>
      <c r="AC7352" s="20"/>
      <c r="AG7352" s="29"/>
    </row>
    <row r="7353" spans="2:33">
      <c r="B7353" s="29"/>
      <c r="D7353" s="29"/>
      <c r="E7353" s="20"/>
      <c r="F7353" s="20"/>
      <c r="AC7353" s="20"/>
      <c r="AG7353" s="29"/>
    </row>
    <row r="7354" spans="2:33">
      <c r="B7354" s="29"/>
      <c r="D7354" s="29"/>
      <c r="E7354" s="20"/>
      <c r="F7354" s="20"/>
      <c r="AC7354" s="20"/>
      <c r="AG7354" s="29"/>
    </row>
    <row r="7355" spans="2:33">
      <c r="B7355" s="29"/>
      <c r="D7355" s="29"/>
      <c r="E7355" s="20"/>
      <c r="F7355" s="20"/>
      <c r="AC7355" s="20"/>
      <c r="AG7355" s="29"/>
    </row>
    <row r="7356" spans="2:33">
      <c r="B7356" s="29"/>
      <c r="D7356" s="29"/>
      <c r="E7356" s="20"/>
      <c r="F7356" s="20"/>
      <c r="AC7356" s="20"/>
      <c r="AG7356" s="29"/>
    </row>
    <row r="7357" spans="2:33">
      <c r="B7357" s="29"/>
      <c r="D7357" s="29"/>
      <c r="E7357" s="20"/>
      <c r="F7357" s="20"/>
      <c r="AC7357" s="20"/>
      <c r="AG7357" s="29"/>
    </row>
    <row r="7358" spans="2:33">
      <c r="B7358" s="29"/>
      <c r="D7358" s="29"/>
      <c r="E7358" s="20"/>
      <c r="F7358" s="20"/>
      <c r="AC7358" s="20"/>
      <c r="AG7358" s="29"/>
    </row>
    <row r="7359" spans="2:33">
      <c r="B7359" s="29"/>
      <c r="D7359" s="29"/>
      <c r="E7359" s="20"/>
      <c r="F7359" s="20"/>
      <c r="AC7359" s="20"/>
      <c r="AG7359" s="29"/>
    </row>
    <row r="7360" spans="2:33">
      <c r="B7360" s="29"/>
      <c r="D7360" s="29"/>
      <c r="E7360" s="20"/>
      <c r="F7360" s="20"/>
      <c r="AC7360" s="20"/>
      <c r="AG7360" s="29"/>
    </row>
    <row r="7361" spans="2:33">
      <c r="B7361" s="29"/>
      <c r="D7361" s="29"/>
      <c r="E7361" s="20"/>
      <c r="F7361" s="20"/>
      <c r="AC7361" s="20"/>
      <c r="AG7361" s="29"/>
    </row>
    <row r="7362" spans="2:33">
      <c r="B7362" s="29"/>
      <c r="D7362" s="29"/>
      <c r="E7362" s="20"/>
      <c r="F7362" s="20"/>
      <c r="AC7362" s="20"/>
      <c r="AG7362" s="29"/>
    </row>
    <row r="7363" spans="2:33">
      <c r="B7363" s="29"/>
      <c r="D7363" s="29"/>
      <c r="E7363" s="20"/>
      <c r="F7363" s="20"/>
      <c r="AC7363" s="20"/>
      <c r="AG7363" s="29"/>
    </row>
    <row r="7364" spans="2:33">
      <c r="B7364" s="29"/>
      <c r="D7364" s="29"/>
      <c r="E7364" s="20"/>
      <c r="F7364" s="20"/>
      <c r="AC7364" s="20"/>
      <c r="AG7364" s="29"/>
    </row>
    <row r="7365" spans="2:33">
      <c r="B7365" s="29"/>
      <c r="D7365" s="29"/>
      <c r="E7365" s="20"/>
      <c r="F7365" s="20"/>
      <c r="AC7365" s="20"/>
      <c r="AG7365" s="29"/>
    </row>
    <row r="7366" spans="2:33">
      <c r="B7366" s="29"/>
      <c r="D7366" s="29"/>
      <c r="E7366" s="20"/>
      <c r="F7366" s="20"/>
      <c r="AC7366" s="20"/>
      <c r="AG7366" s="29"/>
    </row>
    <row r="7367" spans="2:33">
      <c r="B7367" s="29"/>
      <c r="D7367" s="29"/>
      <c r="E7367" s="20"/>
      <c r="F7367" s="20"/>
      <c r="AC7367" s="20"/>
      <c r="AG7367" s="29"/>
    </row>
    <row r="7368" spans="2:33">
      <c r="B7368" s="29"/>
      <c r="D7368" s="29"/>
      <c r="E7368" s="20"/>
      <c r="F7368" s="20"/>
      <c r="AC7368" s="20"/>
      <c r="AG7368" s="29"/>
    </row>
    <row r="7369" spans="2:33">
      <c r="B7369" s="29"/>
      <c r="D7369" s="29"/>
      <c r="E7369" s="20"/>
      <c r="F7369" s="20"/>
      <c r="AC7369" s="20"/>
      <c r="AG7369" s="29"/>
    </row>
    <row r="7370" spans="2:33">
      <c r="B7370" s="29"/>
      <c r="D7370" s="29"/>
      <c r="E7370" s="20"/>
      <c r="F7370" s="20"/>
      <c r="AC7370" s="20"/>
      <c r="AG7370" s="29"/>
    </row>
    <row r="7371" spans="2:33">
      <c r="B7371" s="29"/>
      <c r="D7371" s="29"/>
      <c r="E7371" s="20"/>
      <c r="F7371" s="20"/>
      <c r="AC7371" s="20"/>
      <c r="AG7371" s="29"/>
    </row>
    <row r="7372" spans="2:33">
      <c r="B7372" s="29"/>
      <c r="D7372" s="29"/>
      <c r="E7372" s="20"/>
      <c r="F7372" s="20"/>
      <c r="AC7372" s="20"/>
      <c r="AG7372" s="29"/>
    </row>
    <row r="7373" spans="2:33">
      <c r="B7373" s="29"/>
      <c r="D7373" s="29"/>
      <c r="E7373" s="20"/>
      <c r="F7373" s="20"/>
      <c r="AC7373" s="20"/>
      <c r="AG7373" s="29"/>
    </row>
    <row r="7374" spans="2:33">
      <c r="B7374" s="29"/>
      <c r="D7374" s="29"/>
      <c r="E7374" s="20"/>
      <c r="F7374" s="20"/>
      <c r="AC7374" s="20"/>
      <c r="AG7374" s="29"/>
    </row>
    <row r="7375" spans="2:33">
      <c r="B7375" s="29"/>
      <c r="D7375" s="29"/>
      <c r="E7375" s="20"/>
      <c r="F7375" s="20"/>
      <c r="AC7375" s="20"/>
      <c r="AG7375" s="29"/>
    </row>
    <row r="7376" spans="2:33">
      <c r="B7376" s="29"/>
      <c r="D7376" s="29"/>
      <c r="E7376" s="20"/>
      <c r="F7376" s="20"/>
      <c r="AC7376" s="20"/>
      <c r="AG7376" s="29"/>
    </row>
    <row r="7377" spans="2:33">
      <c r="B7377" s="29"/>
      <c r="D7377" s="29"/>
      <c r="E7377" s="20"/>
      <c r="F7377" s="20"/>
      <c r="AC7377" s="20"/>
      <c r="AG7377" s="29"/>
    </row>
    <row r="7378" spans="2:33">
      <c r="B7378" s="29"/>
      <c r="D7378" s="29"/>
      <c r="E7378" s="20"/>
      <c r="F7378" s="20"/>
      <c r="AC7378" s="20"/>
      <c r="AG7378" s="29"/>
    </row>
    <row r="7379" spans="2:33">
      <c r="B7379" s="29"/>
      <c r="D7379" s="29"/>
      <c r="E7379" s="20"/>
      <c r="F7379" s="20"/>
      <c r="AC7379" s="20"/>
      <c r="AG7379" s="29"/>
    </row>
    <row r="7380" spans="2:33">
      <c r="B7380" s="29"/>
      <c r="D7380" s="29"/>
      <c r="E7380" s="20"/>
      <c r="F7380" s="20"/>
      <c r="AC7380" s="20"/>
      <c r="AG7380" s="29"/>
    </row>
    <row r="7381" spans="2:33">
      <c r="B7381" s="29"/>
      <c r="D7381" s="29"/>
      <c r="E7381" s="20"/>
      <c r="F7381" s="20"/>
      <c r="AC7381" s="20"/>
      <c r="AG7381" s="29"/>
    </row>
    <row r="7382" spans="2:33">
      <c r="B7382" s="29"/>
      <c r="D7382" s="29"/>
      <c r="E7382" s="20"/>
      <c r="F7382" s="20"/>
      <c r="AC7382" s="20"/>
      <c r="AG7382" s="29"/>
    </row>
    <row r="7383" spans="2:33">
      <c r="B7383" s="29"/>
      <c r="D7383" s="29"/>
      <c r="E7383" s="20"/>
      <c r="F7383" s="20"/>
      <c r="AC7383" s="20"/>
      <c r="AG7383" s="29"/>
    </row>
    <row r="7384" spans="2:33">
      <c r="B7384" s="29"/>
      <c r="D7384" s="29"/>
      <c r="E7384" s="20"/>
      <c r="F7384" s="20"/>
      <c r="AC7384" s="20"/>
      <c r="AG7384" s="29"/>
    </row>
    <row r="7385" spans="2:33">
      <c r="B7385" s="29"/>
      <c r="D7385" s="29"/>
      <c r="E7385" s="20"/>
      <c r="F7385" s="20"/>
      <c r="AC7385" s="20"/>
      <c r="AG7385" s="29"/>
    </row>
    <row r="7386" spans="2:33">
      <c r="B7386" s="29"/>
      <c r="D7386" s="29"/>
      <c r="E7386" s="20"/>
      <c r="F7386" s="20"/>
      <c r="AC7386" s="20"/>
      <c r="AG7386" s="29"/>
    </row>
    <row r="7387" spans="2:33">
      <c r="B7387" s="29"/>
      <c r="D7387" s="29"/>
      <c r="E7387" s="20"/>
      <c r="F7387" s="20"/>
      <c r="AC7387" s="20"/>
      <c r="AG7387" s="29"/>
    </row>
    <row r="7388" spans="2:33">
      <c r="B7388" s="29"/>
      <c r="D7388" s="29"/>
      <c r="E7388" s="20"/>
      <c r="F7388" s="20"/>
      <c r="AC7388" s="20"/>
      <c r="AG7388" s="29"/>
    </row>
    <row r="7389" spans="2:33">
      <c r="B7389" s="29"/>
      <c r="D7389" s="29"/>
      <c r="E7389" s="20"/>
      <c r="F7389" s="20"/>
      <c r="AC7389" s="20"/>
      <c r="AG7389" s="29"/>
    </row>
    <row r="7390" spans="2:33">
      <c r="B7390" s="29"/>
      <c r="D7390" s="29"/>
      <c r="E7390" s="20"/>
      <c r="F7390" s="20"/>
      <c r="AC7390" s="20"/>
      <c r="AG7390" s="29"/>
    </row>
    <row r="7391" spans="2:33">
      <c r="B7391" s="29"/>
      <c r="D7391" s="29"/>
      <c r="E7391" s="20"/>
      <c r="F7391" s="20"/>
      <c r="AC7391" s="20"/>
      <c r="AG7391" s="29"/>
    </row>
    <row r="7392" spans="2:33">
      <c r="B7392" s="29"/>
      <c r="D7392" s="29"/>
      <c r="E7392" s="20"/>
      <c r="F7392" s="20"/>
      <c r="AC7392" s="20"/>
      <c r="AG7392" s="29"/>
    </row>
    <row r="7393" spans="2:33">
      <c r="B7393" s="29"/>
      <c r="D7393" s="29"/>
      <c r="E7393" s="20"/>
      <c r="F7393" s="20"/>
      <c r="AC7393" s="20"/>
      <c r="AG7393" s="29"/>
    </row>
    <row r="7394" spans="2:33">
      <c r="B7394" s="29"/>
      <c r="D7394" s="29"/>
      <c r="E7394" s="20"/>
      <c r="F7394" s="20"/>
      <c r="AC7394" s="20"/>
      <c r="AG7394" s="29"/>
    </row>
    <row r="7395" spans="2:33">
      <c r="B7395" s="29"/>
      <c r="D7395" s="29"/>
      <c r="E7395" s="20"/>
      <c r="F7395" s="20"/>
      <c r="AC7395" s="20"/>
      <c r="AG7395" s="29"/>
    </row>
    <row r="7396" spans="2:33">
      <c r="B7396" s="29"/>
      <c r="D7396" s="29"/>
      <c r="E7396" s="20"/>
      <c r="F7396" s="20"/>
      <c r="AC7396" s="20"/>
      <c r="AG7396" s="29"/>
    </row>
    <row r="7397" spans="2:33">
      <c r="B7397" s="29"/>
      <c r="D7397" s="29"/>
      <c r="E7397" s="20"/>
      <c r="F7397" s="20"/>
      <c r="AC7397" s="20"/>
      <c r="AG7397" s="29"/>
    </row>
    <row r="7398" spans="2:33">
      <c r="B7398" s="29"/>
      <c r="D7398" s="29"/>
      <c r="E7398" s="20"/>
      <c r="F7398" s="20"/>
      <c r="AC7398" s="20"/>
      <c r="AG7398" s="29"/>
    </row>
    <row r="7399" spans="2:33">
      <c r="B7399" s="29"/>
      <c r="D7399" s="29"/>
      <c r="E7399" s="20"/>
      <c r="F7399" s="20"/>
      <c r="AC7399" s="20"/>
      <c r="AG7399" s="29"/>
    </row>
    <row r="7400" spans="2:33">
      <c r="B7400" s="29"/>
      <c r="D7400" s="29"/>
      <c r="E7400" s="20"/>
      <c r="F7400" s="20"/>
      <c r="AC7400" s="20"/>
      <c r="AG7400" s="29"/>
    </row>
    <row r="7401" spans="2:33">
      <c r="B7401" s="29"/>
      <c r="D7401" s="29"/>
      <c r="E7401" s="20"/>
      <c r="F7401" s="20"/>
      <c r="AC7401" s="20"/>
      <c r="AG7401" s="29"/>
    </row>
    <row r="7402" spans="2:33">
      <c r="B7402" s="29"/>
      <c r="D7402" s="29"/>
      <c r="E7402" s="20"/>
      <c r="F7402" s="20"/>
      <c r="AC7402" s="20"/>
      <c r="AG7402" s="29"/>
    </row>
    <row r="7403" spans="2:33">
      <c r="B7403" s="29"/>
      <c r="D7403" s="29"/>
      <c r="E7403" s="20"/>
      <c r="F7403" s="20"/>
      <c r="AC7403" s="20"/>
      <c r="AG7403" s="29"/>
    </row>
    <row r="7404" spans="2:33">
      <c r="B7404" s="29"/>
      <c r="D7404" s="29"/>
      <c r="E7404" s="20"/>
      <c r="F7404" s="20"/>
      <c r="AC7404" s="20"/>
      <c r="AG7404" s="29"/>
    </row>
    <row r="7405" spans="2:33">
      <c r="B7405" s="29"/>
      <c r="D7405" s="29"/>
      <c r="E7405" s="20"/>
      <c r="F7405" s="20"/>
      <c r="AC7405" s="20"/>
      <c r="AG7405" s="29"/>
    </row>
    <row r="7406" spans="2:33">
      <c r="B7406" s="29"/>
      <c r="D7406" s="29"/>
      <c r="E7406" s="20"/>
      <c r="F7406" s="20"/>
      <c r="AC7406" s="20"/>
      <c r="AG7406" s="29"/>
    </row>
    <row r="7407" spans="2:33">
      <c r="B7407" s="29"/>
      <c r="D7407" s="29"/>
      <c r="E7407" s="20"/>
      <c r="F7407" s="20"/>
      <c r="AC7407" s="20"/>
      <c r="AG7407" s="29"/>
    </row>
    <row r="7408" spans="2:33">
      <c r="B7408" s="29"/>
      <c r="D7408" s="29"/>
      <c r="E7408" s="20"/>
      <c r="F7408" s="20"/>
      <c r="AC7408" s="20"/>
      <c r="AG7408" s="29"/>
    </row>
    <row r="7409" spans="2:33">
      <c r="B7409" s="29"/>
      <c r="D7409" s="29"/>
      <c r="E7409" s="20"/>
      <c r="F7409" s="20"/>
      <c r="AC7409" s="20"/>
      <c r="AG7409" s="29"/>
    </row>
    <row r="7410" spans="2:33">
      <c r="B7410" s="29"/>
      <c r="D7410" s="29"/>
      <c r="E7410" s="20"/>
      <c r="F7410" s="20"/>
      <c r="AC7410" s="20"/>
      <c r="AG7410" s="29"/>
    </row>
    <row r="7411" spans="2:33">
      <c r="B7411" s="29"/>
      <c r="D7411" s="29"/>
      <c r="E7411" s="20"/>
      <c r="F7411" s="20"/>
      <c r="AC7411" s="20"/>
      <c r="AG7411" s="29"/>
    </row>
    <row r="7412" spans="2:33">
      <c r="B7412" s="29"/>
      <c r="D7412" s="29"/>
      <c r="E7412" s="20"/>
      <c r="F7412" s="20"/>
      <c r="AC7412" s="20"/>
      <c r="AG7412" s="29"/>
    </row>
    <row r="7413" spans="2:33">
      <c r="B7413" s="29"/>
      <c r="D7413" s="29"/>
      <c r="E7413" s="20"/>
      <c r="F7413" s="20"/>
      <c r="AC7413" s="20"/>
      <c r="AG7413" s="29"/>
    </row>
    <row r="7414" spans="2:33">
      <c r="B7414" s="29"/>
      <c r="D7414" s="29"/>
      <c r="E7414" s="20"/>
      <c r="F7414" s="20"/>
      <c r="AC7414" s="20"/>
      <c r="AG7414" s="29"/>
    </row>
    <row r="7415" spans="2:33">
      <c r="B7415" s="29"/>
      <c r="D7415" s="29"/>
      <c r="E7415" s="20"/>
      <c r="F7415" s="20"/>
      <c r="AC7415" s="20"/>
      <c r="AG7415" s="29"/>
    </row>
    <row r="7416" spans="2:33">
      <c r="B7416" s="29"/>
      <c r="D7416" s="29"/>
      <c r="E7416" s="20"/>
      <c r="F7416" s="20"/>
      <c r="AC7416" s="20"/>
      <c r="AG7416" s="29"/>
    </row>
    <row r="7417" spans="2:33">
      <c r="B7417" s="29"/>
      <c r="D7417" s="29"/>
      <c r="E7417" s="20"/>
      <c r="F7417" s="20"/>
      <c r="AC7417" s="20"/>
      <c r="AG7417" s="29"/>
    </row>
    <row r="7418" spans="2:33">
      <c r="B7418" s="29"/>
      <c r="D7418" s="29"/>
      <c r="E7418" s="20"/>
      <c r="F7418" s="20"/>
      <c r="AC7418" s="20"/>
      <c r="AG7418" s="29"/>
    </row>
    <row r="7419" spans="2:33">
      <c r="B7419" s="29"/>
      <c r="D7419" s="29"/>
      <c r="E7419" s="20"/>
      <c r="F7419" s="20"/>
      <c r="AC7419" s="20"/>
      <c r="AG7419" s="29"/>
    </row>
    <row r="7420" spans="2:33">
      <c r="B7420" s="29"/>
      <c r="D7420" s="29"/>
      <c r="E7420" s="20"/>
      <c r="F7420" s="20"/>
      <c r="AC7420" s="20"/>
      <c r="AG7420" s="29"/>
    </row>
    <row r="7421" spans="2:33">
      <c r="B7421" s="29"/>
      <c r="D7421" s="29"/>
      <c r="E7421" s="20"/>
      <c r="F7421" s="20"/>
      <c r="AC7421" s="20"/>
      <c r="AG7421" s="29"/>
    </row>
    <row r="7422" spans="2:33">
      <c r="B7422" s="29"/>
      <c r="D7422" s="29"/>
      <c r="E7422" s="20"/>
      <c r="F7422" s="20"/>
      <c r="AC7422" s="20"/>
      <c r="AG7422" s="29"/>
    </row>
    <row r="7423" spans="2:33">
      <c r="B7423" s="29"/>
      <c r="D7423" s="29"/>
      <c r="E7423" s="20"/>
      <c r="F7423" s="20"/>
      <c r="AC7423" s="20"/>
      <c r="AG7423" s="29"/>
    </row>
    <row r="7424" spans="2:33">
      <c r="B7424" s="29"/>
      <c r="D7424" s="29"/>
      <c r="E7424" s="20"/>
      <c r="F7424" s="20"/>
      <c r="AC7424" s="20"/>
      <c r="AG7424" s="29"/>
    </row>
    <row r="7425" spans="2:33">
      <c r="B7425" s="29"/>
      <c r="D7425" s="29"/>
      <c r="E7425" s="20"/>
      <c r="F7425" s="20"/>
      <c r="AC7425" s="20"/>
      <c r="AG7425" s="29"/>
    </row>
    <row r="7426" spans="2:33">
      <c r="B7426" s="29"/>
      <c r="D7426" s="29"/>
      <c r="E7426" s="20"/>
      <c r="F7426" s="20"/>
      <c r="AC7426" s="20"/>
      <c r="AG7426" s="29"/>
    </row>
    <row r="7427" spans="2:33">
      <c r="B7427" s="29"/>
      <c r="D7427" s="29"/>
      <c r="E7427" s="20"/>
      <c r="F7427" s="20"/>
      <c r="AC7427" s="20"/>
      <c r="AG7427" s="29"/>
    </row>
    <row r="7428" spans="2:33">
      <c r="B7428" s="29"/>
      <c r="D7428" s="29"/>
      <c r="E7428" s="20"/>
      <c r="F7428" s="20"/>
      <c r="AC7428" s="20"/>
      <c r="AG7428" s="29"/>
    </row>
    <row r="7429" spans="2:33">
      <c r="B7429" s="29"/>
      <c r="D7429" s="29"/>
      <c r="E7429" s="20"/>
      <c r="F7429" s="20"/>
      <c r="AC7429" s="20"/>
      <c r="AG7429" s="29"/>
    </row>
    <row r="7430" spans="2:33">
      <c r="B7430" s="29"/>
      <c r="D7430" s="29"/>
      <c r="E7430" s="20"/>
      <c r="F7430" s="20"/>
      <c r="AC7430" s="20"/>
      <c r="AG7430" s="29"/>
    </row>
    <row r="7431" spans="2:33">
      <c r="B7431" s="29"/>
      <c r="D7431" s="29"/>
      <c r="E7431" s="20"/>
      <c r="F7431" s="20"/>
      <c r="AC7431" s="20"/>
      <c r="AG7431" s="29"/>
    </row>
    <row r="7432" spans="2:33">
      <c r="B7432" s="29"/>
      <c r="D7432" s="29"/>
      <c r="E7432" s="20"/>
      <c r="F7432" s="20"/>
      <c r="AC7432" s="20"/>
      <c r="AG7432" s="29"/>
    </row>
    <row r="7433" spans="2:33">
      <c r="B7433" s="29"/>
      <c r="D7433" s="29"/>
      <c r="E7433" s="20"/>
      <c r="F7433" s="20"/>
      <c r="AC7433" s="20"/>
      <c r="AG7433" s="29"/>
    </row>
    <row r="7434" spans="2:33">
      <c r="B7434" s="29"/>
      <c r="D7434" s="29"/>
      <c r="E7434" s="20"/>
      <c r="F7434" s="20"/>
      <c r="AC7434" s="20"/>
      <c r="AG7434" s="29"/>
    </row>
    <row r="7435" spans="2:33">
      <c r="B7435" s="29"/>
      <c r="D7435" s="29"/>
      <c r="E7435" s="20"/>
      <c r="F7435" s="20"/>
      <c r="AC7435" s="20"/>
      <c r="AG7435" s="29"/>
    </row>
    <row r="7436" spans="2:33">
      <c r="B7436" s="29"/>
      <c r="D7436" s="29"/>
      <c r="E7436" s="20"/>
      <c r="F7436" s="20"/>
      <c r="AC7436" s="20"/>
      <c r="AG7436" s="29"/>
    </row>
    <row r="7437" spans="2:33">
      <c r="B7437" s="29"/>
      <c r="D7437" s="29"/>
      <c r="E7437" s="20"/>
      <c r="F7437" s="20"/>
      <c r="AC7437" s="20"/>
      <c r="AG7437" s="29"/>
    </row>
    <row r="7438" spans="2:33">
      <c r="B7438" s="29"/>
      <c r="D7438" s="29"/>
      <c r="E7438" s="20"/>
      <c r="F7438" s="20"/>
      <c r="AC7438" s="20"/>
      <c r="AG7438" s="29"/>
    </row>
    <row r="7439" spans="2:33">
      <c r="B7439" s="29"/>
      <c r="D7439" s="29"/>
      <c r="E7439" s="20"/>
      <c r="F7439" s="20"/>
      <c r="AC7439" s="20"/>
      <c r="AG7439" s="29"/>
    </row>
    <row r="7440" spans="2:33">
      <c r="B7440" s="29"/>
      <c r="D7440" s="29"/>
      <c r="E7440" s="20"/>
      <c r="F7440" s="20"/>
      <c r="AC7440" s="20"/>
      <c r="AG7440" s="29"/>
    </row>
    <row r="7441" spans="2:33">
      <c r="B7441" s="29"/>
      <c r="D7441" s="29"/>
      <c r="E7441" s="20"/>
      <c r="F7441" s="20"/>
      <c r="AC7441" s="20"/>
      <c r="AG7441" s="29"/>
    </row>
    <row r="7442" spans="2:33">
      <c r="B7442" s="29"/>
      <c r="D7442" s="29"/>
      <c r="E7442" s="20"/>
      <c r="F7442" s="20"/>
      <c r="AC7442" s="20"/>
      <c r="AG7442" s="29"/>
    </row>
    <row r="7443" spans="2:33">
      <c r="B7443" s="29"/>
      <c r="D7443" s="29"/>
      <c r="E7443" s="20"/>
      <c r="F7443" s="20"/>
      <c r="AC7443" s="20"/>
      <c r="AG7443" s="29"/>
    </row>
    <row r="7444" spans="2:33">
      <c r="B7444" s="29"/>
      <c r="D7444" s="29"/>
      <c r="E7444" s="20"/>
      <c r="F7444" s="20"/>
      <c r="AC7444" s="20"/>
      <c r="AG7444" s="29"/>
    </row>
    <row r="7445" spans="2:33">
      <c r="B7445" s="29"/>
      <c r="D7445" s="29"/>
      <c r="E7445" s="20"/>
      <c r="F7445" s="20"/>
      <c r="AC7445" s="20"/>
      <c r="AG7445" s="29"/>
    </row>
    <row r="7446" spans="2:33">
      <c r="B7446" s="29"/>
      <c r="D7446" s="29"/>
      <c r="E7446" s="20"/>
      <c r="F7446" s="20"/>
      <c r="AC7446" s="20"/>
      <c r="AG7446" s="29"/>
    </row>
    <row r="7447" spans="2:33">
      <c r="B7447" s="29"/>
      <c r="D7447" s="29"/>
      <c r="E7447" s="20"/>
      <c r="F7447" s="20"/>
      <c r="AC7447" s="20"/>
      <c r="AG7447" s="29"/>
    </row>
    <row r="7448" spans="2:33">
      <c r="B7448" s="29"/>
      <c r="D7448" s="29"/>
      <c r="E7448" s="20"/>
      <c r="F7448" s="20"/>
      <c r="AC7448" s="20"/>
      <c r="AG7448" s="29"/>
    </row>
    <row r="7449" spans="2:33">
      <c r="B7449" s="29"/>
      <c r="D7449" s="29"/>
      <c r="E7449" s="20"/>
      <c r="F7449" s="20"/>
      <c r="AC7449" s="20"/>
      <c r="AG7449" s="29"/>
    </row>
    <row r="7450" spans="2:33">
      <c r="B7450" s="29"/>
      <c r="D7450" s="29"/>
      <c r="E7450" s="20"/>
      <c r="F7450" s="20"/>
      <c r="AC7450" s="20"/>
      <c r="AG7450" s="29"/>
    </row>
    <row r="7451" spans="2:33">
      <c r="B7451" s="29"/>
      <c r="D7451" s="29"/>
      <c r="E7451" s="20"/>
      <c r="F7451" s="20"/>
      <c r="AC7451" s="20"/>
      <c r="AG7451" s="29"/>
    </row>
    <row r="7452" spans="2:33">
      <c r="B7452" s="29"/>
      <c r="D7452" s="29"/>
      <c r="E7452" s="20"/>
      <c r="F7452" s="20"/>
      <c r="AC7452" s="20"/>
      <c r="AG7452" s="29"/>
    </row>
    <row r="7453" spans="2:33">
      <c r="B7453" s="29"/>
      <c r="D7453" s="29"/>
      <c r="E7453" s="20"/>
      <c r="F7453" s="20"/>
      <c r="AC7453" s="20"/>
      <c r="AG7453" s="29"/>
    </row>
    <row r="7454" spans="2:33">
      <c r="B7454" s="29"/>
      <c r="D7454" s="29"/>
      <c r="E7454" s="20"/>
      <c r="F7454" s="20"/>
      <c r="AC7454" s="20"/>
      <c r="AG7454" s="29"/>
    </row>
    <row r="7455" spans="2:33">
      <c r="B7455" s="29"/>
      <c r="D7455" s="29"/>
      <c r="E7455" s="20"/>
      <c r="F7455" s="20"/>
      <c r="AC7455" s="20"/>
      <c r="AG7455" s="29"/>
    </row>
    <row r="7456" spans="2:33">
      <c r="B7456" s="29"/>
      <c r="D7456" s="29"/>
      <c r="E7456" s="20"/>
      <c r="F7456" s="20"/>
      <c r="AC7456" s="20"/>
      <c r="AG7456" s="29"/>
    </row>
    <row r="7457" spans="2:33">
      <c r="B7457" s="29"/>
      <c r="D7457" s="29"/>
      <c r="E7457" s="20"/>
      <c r="F7457" s="20"/>
      <c r="AC7457" s="20"/>
      <c r="AG7457" s="29"/>
    </row>
    <row r="7458" spans="2:33">
      <c r="B7458" s="29"/>
      <c r="D7458" s="29"/>
      <c r="E7458" s="20"/>
      <c r="F7458" s="20"/>
      <c r="AC7458" s="20"/>
      <c r="AG7458" s="29"/>
    </row>
    <row r="7459" spans="2:33">
      <c r="B7459" s="29"/>
      <c r="D7459" s="29"/>
      <c r="E7459" s="20"/>
      <c r="F7459" s="20"/>
      <c r="AC7459" s="20"/>
      <c r="AG7459" s="29"/>
    </row>
    <row r="7460" spans="2:33">
      <c r="B7460" s="29"/>
      <c r="D7460" s="29"/>
      <c r="E7460" s="20"/>
      <c r="F7460" s="20"/>
      <c r="AC7460" s="20"/>
      <c r="AG7460" s="29"/>
    </row>
    <row r="7461" spans="2:33">
      <c r="B7461" s="29"/>
      <c r="D7461" s="29"/>
      <c r="E7461" s="20"/>
      <c r="F7461" s="20"/>
      <c r="AC7461" s="20"/>
      <c r="AG7461" s="29"/>
    </row>
    <row r="7462" spans="2:33">
      <c r="B7462" s="29"/>
      <c r="D7462" s="29"/>
      <c r="E7462" s="20"/>
      <c r="F7462" s="20"/>
      <c r="AC7462" s="20"/>
      <c r="AG7462" s="29"/>
    </row>
    <row r="7463" spans="2:33">
      <c r="B7463" s="29"/>
      <c r="D7463" s="29"/>
      <c r="E7463" s="20"/>
      <c r="F7463" s="20"/>
      <c r="AC7463" s="20"/>
      <c r="AG7463" s="29"/>
    </row>
    <row r="7464" spans="2:33">
      <c r="B7464" s="29"/>
      <c r="D7464" s="29"/>
      <c r="E7464" s="20"/>
      <c r="F7464" s="20"/>
      <c r="AC7464" s="20"/>
      <c r="AG7464" s="29"/>
    </row>
    <row r="7465" spans="2:33">
      <c r="B7465" s="29"/>
      <c r="D7465" s="29"/>
      <c r="E7465" s="20"/>
      <c r="F7465" s="20"/>
      <c r="AC7465" s="20"/>
      <c r="AG7465" s="29"/>
    </row>
    <row r="7466" spans="2:33">
      <c r="B7466" s="29"/>
      <c r="D7466" s="29"/>
      <c r="E7466" s="20"/>
      <c r="F7466" s="20"/>
      <c r="AC7466" s="20"/>
      <c r="AG7466" s="29"/>
    </row>
    <row r="7467" spans="2:33">
      <c r="B7467" s="29"/>
      <c r="D7467" s="29"/>
      <c r="E7467" s="20"/>
      <c r="F7467" s="20"/>
      <c r="AC7467" s="20"/>
      <c r="AG7467" s="29"/>
    </row>
    <row r="7468" spans="2:33">
      <c r="B7468" s="29"/>
      <c r="D7468" s="29"/>
      <c r="E7468" s="20"/>
      <c r="F7468" s="20"/>
      <c r="AC7468" s="20"/>
      <c r="AG7468" s="29"/>
    </row>
    <row r="7469" spans="2:33">
      <c r="B7469" s="29"/>
      <c r="D7469" s="29"/>
      <c r="E7469" s="20"/>
      <c r="F7469" s="20"/>
      <c r="AC7469" s="20"/>
      <c r="AG7469" s="29"/>
    </row>
    <row r="7470" spans="2:33">
      <c r="B7470" s="29"/>
      <c r="D7470" s="29"/>
      <c r="E7470" s="20"/>
      <c r="F7470" s="20"/>
      <c r="AC7470" s="20"/>
      <c r="AG7470" s="29"/>
    </row>
    <row r="7471" spans="2:33">
      <c r="B7471" s="29"/>
      <c r="D7471" s="29"/>
      <c r="E7471" s="20"/>
      <c r="F7471" s="20"/>
      <c r="AC7471" s="20"/>
      <c r="AG7471" s="29"/>
    </row>
    <row r="7472" spans="2:33">
      <c r="B7472" s="29"/>
      <c r="D7472" s="29"/>
      <c r="E7472" s="20"/>
      <c r="F7472" s="20"/>
      <c r="AC7472" s="20"/>
      <c r="AG7472" s="29"/>
    </row>
    <row r="7473" spans="2:33">
      <c r="B7473" s="29"/>
      <c r="D7473" s="29"/>
      <c r="E7473" s="20"/>
      <c r="F7473" s="20"/>
      <c r="AC7473" s="20"/>
      <c r="AG7473" s="29"/>
    </row>
    <row r="7474" spans="2:33">
      <c r="B7474" s="29"/>
      <c r="D7474" s="29"/>
      <c r="E7474" s="20"/>
      <c r="F7474" s="20"/>
      <c r="AC7474" s="20"/>
      <c r="AG7474" s="29"/>
    </row>
    <row r="7475" spans="2:33">
      <c r="B7475" s="29"/>
      <c r="D7475" s="29"/>
      <c r="E7475" s="20"/>
      <c r="F7475" s="20"/>
      <c r="AC7475" s="20"/>
      <c r="AG7475" s="29"/>
    </row>
    <row r="7476" spans="2:33">
      <c r="B7476" s="29"/>
      <c r="D7476" s="29"/>
      <c r="E7476" s="20"/>
      <c r="F7476" s="20"/>
      <c r="AC7476" s="20"/>
      <c r="AG7476" s="29"/>
    </row>
    <row r="7477" spans="2:33">
      <c r="B7477" s="29"/>
      <c r="D7477" s="29"/>
      <c r="E7477" s="20"/>
      <c r="F7477" s="20"/>
      <c r="AC7477" s="20"/>
      <c r="AG7477" s="29"/>
    </row>
    <row r="7478" spans="2:33">
      <c r="B7478" s="29"/>
      <c r="D7478" s="29"/>
      <c r="E7478" s="20"/>
      <c r="F7478" s="20"/>
      <c r="AC7478" s="20"/>
      <c r="AG7478" s="29"/>
    </row>
    <row r="7479" spans="2:33">
      <c r="B7479" s="29"/>
      <c r="D7479" s="29"/>
      <c r="E7479" s="20"/>
      <c r="F7479" s="20"/>
      <c r="AC7479" s="20"/>
      <c r="AG7479" s="29"/>
    </row>
    <row r="7480" spans="2:33">
      <c r="B7480" s="29"/>
      <c r="D7480" s="29"/>
      <c r="E7480" s="20"/>
      <c r="F7480" s="20"/>
      <c r="AC7480" s="20"/>
      <c r="AG7480" s="29"/>
    </row>
    <row r="7481" spans="2:33">
      <c r="B7481" s="29"/>
      <c r="D7481" s="29"/>
      <c r="E7481" s="20"/>
      <c r="F7481" s="20"/>
      <c r="AC7481" s="20"/>
      <c r="AG7481" s="29"/>
    </row>
    <row r="7482" spans="2:33">
      <c r="B7482" s="29"/>
      <c r="D7482" s="29"/>
      <c r="E7482" s="20"/>
      <c r="F7482" s="20"/>
      <c r="AC7482" s="20"/>
      <c r="AG7482" s="29"/>
    </row>
    <row r="7483" spans="2:33">
      <c r="B7483" s="29"/>
      <c r="D7483" s="29"/>
      <c r="E7483" s="20"/>
      <c r="F7483" s="20"/>
      <c r="AC7483" s="20"/>
      <c r="AG7483" s="29"/>
    </row>
    <row r="7484" spans="2:33">
      <c r="B7484" s="29"/>
      <c r="D7484" s="29"/>
      <c r="E7484" s="20"/>
      <c r="F7484" s="20"/>
      <c r="AC7484" s="20"/>
      <c r="AG7484" s="29"/>
    </row>
    <row r="7485" spans="2:33">
      <c r="B7485" s="29"/>
      <c r="D7485" s="29"/>
      <c r="E7485" s="20"/>
      <c r="F7485" s="20"/>
      <c r="AC7485" s="20"/>
      <c r="AG7485" s="29"/>
    </row>
    <row r="7486" spans="2:33">
      <c r="B7486" s="29"/>
      <c r="D7486" s="29"/>
      <c r="E7486" s="20"/>
      <c r="F7486" s="20"/>
      <c r="AC7486" s="20"/>
      <c r="AG7486" s="29"/>
    </row>
    <row r="7487" spans="2:33">
      <c r="B7487" s="29"/>
      <c r="D7487" s="29"/>
      <c r="E7487" s="20"/>
      <c r="F7487" s="20"/>
      <c r="AC7487" s="20"/>
      <c r="AG7487" s="29"/>
    </row>
    <row r="7488" spans="2:33">
      <c r="B7488" s="29"/>
      <c r="D7488" s="29"/>
      <c r="E7488" s="20"/>
      <c r="F7488" s="20"/>
      <c r="AC7488" s="20"/>
      <c r="AG7488" s="29"/>
    </row>
    <row r="7489" spans="2:33">
      <c r="B7489" s="29"/>
      <c r="D7489" s="29"/>
      <c r="E7489" s="20"/>
      <c r="F7489" s="20"/>
      <c r="AC7489" s="20"/>
      <c r="AG7489" s="29"/>
    </row>
    <row r="7490" spans="2:33">
      <c r="B7490" s="29"/>
      <c r="D7490" s="29"/>
      <c r="E7490" s="20"/>
      <c r="F7490" s="20"/>
      <c r="AC7490" s="20"/>
      <c r="AG7490" s="29"/>
    </row>
    <row r="7491" spans="2:33">
      <c r="B7491" s="29"/>
      <c r="D7491" s="29"/>
      <c r="E7491" s="20"/>
      <c r="F7491" s="20"/>
      <c r="AC7491" s="20"/>
      <c r="AG7491" s="29"/>
    </row>
    <row r="7492" spans="2:33">
      <c r="B7492" s="29"/>
      <c r="D7492" s="29"/>
      <c r="E7492" s="20"/>
      <c r="F7492" s="20"/>
      <c r="AC7492" s="20"/>
      <c r="AG7492" s="29"/>
    </row>
    <row r="7493" spans="2:33">
      <c r="B7493" s="29"/>
      <c r="D7493" s="29"/>
      <c r="E7493" s="20"/>
      <c r="F7493" s="20"/>
      <c r="AC7493" s="20"/>
      <c r="AG7493" s="29"/>
    </row>
    <row r="7494" spans="2:33">
      <c r="B7494" s="29"/>
      <c r="D7494" s="29"/>
      <c r="E7494" s="20"/>
      <c r="F7494" s="20"/>
      <c r="AC7494" s="20"/>
      <c r="AG7494" s="29"/>
    </row>
    <row r="7495" spans="2:33">
      <c r="B7495" s="29"/>
      <c r="D7495" s="29"/>
      <c r="E7495" s="20"/>
      <c r="F7495" s="20"/>
      <c r="AC7495" s="20"/>
      <c r="AG7495" s="29"/>
    </row>
    <row r="7496" spans="2:33">
      <c r="B7496" s="29"/>
      <c r="D7496" s="29"/>
      <c r="E7496" s="20"/>
      <c r="F7496" s="20"/>
      <c r="AC7496" s="20"/>
      <c r="AG7496" s="29"/>
    </row>
    <row r="7497" spans="2:33">
      <c r="B7497" s="29"/>
      <c r="D7497" s="29"/>
      <c r="E7497" s="20"/>
      <c r="F7497" s="20"/>
      <c r="AC7497" s="20"/>
      <c r="AG7497" s="29"/>
    </row>
    <row r="7498" spans="2:33">
      <c r="B7498" s="29"/>
      <c r="D7498" s="29"/>
      <c r="E7498" s="20"/>
      <c r="F7498" s="20"/>
      <c r="AC7498" s="20"/>
      <c r="AG7498" s="29"/>
    </row>
    <row r="7499" spans="2:33">
      <c r="B7499" s="29"/>
      <c r="D7499" s="29"/>
      <c r="E7499" s="20"/>
      <c r="F7499" s="20"/>
      <c r="AC7499" s="20"/>
      <c r="AG7499" s="29"/>
    </row>
    <row r="7500" spans="2:33">
      <c r="B7500" s="29"/>
      <c r="D7500" s="29"/>
      <c r="E7500" s="20"/>
      <c r="F7500" s="20"/>
      <c r="AC7500" s="20"/>
      <c r="AG7500" s="29"/>
    </row>
    <row r="7501" spans="2:33">
      <c r="B7501" s="29"/>
      <c r="D7501" s="29"/>
      <c r="E7501" s="20"/>
      <c r="F7501" s="20"/>
      <c r="AC7501" s="20"/>
      <c r="AG7501" s="29"/>
    </row>
    <row r="7502" spans="2:33">
      <c r="B7502" s="29"/>
      <c r="D7502" s="29"/>
      <c r="E7502" s="20"/>
      <c r="F7502" s="20"/>
      <c r="AC7502" s="20"/>
      <c r="AG7502" s="29"/>
    </row>
    <row r="7503" spans="2:33">
      <c r="B7503" s="29"/>
      <c r="D7503" s="29"/>
      <c r="E7503" s="20"/>
      <c r="F7503" s="20"/>
      <c r="AC7503" s="20"/>
      <c r="AG7503" s="29"/>
    </row>
    <row r="7504" spans="2:33">
      <c r="B7504" s="29"/>
      <c r="D7504" s="29"/>
      <c r="E7504" s="20"/>
      <c r="F7504" s="20"/>
      <c r="AC7504" s="20"/>
      <c r="AG7504" s="29"/>
    </row>
    <row r="7505" spans="2:33">
      <c r="B7505" s="29"/>
      <c r="D7505" s="29"/>
      <c r="E7505" s="20"/>
      <c r="F7505" s="20"/>
      <c r="AC7505" s="20"/>
      <c r="AG7505" s="29"/>
    </row>
    <row r="7506" spans="2:33">
      <c r="B7506" s="29"/>
      <c r="D7506" s="29"/>
      <c r="E7506" s="20"/>
      <c r="F7506" s="20"/>
      <c r="AC7506" s="20"/>
      <c r="AG7506" s="29"/>
    </row>
    <row r="7507" spans="2:33">
      <c r="B7507" s="29"/>
      <c r="D7507" s="29"/>
      <c r="E7507" s="20"/>
      <c r="F7507" s="20"/>
      <c r="AC7507" s="20"/>
      <c r="AG7507" s="29"/>
    </row>
    <row r="7508" spans="2:33">
      <c r="B7508" s="29"/>
      <c r="D7508" s="29"/>
      <c r="E7508" s="20"/>
      <c r="F7508" s="20"/>
      <c r="AC7508" s="20"/>
      <c r="AG7508" s="29"/>
    </row>
    <row r="7509" spans="2:33">
      <c r="B7509" s="29"/>
      <c r="D7509" s="29"/>
      <c r="E7509" s="20"/>
      <c r="F7509" s="20"/>
      <c r="AC7509" s="20"/>
      <c r="AG7509" s="29"/>
    </row>
    <row r="7510" spans="2:33">
      <c r="B7510" s="29"/>
      <c r="D7510" s="29"/>
      <c r="E7510" s="20"/>
      <c r="F7510" s="20"/>
      <c r="AC7510" s="20"/>
      <c r="AG7510" s="29"/>
    </row>
    <row r="7511" spans="2:33">
      <c r="B7511" s="29"/>
      <c r="D7511" s="29"/>
      <c r="E7511" s="20"/>
      <c r="F7511" s="20"/>
      <c r="AC7511" s="20"/>
      <c r="AG7511" s="29"/>
    </row>
    <row r="7512" spans="2:33">
      <c r="B7512" s="29"/>
      <c r="D7512" s="29"/>
      <c r="E7512" s="20"/>
      <c r="F7512" s="20"/>
      <c r="AC7512" s="20"/>
      <c r="AG7512" s="29"/>
    </row>
    <row r="7513" spans="2:33">
      <c r="B7513" s="29"/>
      <c r="D7513" s="29"/>
      <c r="E7513" s="20"/>
      <c r="F7513" s="20"/>
      <c r="AC7513" s="20"/>
      <c r="AG7513" s="29"/>
    </row>
    <row r="7514" spans="2:33">
      <c r="B7514" s="29"/>
      <c r="D7514" s="29"/>
      <c r="E7514" s="20"/>
      <c r="F7514" s="20"/>
      <c r="AC7514" s="20"/>
      <c r="AG7514" s="29"/>
    </row>
    <row r="7515" spans="2:33">
      <c r="B7515" s="29"/>
      <c r="D7515" s="29"/>
      <c r="E7515" s="20"/>
      <c r="F7515" s="20"/>
      <c r="AC7515" s="20"/>
      <c r="AG7515" s="29"/>
    </row>
    <row r="7516" spans="2:33">
      <c r="B7516" s="29"/>
      <c r="D7516" s="29"/>
      <c r="E7516" s="20"/>
      <c r="F7516" s="20"/>
      <c r="AC7516" s="20"/>
      <c r="AG7516" s="29"/>
    </row>
    <row r="7517" spans="2:33">
      <c r="B7517" s="29"/>
      <c r="D7517" s="29"/>
      <c r="E7517" s="20"/>
      <c r="F7517" s="20"/>
      <c r="AC7517" s="20"/>
      <c r="AG7517" s="29"/>
    </row>
    <row r="7518" spans="2:33">
      <c r="B7518" s="29"/>
      <c r="D7518" s="29"/>
      <c r="E7518" s="20"/>
      <c r="F7518" s="20"/>
      <c r="AC7518" s="20"/>
      <c r="AG7518" s="29"/>
    </row>
    <row r="7519" spans="2:33">
      <c r="B7519" s="29"/>
      <c r="D7519" s="29"/>
      <c r="E7519" s="20"/>
      <c r="F7519" s="20"/>
      <c r="AC7519" s="20"/>
      <c r="AG7519" s="29"/>
    </row>
    <row r="7520" spans="2:33">
      <c r="B7520" s="29"/>
      <c r="D7520" s="29"/>
      <c r="E7520" s="20"/>
      <c r="F7520" s="20"/>
      <c r="AC7520" s="20"/>
      <c r="AG7520" s="29"/>
    </row>
    <row r="7521" spans="2:33">
      <c r="B7521" s="29"/>
      <c r="D7521" s="29"/>
      <c r="E7521" s="20"/>
      <c r="F7521" s="20"/>
      <c r="AC7521" s="20"/>
      <c r="AG7521" s="29"/>
    </row>
    <row r="7522" spans="2:33">
      <c r="B7522" s="29"/>
      <c r="D7522" s="29"/>
      <c r="E7522" s="20"/>
      <c r="F7522" s="20"/>
      <c r="AC7522" s="20"/>
      <c r="AG7522" s="29"/>
    </row>
    <row r="7523" spans="2:33">
      <c r="B7523" s="29"/>
      <c r="D7523" s="29"/>
      <c r="E7523" s="20"/>
      <c r="F7523" s="20"/>
      <c r="AC7523" s="20"/>
      <c r="AG7523" s="29"/>
    </row>
    <row r="7524" spans="2:33">
      <c r="B7524" s="29"/>
      <c r="D7524" s="29"/>
      <c r="E7524" s="20"/>
      <c r="F7524" s="20"/>
      <c r="AC7524" s="20"/>
      <c r="AG7524" s="29"/>
    </row>
    <row r="7525" spans="2:33">
      <c r="B7525" s="29"/>
      <c r="D7525" s="29"/>
      <c r="E7525" s="20"/>
      <c r="F7525" s="20"/>
      <c r="AC7525" s="20"/>
      <c r="AG7525" s="29"/>
    </row>
    <row r="7526" spans="2:33">
      <c r="B7526" s="29"/>
      <c r="D7526" s="29"/>
      <c r="E7526" s="20"/>
      <c r="F7526" s="20"/>
      <c r="AC7526" s="20"/>
      <c r="AG7526" s="29"/>
    </row>
    <row r="7527" spans="2:33">
      <c r="B7527" s="29"/>
      <c r="D7527" s="29"/>
      <c r="E7527" s="20"/>
      <c r="F7527" s="20"/>
      <c r="AC7527" s="20"/>
      <c r="AG7527" s="29"/>
    </row>
    <row r="7528" spans="2:33">
      <c r="B7528" s="29"/>
      <c r="D7528" s="29"/>
      <c r="E7528" s="20"/>
      <c r="F7528" s="20"/>
      <c r="AC7528" s="20"/>
      <c r="AG7528" s="29"/>
    </row>
    <row r="7529" spans="2:33">
      <c r="B7529" s="29"/>
      <c r="D7529" s="29"/>
      <c r="E7529" s="20"/>
      <c r="F7529" s="20"/>
      <c r="AC7529" s="20"/>
      <c r="AG7529" s="29"/>
    </row>
    <row r="7530" spans="2:33">
      <c r="B7530" s="29"/>
      <c r="D7530" s="29"/>
      <c r="E7530" s="20"/>
      <c r="F7530" s="20"/>
      <c r="AC7530" s="20"/>
      <c r="AG7530" s="29"/>
    </row>
    <row r="7531" spans="2:33">
      <c r="B7531" s="29"/>
      <c r="D7531" s="29"/>
      <c r="E7531" s="20"/>
      <c r="F7531" s="20"/>
      <c r="AC7531" s="20"/>
      <c r="AG7531" s="29"/>
    </row>
    <row r="7532" spans="2:33">
      <c r="B7532" s="29"/>
      <c r="D7532" s="29"/>
      <c r="E7532" s="20"/>
      <c r="F7532" s="20"/>
      <c r="AC7532" s="20"/>
      <c r="AG7532" s="29"/>
    </row>
    <row r="7533" spans="2:33">
      <c r="B7533" s="29"/>
      <c r="D7533" s="29"/>
      <c r="E7533" s="20"/>
      <c r="F7533" s="20"/>
      <c r="AC7533" s="20"/>
      <c r="AG7533" s="29"/>
    </row>
    <row r="7534" spans="2:33">
      <c r="B7534" s="29"/>
      <c r="D7534" s="29"/>
      <c r="E7534" s="20"/>
      <c r="F7534" s="20"/>
      <c r="AC7534" s="20"/>
      <c r="AG7534" s="29"/>
    </row>
    <row r="7535" spans="2:33">
      <c r="B7535" s="29"/>
      <c r="D7535" s="29"/>
      <c r="E7535" s="20"/>
      <c r="F7535" s="20"/>
      <c r="AC7535" s="20"/>
      <c r="AG7535" s="29"/>
    </row>
    <row r="7536" spans="2:33">
      <c r="B7536" s="29"/>
      <c r="D7536" s="29"/>
      <c r="E7536" s="20"/>
      <c r="F7536" s="20"/>
      <c r="AC7536" s="20"/>
      <c r="AG7536" s="29"/>
    </row>
    <row r="7537" spans="2:33">
      <c r="B7537" s="29"/>
      <c r="D7537" s="29"/>
      <c r="E7537" s="20"/>
      <c r="F7537" s="20"/>
      <c r="AC7537" s="20"/>
      <c r="AG7537" s="29"/>
    </row>
    <row r="7538" spans="2:33">
      <c r="B7538" s="29"/>
      <c r="D7538" s="29"/>
      <c r="E7538" s="20"/>
      <c r="F7538" s="20"/>
      <c r="AC7538" s="20"/>
      <c r="AG7538" s="29"/>
    </row>
    <row r="7539" spans="2:33">
      <c r="B7539" s="29"/>
      <c r="D7539" s="29"/>
      <c r="E7539" s="20"/>
      <c r="F7539" s="20"/>
      <c r="AC7539" s="20"/>
      <c r="AG7539" s="29"/>
    </row>
    <row r="7540" spans="2:33">
      <c r="B7540" s="29"/>
      <c r="D7540" s="29"/>
      <c r="E7540" s="20"/>
      <c r="F7540" s="20"/>
      <c r="AC7540" s="20"/>
      <c r="AG7540" s="29"/>
    </row>
    <row r="7541" spans="2:33">
      <c r="B7541" s="29"/>
      <c r="D7541" s="29"/>
      <c r="E7541" s="20"/>
      <c r="F7541" s="20"/>
      <c r="AC7541" s="20"/>
      <c r="AG7541" s="29"/>
    </row>
    <row r="7542" spans="2:33">
      <c r="B7542" s="29"/>
      <c r="D7542" s="29"/>
      <c r="E7542" s="20"/>
      <c r="F7542" s="20"/>
      <c r="AC7542" s="20"/>
      <c r="AG7542" s="29"/>
    </row>
    <row r="7543" spans="2:33">
      <c r="B7543" s="29"/>
      <c r="D7543" s="29"/>
      <c r="E7543" s="20"/>
      <c r="F7543" s="20"/>
      <c r="AC7543" s="20"/>
      <c r="AG7543" s="29"/>
    </row>
    <row r="7544" spans="2:33">
      <c r="B7544" s="29"/>
      <c r="D7544" s="29"/>
      <c r="E7544" s="20"/>
      <c r="F7544" s="20"/>
      <c r="AC7544" s="20"/>
      <c r="AG7544" s="29"/>
    </row>
    <row r="7545" spans="2:33">
      <c r="B7545" s="29"/>
      <c r="D7545" s="29"/>
      <c r="E7545" s="20"/>
      <c r="F7545" s="20"/>
      <c r="AC7545" s="20"/>
      <c r="AG7545" s="29"/>
    </row>
    <row r="7546" spans="2:33">
      <c r="B7546" s="29"/>
      <c r="D7546" s="29"/>
      <c r="E7546" s="20"/>
      <c r="F7546" s="20"/>
      <c r="AC7546" s="20"/>
      <c r="AG7546" s="29"/>
    </row>
    <row r="7547" spans="2:33">
      <c r="B7547" s="29"/>
      <c r="D7547" s="29"/>
      <c r="E7547" s="20"/>
      <c r="F7547" s="20"/>
      <c r="AC7547" s="20"/>
      <c r="AG7547" s="29"/>
    </row>
    <row r="7548" spans="2:33">
      <c r="B7548" s="29"/>
      <c r="D7548" s="29"/>
      <c r="E7548" s="20"/>
      <c r="F7548" s="20"/>
      <c r="AC7548" s="20"/>
      <c r="AG7548" s="29"/>
    </row>
    <row r="7549" spans="2:33">
      <c r="B7549" s="29"/>
      <c r="D7549" s="29"/>
      <c r="E7549" s="20"/>
      <c r="F7549" s="20"/>
      <c r="AC7549" s="20"/>
      <c r="AG7549" s="29"/>
    </row>
    <row r="7550" spans="2:33">
      <c r="B7550" s="29"/>
      <c r="D7550" s="29"/>
      <c r="E7550" s="20"/>
      <c r="F7550" s="20"/>
      <c r="AC7550" s="20"/>
      <c r="AG7550" s="29"/>
    </row>
    <row r="7551" spans="2:33">
      <c r="B7551" s="29"/>
      <c r="D7551" s="29"/>
      <c r="E7551" s="20"/>
      <c r="F7551" s="20"/>
      <c r="AC7551" s="20"/>
      <c r="AG7551" s="29"/>
    </row>
    <row r="7552" spans="2:33">
      <c r="B7552" s="29"/>
      <c r="D7552" s="29"/>
      <c r="E7552" s="20"/>
      <c r="F7552" s="20"/>
      <c r="AC7552" s="20"/>
      <c r="AG7552" s="29"/>
    </row>
    <row r="7553" spans="2:33">
      <c r="B7553" s="29"/>
      <c r="D7553" s="29"/>
      <c r="E7553" s="20"/>
      <c r="F7553" s="20"/>
      <c r="AC7553" s="20"/>
      <c r="AG7553" s="29"/>
    </row>
    <row r="7554" spans="2:33">
      <c r="B7554" s="29"/>
      <c r="D7554" s="29"/>
      <c r="E7554" s="20"/>
      <c r="F7554" s="20"/>
      <c r="AC7554" s="20"/>
      <c r="AG7554" s="29"/>
    </row>
    <row r="7555" spans="2:33">
      <c r="B7555" s="29"/>
      <c r="D7555" s="29"/>
      <c r="E7555" s="20"/>
      <c r="F7555" s="20"/>
      <c r="AC7555" s="20"/>
      <c r="AG7555" s="29"/>
    </row>
    <row r="7556" spans="2:33">
      <c r="B7556" s="29"/>
      <c r="D7556" s="29"/>
      <c r="E7556" s="20"/>
      <c r="F7556" s="20"/>
      <c r="AC7556" s="20"/>
      <c r="AG7556" s="29"/>
    </row>
    <row r="7557" spans="2:33">
      <c r="B7557" s="29"/>
      <c r="D7557" s="29"/>
      <c r="E7557" s="20"/>
      <c r="F7557" s="20"/>
      <c r="AC7557" s="20"/>
      <c r="AG7557" s="29"/>
    </row>
    <row r="7558" spans="2:33">
      <c r="B7558" s="29"/>
      <c r="D7558" s="29"/>
      <c r="E7558" s="20"/>
      <c r="F7558" s="20"/>
      <c r="AC7558" s="20"/>
      <c r="AG7558" s="29"/>
    </row>
    <row r="7559" spans="2:33">
      <c r="B7559" s="29"/>
      <c r="D7559" s="29"/>
      <c r="E7559" s="20"/>
      <c r="F7559" s="20"/>
      <c r="AC7559" s="20"/>
      <c r="AG7559" s="29"/>
    </row>
    <row r="7560" spans="2:33">
      <c r="B7560" s="29"/>
      <c r="D7560" s="29"/>
      <c r="E7560" s="20"/>
      <c r="F7560" s="20"/>
      <c r="AC7560" s="20"/>
      <c r="AG7560" s="29"/>
    </row>
    <row r="7561" spans="2:33">
      <c r="B7561" s="29"/>
      <c r="D7561" s="29"/>
      <c r="E7561" s="20"/>
      <c r="F7561" s="20"/>
      <c r="AC7561" s="20"/>
      <c r="AG7561" s="29"/>
    </row>
    <row r="7562" spans="2:33">
      <c r="B7562" s="29"/>
      <c r="D7562" s="29"/>
      <c r="E7562" s="20"/>
      <c r="F7562" s="20"/>
      <c r="AC7562" s="20"/>
      <c r="AG7562" s="29"/>
    </row>
    <row r="7563" spans="2:33">
      <c r="B7563" s="29"/>
      <c r="D7563" s="29"/>
      <c r="E7563" s="20"/>
      <c r="F7563" s="20"/>
      <c r="AC7563" s="20"/>
      <c r="AG7563" s="29"/>
    </row>
    <row r="7564" spans="2:33">
      <c r="B7564" s="29"/>
      <c r="D7564" s="29"/>
      <c r="E7564" s="20"/>
      <c r="F7564" s="20"/>
      <c r="AC7564" s="20"/>
      <c r="AG7564" s="29"/>
    </row>
    <row r="7565" spans="2:33">
      <c r="B7565" s="29"/>
      <c r="D7565" s="29"/>
      <c r="E7565" s="20"/>
      <c r="F7565" s="20"/>
      <c r="AC7565" s="20"/>
      <c r="AG7565" s="29"/>
    </row>
    <row r="7566" spans="2:33">
      <c r="B7566" s="29"/>
      <c r="D7566" s="29"/>
      <c r="E7566" s="20"/>
      <c r="F7566" s="20"/>
      <c r="AC7566" s="20"/>
      <c r="AG7566" s="29"/>
    </row>
    <row r="7567" spans="2:33">
      <c r="B7567" s="29"/>
      <c r="D7567" s="29"/>
      <c r="E7567" s="20"/>
      <c r="F7567" s="20"/>
      <c r="AC7567" s="20"/>
      <c r="AG7567" s="29"/>
    </row>
    <row r="7568" spans="2:33">
      <c r="B7568" s="29"/>
      <c r="D7568" s="29"/>
      <c r="E7568" s="20"/>
      <c r="F7568" s="20"/>
      <c r="AC7568" s="20"/>
      <c r="AG7568" s="29"/>
    </row>
    <row r="7569" spans="2:33">
      <c r="B7569" s="29"/>
      <c r="D7569" s="29"/>
      <c r="E7569" s="20"/>
      <c r="F7569" s="20"/>
      <c r="AC7569" s="20"/>
      <c r="AG7569" s="29"/>
    </row>
    <row r="7570" spans="2:33">
      <c r="B7570" s="29"/>
      <c r="D7570" s="29"/>
      <c r="E7570" s="20"/>
      <c r="F7570" s="20"/>
      <c r="AC7570" s="20"/>
      <c r="AG7570" s="29"/>
    </row>
    <row r="7571" spans="2:33">
      <c r="B7571" s="29"/>
      <c r="D7571" s="29"/>
      <c r="E7571" s="20"/>
      <c r="F7571" s="20"/>
      <c r="AC7571" s="20"/>
      <c r="AG7571" s="29"/>
    </row>
    <row r="7572" spans="2:33">
      <c r="B7572" s="29"/>
      <c r="D7572" s="29"/>
      <c r="E7572" s="20"/>
      <c r="F7572" s="20"/>
      <c r="AC7572" s="20"/>
      <c r="AG7572" s="29"/>
    </row>
    <row r="7573" spans="2:33">
      <c r="B7573" s="29"/>
      <c r="D7573" s="29"/>
      <c r="E7573" s="20"/>
      <c r="F7573" s="20"/>
      <c r="AC7573" s="20"/>
      <c r="AG7573" s="29"/>
    </row>
    <row r="7574" spans="2:33">
      <c r="B7574" s="29"/>
      <c r="D7574" s="29"/>
      <c r="E7574" s="20"/>
      <c r="F7574" s="20"/>
      <c r="AC7574" s="20"/>
      <c r="AG7574" s="29"/>
    </row>
    <row r="7575" spans="2:33">
      <c r="B7575" s="29"/>
      <c r="D7575" s="29"/>
      <c r="E7575" s="20"/>
      <c r="F7575" s="20"/>
      <c r="AC7575" s="20"/>
      <c r="AG7575" s="29"/>
    </row>
    <row r="7576" spans="2:33">
      <c r="B7576" s="29"/>
      <c r="D7576" s="29"/>
      <c r="E7576" s="20"/>
      <c r="F7576" s="20"/>
      <c r="AC7576" s="20"/>
      <c r="AG7576" s="29"/>
    </row>
    <row r="7577" spans="2:33">
      <c r="B7577" s="29"/>
      <c r="D7577" s="29"/>
      <c r="E7577" s="20"/>
      <c r="F7577" s="20"/>
      <c r="AC7577" s="20"/>
      <c r="AG7577" s="29"/>
    </row>
    <row r="7578" spans="2:33">
      <c r="B7578" s="29"/>
      <c r="D7578" s="29"/>
      <c r="E7578" s="20"/>
      <c r="F7578" s="20"/>
      <c r="AC7578" s="20"/>
      <c r="AG7578" s="29"/>
    </row>
    <row r="7579" spans="2:33">
      <c r="B7579" s="29"/>
      <c r="D7579" s="29"/>
      <c r="E7579" s="20"/>
      <c r="F7579" s="20"/>
      <c r="AC7579" s="20"/>
      <c r="AG7579" s="29"/>
    </row>
    <row r="7580" spans="2:33">
      <c r="B7580" s="29"/>
      <c r="D7580" s="29"/>
      <c r="E7580" s="20"/>
      <c r="F7580" s="20"/>
      <c r="AC7580" s="20"/>
      <c r="AG7580" s="29"/>
    </row>
    <row r="7581" spans="2:33">
      <c r="B7581" s="29"/>
      <c r="D7581" s="29"/>
      <c r="E7581" s="20"/>
      <c r="F7581" s="20"/>
      <c r="AC7581" s="20"/>
      <c r="AG7581" s="29"/>
    </row>
    <row r="7582" spans="2:33">
      <c r="B7582" s="29"/>
      <c r="D7582" s="29"/>
      <c r="E7582" s="20"/>
      <c r="F7582" s="20"/>
      <c r="AC7582" s="20"/>
      <c r="AG7582" s="29"/>
    </row>
    <row r="7583" spans="2:33">
      <c r="B7583" s="29"/>
      <c r="D7583" s="29"/>
      <c r="E7583" s="20"/>
      <c r="F7583" s="20"/>
      <c r="AC7583" s="20"/>
      <c r="AG7583" s="29"/>
    </row>
    <row r="7584" spans="2:33">
      <c r="B7584" s="29"/>
      <c r="D7584" s="29"/>
      <c r="E7584" s="20"/>
      <c r="F7584" s="20"/>
      <c r="AC7584" s="20"/>
      <c r="AG7584" s="29"/>
    </row>
    <row r="7585" spans="2:33">
      <c r="B7585" s="29"/>
      <c r="D7585" s="29"/>
      <c r="E7585" s="20"/>
      <c r="F7585" s="20"/>
      <c r="AC7585" s="20"/>
      <c r="AG7585" s="29"/>
    </row>
    <row r="7586" spans="2:33">
      <c r="B7586" s="29"/>
      <c r="D7586" s="29"/>
      <c r="E7586" s="20"/>
      <c r="F7586" s="20"/>
      <c r="AC7586" s="20"/>
      <c r="AG7586" s="29"/>
    </row>
    <row r="7587" spans="2:33">
      <c r="B7587" s="29"/>
      <c r="D7587" s="29"/>
      <c r="E7587" s="20"/>
      <c r="F7587" s="20"/>
      <c r="AC7587" s="20"/>
      <c r="AG7587" s="29"/>
    </row>
    <row r="7588" spans="2:33">
      <c r="B7588" s="29"/>
      <c r="D7588" s="29"/>
      <c r="E7588" s="20"/>
      <c r="F7588" s="20"/>
      <c r="AC7588" s="20"/>
      <c r="AG7588" s="29"/>
    </row>
    <row r="7589" spans="2:33">
      <c r="B7589" s="29"/>
      <c r="D7589" s="29"/>
      <c r="E7589" s="20"/>
      <c r="F7589" s="20"/>
      <c r="AC7589" s="20"/>
      <c r="AG7589" s="29"/>
    </row>
    <row r="7590" spans="2:33">
      <c r="B7590" s="29"/>
      <c r="D7590" s="29"/>
      <c r="E7590" s="20"/>
      <c r="F7590" s="20"/>
      <c r="AC7590" s="20"/>
      <c r="AG7590" s="29"/>
    </row>
    <row r="7591" spans="2:33">
      <c r="B7591" s="29"/>
      <c r="D7591" s="29"/>
      <c r="E7591" s="20"/>
      <c r="F7591" s="20"/>
      <c r="AC7591" s="20"/>
      <c r="AG7591" s="29"/>
    </row>
    <row r="7592" spans="2:33">
      <c r="B7592" s="29"/>
      <c r="D7592" s="29"/>
      <c r="E7592" s="20"/>
      <c r="F7592" s="20"/>
      <c r="AC7592" s="20"/>
      <c r="AG7592" s="29"/>
    </row>
    <row r="7593" spans="2:33">
      <c r="B7593" s="29"/>
      <c r="D7593" s="29"/>
      <c r="E7593" s="20"/>
      <c r="F7593" s="20"/>
      <c r="AC7593" s="20"/>
      <c r="AG7593" s="29"/>
    </row>
    <row r="7594" spans="2:33">
      <c r="B7594" s="29"/>
      <c r="D7594" s="29"/>
      <c r="E7594" s="20"/>
      <c r="F7594" s="20"/>
      <c r="AC7594" s="20"/>
      <c r="AG7594" s="29"/>
    </row>
    <row r="7595" spans="2:33">
      <c r="B7595" s="29"/>
      <c r="D7595" s="29"/>
      <c r="E7595" s="20"/>
      <c r="F7595" s="20"/>
      <c r="AC7595" s="20"/>
      <c r="AG7595" s="29"/>
    </row>
    <row r="7596" spans="2:33">
      <c r="B7596" s="29"/>
      <c r="D7596" s="29"/>
      <c r="E7596" s="20"/>
      <c r="F7596" s="20"/>
      <c r="AC7596" s="20"/>
      <c r="AG7596" s="29"/>
    </row>
    <row r="7597" spans="2:33">
      <c r="B7597" s="29"/>
      <c r="D7597" s="29"/>
      <c r="E7597" s="20"/>
      <c r="F7597" s="20"/>
      <c r="AC7597" s="20"/>
      <c r="AG7597" s="29"/>
    </row>
    <row r="7598" spans="2:33">
      <c r="B7598" s="29"/>
      <c r="D7598" s="29"/>
      <c r="E7598" s="20"/>
      <c r="F7598" s="20"/>
      <c r="AC7598" s="20"/>
      <c r="AG7598" s="29"/>
    </row>
    <row r="7599" spans="2:33">
      <c r="B7599" s="29"/>
      <c r="D7599" s="29"/>
      <c r="E7599" s="20"/>
      <c r="F7599" s="20"/>
      <c r="AC7599" s="20"/>
      <c r="AG7599" s="29"/>
    </row>
    <row r="7600" spans="2:33">
      <c r="B7600" s="29"/>
      <c r="D7600" s="29"/>
      <c r="E7600" s="20"/>
      <c r="F7600" s="20"/>
      <c r="AC7600" s="20"/>
      <c r="AG7600" s="29"/>
    </row>
    <row r="7601" spans="2:33">
      <c r="B7601" s="29"/>
      <c r="D7601" s="29"/>
      <c r="E7601" s="20"/>
      <c r="F7601" s="20"/>
      <c r="AC7601" s="20"/>
      <c r="AG7601" s="29"/>
    </row>
    <row r="7602" spans="2:33">
      <c r="B7602" s="29"/>
      <c r="D7602" s="29"/>
      <c r="E7602" s="20"/>
      <c r="F7602" s="20"/>
      <c r="AC7602" s="20"/>
      <c r="AG7602" s="29"/>
    </row>
    <row r="7603" spans="2:33">
      <c r="B7603" s="29"/>
      <c r="D7603" s="29"/>
      <c r="E7603" s="20"/>
      <c r="F7603" s="20"/>
      <c r="AC7603" s="20"/>
      <c r="AG7603" s="29"/>
    </row>
    <row r="7604" spans="2:33">
      <c r="B7604" s="29"/>
      <c r="D7604" s="29"/>
      <c r="E7604" s="20"/>
      <c r="F7604" s="20"/>
      <c r="AC7604" s="20"/>
      <c r="AG7604" s="29"/>
    </row>
    <row r="7605" spans="2:33">
      <c r="B7605" s="29"/>
      <c r="D7605" s="29"/>
      <c r="E7605" s="20"/>
      <c r="F7605" s="20"/>
      <c r="AC7605" s="20"/>
      <c r="AG7605" s="29"/>
    </row>
    <row r="7606" spans="2:33">
      <c r="B7606" s="29"/>
      <c r="D7606" s="29"/>
      <c r="E7606" s="20"/>
      <c r="F7606" s="20"/>
      <c r="AC7606" s="20"/>
      <c r="AG7606" s="29"/>
    </row>
    <row r="7607" spans="2:33">
      <c r="B7607" s="29"/>
      <c r="D7607" s="29"/>
      <c r="E7607" s="20"/>
      <c r="F7607" s="20"/>
      <c r="AC7607" s="20"/>
      <c r="AG7607" s="29"/>
    </row>
    <row r="7608" spans="2:33">
      <c r="B7608" s="29"/>
      <c r="D7608" s="29"/>
      <c r="E7608" s="20"/>
      <c r="F7608" s="20"/>
      <c r="AC7608" s="20"/>
      <c r="AG7608" s="29"/>
    </row>
    <row r="7609" spans="2:33">
      <c r="B7609" s="29"/>
      <c r="D7609" s="29"/>
      <c r="E7609" s="20"/>
      <c r="F7609" s="20"/>
      <c r="AC7609" s="20"/>
      <c r="AG7609" s="29"/>
    </row>
    <row r="7610" spans="2:33">
      <c r="B7610" s="29"/>
      <c r="D7610" s="29"/>
      <c r="E7610" s="20"/>
      <c r="F7610" s="20"/>
      <c r="AC7610" s="20"/>
      <c r="AG7610" s="29"/>
    </row>
    <row r="7611" spans="2:33">
      <c r="B7611" s="29"/>
      <c r="D7611" s="29"/>
      <c r="E7611" s="20"/>
      <c r="F7611" s="20"/>
      <c r="AC7611" s="20"/>
      <c r="AG7611" s="29"/>
    </row>
    <row r="7612" spans="2:33">
      <c r="B7612" s="29"/>
      <c r="D7612" s="29"/>
      <c r="E7612" s="20"/>
      <c r="F7612" s="20"/>
      <c r="AC7612" s="20"/>
      <c r="AG7612" s="29"/>
    </row>
    <row r="7613" spans="2:33">
      <c r="B7613" s="29"/>
      <c r="D7613" s="29"/>
      <c r="E7613" s="20"/>
      <c r="F7613" s="20"/>
      <c r="AC7613" s="20"/>
      <c r="AG7613" s="29"/>
    </row>
    <row r="7614" spans="2:33">
      <c r="B7614" s="29"/>
      <c r="D7614" s="29"/>
      <c r="E7614" s="20"/>
      <c r="F7614" s="20"/>
      <c r="AC7614" s="20"/>
      <c r="AG7614" s="29"/>
    </row>
    <row r="7615" spans="2:33">
      <c r="B7615" s="29"/>
      <c r="D7615" s="29"/>
      <c r="E7615" s="20"/>
      <c r="F7615" s="20"/>
      <c r="AC7615" s="20"/>
      <c r="AG7615" s="29"/>
    </row>
    <row r="7616" spans="2:33">
      <c r="B7616" s="29"/>
      <c r="D7616" s="29"/>
      <c r="E7616" s="20"/>
      <c r="F7616" s="20"/>
      <c r="AC7616" s="20"/>
      <c r="AG7616" s="29"/>
    </row>
    <row r="7617" spans="2:33">
      <c r="B7617" s="29"/>
      <c r="D7617" s="29"/>
      <c r="E7617" s="20"/>
      <c r="F7617" s="20"/>
      <c r="AC7617" s="20"/>
      <c r="AG7617" s="29"/>
    </row>
    <row r="7618" spans="2:33">
      <c r="B7618" s="29"/>
      <c r="D7618" s="29"/>
      <c r="E7618" s="20"/>
      <c r="F7618" s="20"/>
      <c r="AC7618" s="20"/>
      <c r="AG7618" s="29"/>
    </row>
    <row r="7619" spans="2:33">
      <c r="B7619" s="29"/>
      <c r="D7619" s="29"/>
      <c r="E7619" s="20"/>
      <c r="F7619" s="20"/>
      <c r="AC7619" s="20"/>
      <c r="AG7619" s="29"/>
    </row>
    <row r="7620" spans="2:33">
      <c r="B7620" s="29"/>
      <c r="D7620" s="29"/>
      <c r="E7620" s="20"/>
      <c r="F7620" s="20"/>
      <c r="AC7620" s="20"/>
      <c r="AG7620" s="29"/>
    </row>
    <row r="7621" spans="2:33">
      <c r="B7621" s="29"/>
      <c r="D7621" s="29"/>
      <c r="E7621" s="20"/>
      <c r="F7621" s="20"/>
      <c r="AC7621" s="20"/>
      <c r="AG7621" s="29"/>
    </row>
    <row r="7622" spans="2:33">
      <c r="B7622" s="29"/>
      <c r="D7622" s="29"/>
      <c r="E7622" s="20"/>
      <c r="F7622" s="20"/>
      <c r="AC7622" s="20"/>
      <c r="AG7622" s="29"/>
    </row>
    <row r="7623" spans="2:33">
      <c r="B7623" s="29"/>
      <c r="D7623" s="29"/>
      <c r="E7623" s="20"/>
      <c r="F7623" s="20"/>
      <c r="AC7623" s="20"/>
      <c r="AG7623" s="29"/>
    </row>
    <row r="7624" spans="2:33">
      <c r="B7624" s="29"/>
      <c r="D7624" s="29"/>
      <c r="E7624" s="20"/>
      <c r="F7624" s="20"/>
      <c r="AC7624" s="20"/>
      <c r="AG7624" s="29"/>
    </row>
    <row r="7625" spans="2:33">
      <c r="B7625" s="29"/>
      <c r="D7625" s="29"/>
      <c r="E7625" s="20"/>
      <c r="F7625" s="20"/>
      <c r="AC7625" s="20"/>
      <c r="AG7625" s="29"/>
    </row>
    <row r="7626" spans="2:33">
      <c r="B7626" s="29"/>
      <c r="D7626" s="29"/>
      <c r="E7626" s="20"/>
      <c r="F7626" s="20"/>
      <c r="AC7626" s="20"/>
      <c r="AG7626" s="29"/>
    </row>
    <row r="7627" spans="2:33">
      <c r="B7627" s="29"/>
      <c r="D7627" s="29"/>
      <c r="E7627" s="20"/>
      <c r="F7627" s="20"/>
      <c r="AC7627" s="20"/>
      <c r="AG7627" s="29"/>
    </row>
    <row r="7628" spans="2:33">
      <c r="B7628" s="29"/>
      <c r="D7628" s="29"/>
      <c r="E7628" s="20"/>
      <c r="F7628" s="20"/>
      <c r="AC7628" s="20"/>
      <c r="AG7628" s="29"/>
    </row>
    <row r="7629" spans="2:33">
      <c r="B7629" s="29"/>
      <c r="D7629" s="29"/>
      <c r="E7629" s="20"/>
      <c r="F7629" s="20"/>
      <c r="AC7629" s="20"/>
      <c r="AG7629" s="29"/>
    </row>
    <row r="7630" spans="2:33">
      <c r="B7630" s="29"/>
      <c r="D7630" s="29"/>
      <c r="E7630" s="20"/>
      <c r="F7630" s="20"/>
      <c r="AC7630" s="20"/>
      <c r="AG7630" s="29"/>
    </row>
    <row r="7631" spans="2:33">
      <c r="B7631" s="29"/>
      <c r="D7631" s="29"/>
      <c r="E7631" s="20"/>
      <c r="F7631" s="20"/>
      <c r="AC7631" s="20"/>
      <c r="AG7631" s="29"/>
    </row>
    <row r="7632" spans="2:33">
      <c r="B7632" s="29"/>
      <c r="D7632" s="29"/>
      <c r="E7632" s="20"/>
      <c r="F7632" s="20"/>
      <c r="AC7632" s="20"/>
      <c r="AG7632" s="29"/>
    </row>
    <row r="7633" spans="2:33">
      <c r="B7633" s="29"/>
      <c r="D7633" s="29"/>
      <c r="E7633" s="20"/>
      <c r="F7633" s="20"/>
      <c r="AC7633" s="20"/>
      <c r="AG7633" s="29"/>
    </row>
    <row r="7634" spans="2:33">
      <c r="B7634" s="29"/>
      <c r="D7634" s="29"/>
      <c r="E7634" s="20"/>
      <c r="F7634" s="20"/>
      <c r="AC7634" s="20"/>
      <c r="AG7634" s="29"/>
    </row>
    <row r="7635" spans="2:33">
      <c r="B7635" s="29"/>
      <c r="D7635" s="29"/>
      <c r="E7635" s="20"/>
      <c r="F7635" s="20"/>
      <c r="AC7635" s="20"/>
      <c r="AG7635" s="29"/>
    </row>
    <row r="7636" spans="2:33">
      <c r="B7636" s="29"/>
      <c r="D7636" s="29"/>
      <c r="E7636" s="20"/>
      <c r="F7636" s="20"/>
      <c r="AC7636" s="20"/>
      <c r="AG7636" s="29"/>
    </row>
    <row r="7637" spans="2:33">
      <c r="B7637" s="29"/>
      <c r="D7637" s="29"/>
      <c r="E7637" s="20"/>
      <c r="F7637" s="20"/>
      <c r="AC7637" s="20"/>
      <c r="AG7637" s="29"/>
    </row>
    <row r="7638" spans="2:33">
      <c r="B7638" s="29"/>
      <c r="D7638" s="29"/>
      <c r="E7638" s="20"/>
      <c r="F7638" s="20"/>
      <c r="AC7638" s="20"/>
      <c r="AG7638" s="29"/>
    </row>
    <row r="7639" spans="2:33">
      <c r="B7639" s="29"/>
      <c r="D7639" s="29"/>
      <c r="E7639" s="20"/>
      <c r="F7639" s="20"/>
      <c r="AC7639" s="20"/>
      <c r="AG7639" s="29"/>
    </row>
    <row r="7640" spans="2:33">
      <c r="B7640" s="29"/>
      <c r="D7640" s="29"/>
      <c r="E7640" s="20"/>
      <c r="F7640" s="20"/>
      <c r="AC7640" s="20"/>
      <c r="AG7640" s="29"/>
    </row>
    <row r="7641" spans="2:33">
      <c r="B7641" s="29"/>
      <c r="D7641" s="29"/>
      <c r="E7641" s="20"/>
      <c r="F7641" s="20"/>
      <c r="AC7641" s="20"/>
      <c r="AG7641" s="29"/>
    </row>
    <row r="7642" spans="2:33">
      <c r="B7642" s="29"/>
      <c r="D7642" s="29"/>
      <c r="E7642" s="20"/>
      <c r="F7642" s="20"/>
      <c r="AC7642" s="20"/>
      <c r="AG7642" s="29"/>
    </row>
    <row r="7643" spans="2:33">
      <c r="B7643" s="29"/>
      <c r="D7643" s="29"/>
      <c r="E7643" s="20"/>
      <c r="F7643" s="20"/>
      <c r="AC7643" s="20"/>
      <c r="AG7643" s="29"/>
    </row>
    <row r="7644" spans="2:33">
      <c r="B7644" s="29"/>
      <c r="D7644" s="29"/>
      <c r="E7644" s="20"/>
      <c r="F7644" s="20"/>
      <c r="AC7644" s="20"/>
      <c r="AG7644" s="29"/>
    </row>
    <row r="7645" spans="2:33">
      <c r="B7645" s="29"/>
      <c r="D7645" s="29"/>
      <c r="E7645" s="20"/>
      <c r="F7645" s="20"/>
      <c r="AC7645" s="20"/>
      <c r="AG7645" s="29"/>
    </row>
    <row r="7646" spans="2:33">
      <c r="B7646" s="29"/>
      <c r="D7646" s="29"/>
      <c r="E7646" s="20"/>
      <c r="F7646" s="20"/>
      <c r="AC7646" s="20"/>
      <c r="AG7646" s="29"/>
    </row>
    <row r="7647" spans="2:33">
      <c r="B7647" s="29"/>
      <c r="D7647" s="29"/>
      <c r="E7647" s="20"/>
      <c r="F7647" s="20"/>
      <c r="AC7647" s="20"/>
      <c r="AG7647" s="29"/>
    </row>
    <row r="7648" spans="2:33">
      <c r="B7648" s="29"/>
      <c r="D7648" s="29"/>
      <c r="E7648" s="20"/>
      <c r="F7648" s="20"/>
      <c r="AC7648" s="20"/>
      <c r="AG7648" s="29"/>
    </row>
    <row r="7649" spans="2:33">
      <c r="B7649" s="29"/>
      <c r="D7649" s="29"/>
      <c r="E7649" s="20"/>
      <c r="F7649" s="20"/>
      <c r="AC7649" s="20"/>
      <c r="AG7649" s="29"/>
    </row>
    <row r="7650" spans="2:33">
      <c r="B7650" s="29"/>
      <c r="D7650" s="29"/>
      <c r="E7650" s="20"/>
      <c r="F7650" s="20"/>
      <c r="AC7650" s="20"/>
      <c r="AG7650" s="29"/>
    </row>
    <row r="7651" spans="2:33">
      <c r="B7651" s="29"/>
      <c r="D7651" s="29"/>
      <c r="E7651" s="20"/>
      <c r="F7651" s="20"/>
      <c r="AC7651" s="20"/>
      <c r="AG7651" s="29"/>
    </row>
    <row r="7652" spans="2:33">
      <c r="B7652" s="29"/>
      <c r="D7652" s="29"/>
      <c r="E7652" s="20"/>
      <c r="F7652" s="20"/>
      <c r="AC7652" s="20"/>
      <c r="AG7652" s="29"/>
    </row>
    <row r="7653" spans="2:33">
      <c r="B7653" s="29"/>
      <c r="D7653" s="29"/>
      <c r="E7653" s="20"/>
      <c r="F7653" s="20"/>
      <c r="AC7653" s="20"/>
      <c r="AG7653" s="29"/>
    </row>
    <row r="7654" spans="2:33">
      <c r="B7654" s="29"/>
      <c r="D7654" s="29"/>
      <c r="E7654" s="20"/>
      <c r="F7654" s="20"/>
      <c r="AC7654" s="20"/>
      <c r="AG7654" s="29"/>
    </row>
    <row r="7655" spans="2:33">
      <c r="B7655" s="29"/>
      <c r="D7655" s="29"/>
      <c r="E7655" s="20"/>
      <c r="F7655" s="20"/>
      <c r="AC7655" s="20"/>
      <c r="AG7655" s="29"/>
    </row>
    <row r="7656" spans="2:33">
      <c r="B7656" s="29"/>
      <c r="D7656" s="29"/>
      <c r="E7656" s="20"/>
      <c r="F7656" s="20"/>
      <c r="AC7656" s="20"/>
      <c r="AG7656" s="29"/>
    </row>
    <row r="7657" spans="2:33">
      <c r="B7657" s="29"/>
      <c r="D7657" s="29"/>
      <c r="E7657" s="20"/>
      <c r="F7657" s="20"/>
      <c r="AC7657" s="20"/>
      <c r="AG7657" s="29"/>
    </row>
    <row r="7658" spans="2:33">
      <c r="B7658" s="29"/>
      <c r="D7658" s="29"/>
      <c r="E7658" s="20"/>
      <c r="F7658" s="20"/>
      <c r="AC7658" s="20"/>
      <c r="AG7658" s="29"/>
    </row>
    <row r="7659" spans="2:33">
      <c r="B7659" s="29"/>
      <c r="D7659" s="29"/>
      <c r="E7659" s="20"/>
      <c r="F7659" s="20"/>
      <c r="AC7659" s="20"/>
      <c r="AG7659" s="29"/>
    </row>
    <row r="7660" spans="2:33">
      <c r="B7660" s="29"/>
      <c r="D7660" s="29"/>
      <c r="E7660" s="20"/>
      <c r="F7660" s="20"/>
      <c r="AC7660" s="20"/>
      <c r="AG7660" s="29"/>
    </row>
    <row r="7661" spans="2:33">
      <c r="B7661" s="29"/>
      <c r="D7661" s="29"/>
      <c r="E7661" s="20"/>
      <c r="F7661" s="20"/>
      <c r="AC7661" s="20"/>
      <c r="AG7661" s="29"/>
    </row>
    <row r="7662" spans="2:33">
      <c r="B7662" s="29"/>
      <c r="D7662" s="29"/>
      <c r="E7662" s="20"/>
      <c r="F7662" s="20"/>
      <c r="AC7662" s="20"/>
      <c r="AG7662" s="29"/>
    </row>
    <row r="7663" spans="2:33">
      <c r="B7663" s="29"/>
      <c r="D7663" s="29"/>
      <c r="E7663" s="20"/>
      <c r="F7663" s="20"/>
      <c r="AC7663" s="20"/>
      <c r="AG7663" s="29"/>
    </row>
    <row r="7664" spans="2:33">
      <c r="B7664" s="29"/>
      <c r="D7664" s="29"/>
      <c r="E7664" s="20"/>
      <c r="F7664" s="20"/>
      <c r="AC7664" s="20"/>
      <c r="AG7664" s="29"/>
    </row>
    <row r="7665" spans="2:33">
      <c r="B7665" s="29"/>
      <c r="D7665" s="29"/>
      <c r="E7665" s="20"/>
      <c r="F7665" s="20"/>
      <c r="AC7665" s="20"/>
      <c r="AG7665" s="29"/>
    </row>
    <row r="7666" spans="2:33">
      <c r="B7666" s="29"/>
      <c r="D7666" s="29"/>
      <c r="E7666" s="20"/>
      <c r="F7666" s="20"/>
      <c r="AC7666" s="20"/>
      <c r="AG7666" s="29"/>
    </row>
    <row r="7667" spans="2:33">
      <c r="B7667" s="29"/>
      <c r="D7667" s="29"/>
      <c r="E7667" s="20"/>
      <c r="F7667" s="20"/>
      <c r="AC7667" s="20"/>
      <c r="AG7667" s="29"/>
    </row>
    <row r="7668" spans="2:33">
      <c r="B7668" s="29"/>
      <c r="D7668" s="29"/>
      <c r="E7668" s="20"/>
      <c r="F7668" s="20"/>
      <c r="AC7668" s="20"/>
      <c r="AG7668" s="29"/>
    </row>
    <row r="7669" spans="2:33">
      <c r="B7669" s="29"/>
      <c r="D7669" s="29"/>
      <c r="E7669" s="20"/>
      <c r="F7669" s="20"/>
      <c r="AC7669" s="20"/>
      <c r="AG7669" s="29"/>
    </row>
    <row r="7670" spans="2:33">
      <c r="B7670" s="29"/>
      <c r="D7670" s="29"/>
      <c r="E7670" s="20"/>
      <c r="F7670" s="20"/>
      <c r="AC7670" s="20"/>
      <c r="AG7670" s="29"/>
    </row>
    <row r="7671" spans="2:33">
      <c r="B7671" s="29"/>
      <c r="D7671" s="29"/>
      <c r="E7671" s="20"/>
      <c r="F7671" s="20"/>
      <c r="AC7671" s="20"/>
      <c r="AG7671" s="29"/>
    </row>
    <row r="7672" spans="2:33">
      <c r="B7672" s="29"/>
      <c r="D7672" s="29"/>
      <c r="E7672" s="20"/>
      <c r="F7672" s="20"/>
      <c r="AC7672" s="20"/>
      <c r="AG7672" s="29"/>
    </row>
    <row r="7673" spans="2:33">
      <c r="B7673" s="29"/>
      <c r="D7673" s="29"/>
      <c r="E7673" s="20"/>
      <c r="F7673" s="20"/>
      <c r="AC7673" s="20"/>
      <c r="AG7673" s="29"/>
    </row>
    <row r="7674" spans="2:33">
      <c r="B7674" s="29"/>
      <c r="D7674" s="29"/>
      <c r="E7674" s="20"/>
      <c r="F7674" s="20"/>
      <c r="AC7674" s="20"/>
      <c r="AG7674" s="29"/>
    </row>
    <row r="7675" spans="2:33">
      <c r="B7675" s="29"/>
      <c r="D7675" s="29"/>
      <c r="E7675" s="20"/>
      <c r="F7675" s="20"/>
      <c r="AC7675" s="20"/>
      <c r="AG7675" s="29"/>
    </row>
    <row r="7676" spans="2:33">
      <c r="B7676" s="29"/>
      <c r="D7676" s="29"/>
      <c r="E7676" s="20"/>
      <c r="F7676" s="20"/>
      <c r="AC7676" s="20"/>
      <c r="AG7676" s="29"/>
    </row>
    <row r="7677" spans="2:33">
      <c r="B7677" s="29"/>
      <c r="D7677" s="29"/>
      <c r="E7677" s="20"/>
      <c r="F7677" s="20"/>
      <c r="AC7677" s="20"/>
      <c r="AG7677" s="29"/>
    </row>
    <row r="7678" spans="2:33">
      <c r="B7678" s="29"/>
      <c r="D7678" s="29"/>
      <c r="E7678" s="20"/>
      <c r="F7678" s="20"/>
      <c r="AC7678" s="20"/>
      <c r="AG7678" s="29"/>
    </row>
    <row r="7679" spans="2:33">
      <c r="B7679" s="29"/>
      <c r="D7679" s="29"/>
      <c r="E7679" s="20"/>
      <c r="F7679" s="20"/>
      <c r="AC7679" s="20"/>
      <c r="AG7679" s="29"/>
    </row>
    <row r="7680" spans="2:33">
      <c r="B7680" s="29"/>
      <c r="D7680" s="29"/>
      <c r="E7680" s="20"/>
      <c r="F7680" s="20"/>
      <c r="AC7680" s="20"/>
      <c r="AG7680" s="29"/>
    </row>
    <row r="7681" spans="2:33">
      <c r="B7681" s="29"/>
      <c r="D7681" s="29"/>
      <c r="E7681" s="20"/>
      <c r="F7681" s="20"/>
      <c r="AC7681" s="20"/>
      <c r="AG7681" s="29"/>
    </row>
    <row r="7682" spans="2:33">
      <c r="B7682" s="29"/>
      <c r="D7682" s="29"/>
      <c r="E7682" s="20"/>
      <c r="F7682" s="20"/>
      <c r="AC7682" s="20"/>
      <c r="AG7682" s="29"/>
    </row>
    <row r="7683" spans="2:33">
      <c r="B7683" s="29"/>
      <c r="D7683" s="29"/>
      <c r="E7683" s="20"/>
      <c r="F7683" s="20"/>
      <c r="AC7683" s="20"/>
      <c r="AG7683" s="29"/>
    </row>
    <row r="7684" spans="2:33">
      <c r="B7684" s="29"/>
      <c r="D7684" s="29"/>
      <c r="E7684" s="20"/>
      <c r="F7684" s="20"/>
      <c r="AC7684" s="20"/>
      <c r="AG7684" s="29"/>
    </row>
    <row r="7685" spans="2:33">
      <c r="B7685" s="29"/>
      <c r="D7685" s="29"/>
      <c r="E7685" s="20"/>
      <c r="F7685" s="20"/>
      <c r="AC7685" s="20"/>
      <c r="AG7685" s="29"/>
    </row>
    <row r="7686" spans="2:33">
      <c r="B7686" s="29"/>
      <c r="D7686" s="29"/>
      <c r="E7686" s="20"/>
      <c r="F7686" s="20"/>
      <c r="AC7686" s="20"/>
      <c r="AG7686" s="29"/>
    </row>
    <row r="7687" spans="2:33">
      <c r="B7687" s="29"/>
      <c r="D7687" s="29"/>
      <c r="E7687" s="20"/>
      <c r="F7687" s="20"/>
      <c r="AC7687" s="20"/>
      <c r="AG7687" s="29"/>
    </row>
    <row r="7688" spans="2:33">
      <c r="B7688" s="29"/>
      <c r="D7688" s="29"/>
      <c r="E7688" s="20"/>
      <c r="F7688" s="20"/>
      <c r="AC7688" s="20"/>
      <c r="AG7688" s="29"/>
    </row>
    <row r="7689" spans="2:33">
      <c r="B7689" s="29"/>
      <c r="D7689" s="29"/>
      <c r="E7689" s="20"/>
      <c r="F7689" s="20"/>
      <c r="AC7689" s="20"/>
      <c r="AG7689" s="29"/>
    </row>
    <row r="7690" spans="2:33">
      <c r="B7690" s="29"/>
      <c r="D7690" s="29"/>
      <c r="E7690" s="20"/>
      <c r="F7690" s="20"/>
      <c r="AC7690" s="20"/>
      <c r="AG7690" s="29"/>
    </row>
    <row r="7691" spans="2:33">
      <c r="B7691" s="29"/>
      <c r="D7691" s="29"/>
      <c r="E7691" s="20"/>
      <c r="F7691" s="20"/>
      <c r="AC7691" s="20"/>
      <c r="AG7691" s="29"/>
    </row>
    <row r="7692" spans="2:33">
      <c r="B7692" s="29"/>
      <c r="D7692" s="29"/>
      <c r="E7692" s="20"/>
      <c r="F7692" s="20"/>
      <c r="AC7692" s="20"/>
      <c r="AG7692" s="29"/>
    </row>
    <row r="7693" spans="2:33">
      <c r="B7693" s="29"/>
      <c r="D7693" s="29"/>
      <c r="E7693" s="20"/>
      <c r="F7693" s="20"/>
      <c r="AC7693" s="20"/>
      <c r="AG7693" s="29"/>
    </row>
    <row r="7694" spans="2:33">
      <c r="B7694" s="29"/>
      <c r="D7694" s="29"/>
      <c r="E7694" s="20"/>
      <c r="F7694" s="20"/>
      <c r="AC7694" s="20"/>
      <c r="AG7694" s="29"/>
    </row>
    <row r="7695" spans="2:33">
      <c r="B7695" s="29"/>
      <c r="D7695" s="29"/>
      <c r="E7695" s="20"/>
      <c r="F7695" s="20"/>
      <c r="AC7695" s="20"/>
      <c r="AG7695" s="29"/>
    </row>
    <row r="7696" spans="2:33">
      <c r="B7696" s="29"/>
      <c r="D7696" s="29"/>
      <c r="E7696" s="20"/>
      <c r="F7696" s="20"/>
      <c r="AC7696" s="20"/>
      <c r="AG7696" s="29"/>
    </row>
    <row r="7697" spans="2:33">
      <c r="B7697" s="29"/>
      <c r="D7697" s="29"/>
      <c r="E7697" s="20"/>
      <c r="F7697" s="20"/>
      <c r="AC7697" s="20"/>
      <c r="AG7697" s="29"/>
    </row>
    <row r="7698" spans="2:33">
      <c r="B7698" s="29"/>
      <c r="D7698" s="29"/>
      <c r="E7698" s="20"/>
      <c r="F7698" s="20"/>
      <c r="AC7698" s="20"/>
      <c r="AG7698" s="29"/>
    </row>
    <row r="7699" spans="2:33">
      <c r="B7699" s="29"/>
      <c r="D7699" s="29"/>
      <c r="E7699" s="20"/>
      <c r="F7699" s="20"/>
      <c r="AC7699" s="20"/>
      <c r="AG7699" s="29"/>
    </row>
    <row r="7700" spans="2:33">
      <c r="B7700" s="29"/>
      <c r="D7700" s="29"/>
      <c r="E7700" s="20"/>
      <c r="F7700" s="20"/>
      <c r="AC7700" s="20"/>
      <c r="AG7700" s="29"/>
    </row>
    <row r="7701" spans="2:33">
      <c r="B7701" s="29"/>
      <c r="D7701" s="29"/>
      <c r="E7701" s="20"/>
      <c r="F7701" s="20"/>
      <c r="AC7701" s="20"/>
      <c r="AG7701" s="29"/>
    </row>
    <row r="7702" spans="2:33">
      <c r="B7702" s="29"/>
      <c r="D7702" s="29"/>
      <c r="E7702" s="20"/>
      <c r="F7702" s="20"/>
      <c r="AC7702" s="20"/>
      <c r="AG7702" s="29"/>
    </row>
    <row r="7703" spans="2:33">
      <c r="B7703" s="29"/>
      <c r="D7703" s="29"/>
      <c r="E7703" s="20"/>
      <c r="F7703" s="20"/>
      <c r="AC7703" s="20"/>
      <c r="AG7703" s="29"/>
    </row>
    <row r="7704" spans="2:33">
      <c r="B7704" s="29"/>
      <c r="D7704" s="29"/>
      <c r="E7704" s="20"/>
      <c r="F7704" s="20"/>
      <c r="AC7704" s="20"/>
      <c r="AG7704" s="29"/>
    </row>
    <row r="7705" spans="2:33">
      <c r="B7705" s="29"/>
      <c r="D7705" s="29"/>
      <c r="E7705" s="20"/>
      <c r="F7705" s="20"/>
      <c r="AC7705" s="20"/>
      <c r="AG7705" s="29"/>
    </row>
    <row r="7706" spans="2:33">
      <c r="B7706" s="29"/>
      <c r="D7706" s="29"/>
      <c r="E7706" s="20"/>
      <c r="F7706" s="20"/>
      <c r="AC7706" s="20"/>
      <c r="AG7706" s="29"/>
    </row>
    <row r="7707" spans="2:33">
      <c r="B7707" s="29"/>
      <c r="D7707" s="29"/>
      <c r="E7707" s="20"/>
      <c r="F7707" s="20"/>
      <c r="AC7707" s="20"/>
      <c r="AG7707" s="29"/>
    </row>
    <row r="7708" spans="2:33">
      <c r="B7708" s="29"/>
      <c r="D7708" s="29"/>
      <c r="E7708" s="20"/>
      <c r="F7708" s="20"/>
      <c r="AC7708" s="20"/>
      <c r="AG7708" s="29"/>
    </row>
    <row r="7709" spans="2:33">
      <c r="B7709" s="29"/>
      <c r="D7709" s="29"/>
      <c r="E7709" s="20"/>
      <c r="F7709" s="20"/>
      <c r="AC7709" s="20"/>
      <c r="AG7709" s="29"/>
    </row>
    <row r="7710" spans="2:33">
      <c r="B7710" s="29"/>
      <c r="D7710" s="29"/>
      <c r="E7710" s="20"/>
      <c r="F7710" s="20"/>
      <c r="AC7710" s="20"/>
      <c r="AG7710" s="29"/>
    </row>
    <row r="7711" spans="2:33">
      <c r="B7711" s="29"/>
      <c r="D7711" s="29"/>
      <c r="E7711" s="20"/>
      <c r="F7711" s="20"/>
      <c r="AC7711" s="20"/>
      <c r="AG7711" s="29"/>
    </row>
    <row r="7712" spans="2:33">
      <c r="B7712" s="29"/>
      <c r="D7712" s="29"/>
      <c r="E7712" s="20"/>
      <c r="F7712" s="20"/>
      <c r="AC7712" s="20"/>
      <c r="AG7712" s="29"/>
    </row>
    <row r="7713" spans="2:33">
      <c r="B7713" s="29"/>
      <c r="D7713" s="29"/>
      <c r="E7713" s="20"/>
      <c r="F7713" s="20"/>
      <c r="AC7713" s="20"/>
      <c r="AG7713" s="29"/>
    </row>
    <row r="7714" spans="2:33">
      <c r="B7714" s="29"/>
      <c r="D7714" s="29"/>
      <c r="E7714" s="20"/>
      <c r="F7714" s="20"/>
      <c r="AC7714" s="20"/>
      <c r="AG7714" s="29"/>
    </row>
    <row r="7715" spans="2:33">
      <c r="B7715" s="29"/>
      <c r="D7715" s="29"/>
      <c r="E7715" s="20"/>
      <c r="F7715" s="20"/>
      <c r="AC7715" s="20"/>
      <c r="AG7715" s="29"/>
    </row>
    <row r="7716" spans="2:33">
      <c r="B7716" s="29"/>
      <c r="D7716" s="29"/>
      <c r="E7716" s="20"/>
      <c r="F7716" s="20"/>
      <c r="AC7716" s="20"/>
      <c r="AG7716" s="29"/>
    </row>
    <row r="7717" spans="2:33">
      <c r="B7717" s="29"/>
      <c r="D7717" s="29"/>
      <c r="E7717" s="20"/>
      <c r="F7717" s="20"/>
      <c r="AC7717" s="20"/>
      <c r="AG7717" s="29"/>
    </row>
    <row r="7718" spans="2:33">
      <c r="B7718" s="29"/>
      <c r="D7718" s="29"/>
      <c r="E7718" s="20"/>
      <c r="F7718" s="20"/>
      <c r="AC7718" s="20"/>
      <c r="AG7718" s="29"/>
    </row>
    <row r="7719" spans="2:33">
      <c r="B7719" s="29"/>
      <c r="D7719" s="29"/>
      <c r="E7719" s="20"/>
      <c r="F7719" s="20"/>
      <c r="AC7719" s="20"/>
      <c r="AG7719" s="29"/>
    </row>
    <row r="7720" spans="2:33">
      <c r="B7720" s="29"/>
      <c r="D7720" s="29"/>
      <c r="E7720" s="20"/>
      <c r="F7720" s="20"/>
      <c r="AC7720" s="20"/>
      <c r="AG7720" s="29"/>
    </row>
    <row r="7721" spans="2:33">
      <c r="B7721" s="29"/>
      <c r="D7721" s="29"/>
      <c r="E7721" s="20"/>
      <c r="F7721" s="20"/>
      <c r="AC7721" s="20"/>
      <c r="AG7721" s="29"/>
    </row>
    <row r="7722" spans="2:33">
      <c r="B7722" s="29"/>
      <c r="D7722" s="29"/>
      <c r="E7722" s="20"/>
      <c r="F7722" s="20"/>
      <c r="AC7722" s="20"/>
      <c r="AG7722" s="29"/>
    </row>
    <row r="7723" spans="2:33">
      <c r="B7723" s="29"/>
      <c r="D7723" s="29"/>
      <c r="E7723" s="20"/>
      <c r="F7723" s="20"/>
      <c r="AC7723" s="20"/>
      <c r="AG7723" s="29"/>
    </row>
    <row r="7724" spans="2:33">
      <c r="B7724" s="29"/>
      <c r="D7724" s="29"/>
      <c r="E7724" s="20"/>
      <c r="F7724" s="20"/>
      <c r="AC7724" s="20"/>
      <c r="AG7724" s="29"/>
    </row>
    <row r="7725" spans="2:33">
      <c r="B7725" s="29"/>
      <c r="D7725" s="29"/>
      <c r="E7725" s="20"/>
      <c r="F7725" s="20"/>
      <c r="AC7725" s="20"/>
      <c r="AG7725" s="29"/>
    </row>
    <row r="7726" spans="2:33">
      <c r="B7726" s="29"/>
      <c r="D7726" s="29"/>
      <c r="E7726" s="20"/>
      <c r="F7726" s="20"/>
      <c r="AC7726" s="20"/>
      <c r="AG7726" s="29"/>
    </row>
    <row r="7727" spans="2:33">
      <c r="B7727" s="29"/>
      <c r="D7727" s="29"/>
      <c r="E7727" s="20"/>
      <c r="F7727" s="20"/>
      <c r="AC7727" s="20"/>
      <c r="AG7727" s="29"/>
    </row>
    <row r="7728" spans="2:33">
      <c r="B7728" s="29"/>
      <c r="D7728" s="29"/>
      <c r="E7728" s="20"/>
      <c r="F7728" s="20"/>
      <c r="AC7728" s="20"/>
      <c r="AG7728" s="29"/>
    </row>
    <row r="7729" spans="2:33">
      <c r="B7729" s="29"/>
      <c r="D7729" s="29"/>
      <c r="E7729" s="20"/>
      <c r="F7729" s="20"/>
      <c r="AC7729" s="20"/>
      <c r="AG7729" s="29"/>
    </row>
    <row r="7730" spans="2:33">
      <c r="B7730" s="29"/>
      <c r="D7730" s="29"/>
      <c r="E7730" s="20"/>
      <c r="F7730" s="20"/>
      <c r="AC7730" s="20"/>
      <c r="AG7730" s="29"/>
    </row>
    <row r="7731" spans="2:33">
      <c r="B7731" s="29"/>
      <c r="D7731" s="29"/>
      <c r="E7731" s="20"/>
      <c r="F7731" s="20"/>
      <c r="AC7731" s="20"/>
      <c r="AG7731" s="29"/>
    </row>
    <row r="7732" spans="2:33">
      <c r="B7732" s="29"/>
      <c r="D7732" s="29"/>
      <c r="E7732" s="20"/>
      <c r="F7732" s="20"/>
      <c r="AC7732" s="20"/>
      <c r="AG7732" s="29"/>
    </row>
    <row r="7733" spans="2:33">
      <c r="B7733" s="29"/>
      <c r="D7733" s="29"/>
      <c r="E7733" s="20"/>
      <c r="F7733" s="20"/>
      <c r="AC7733" s="20"/>
      <c r="AG7733" s="29"/>
    </row>
    <row r="7734" spans="2:33">
      <c r="B7734" s="29"/>
      <c r="D7734" s="29"/>
      <c r="E7734" s="20"/>
      <c r="F7734" s="20"/>
      <c r="AC7734" s="20"/>
      <c r="AG7734" s="29"/>
    </row>
    <row r="7735" spans="2:33">
      <c r="B7735" s="29"/>
      <c r="D7735" s="29"/>
      <c r="E7735" s="20"/>
      <c r="F7735" s="20"/>
      <c r="AC7735" s="20"/>
      <c r="AG7735" s="29"/>
    </row>
    <row r="7736" spans="2:33">
      <c r="B7736" s="29"/>
      <c r="D7736" s="29"/>
      <c r="E7736" s="20"/>
      <c r="F7736" s="20"/>
      <c r="AC7736" s="20"/>
      <c r="AG7736" s="29"/>
    </row>
    <row r="7737" spans="2:33">
      <c r="B7737" s="29"/>
      <c r="D7737" s="29"/>
      <c r="E7737" s="20"/>
      <c r="F7737" s="20"/>
      <c r="AC7737" s="20"/>
      <c r="AG7737" s="29"/>
    </row>
    <row r="7738" spans="2:33">
      <c r="B7738" s="29"/>
      <c r="D7738" s="29"/>
      <c r="E7738" s="20"/>
      <c r="F7738" s="20"/>
      <c r="AC7738" s="20"/>
      <c r="AG7738" s="29"/>
    </row>
    <row r="7739" spans="2:33">
      <c r="B7739" s="29"/>
      <c r="D7739" s="29"/>
      <c r="E7739" s="20"/>
      <c r="F7739" s="20"/>
      <c r="AC7739" s="20"/>
      <c r="AG7739" s="29"/>
    </row>
    <row r="7740" spans="2:33">
      <c r="B7740" s="29"/>
      <c r="D7740" s="29"/>
      <c r="E7740" s="20"/>
      <c r="F7740" s="20"/>
      <c r="AC7740" s="20"/>
      <c r="AG7740" s="29"/>
    </row>
    <row r="7741" spans="2:33">
      <c r="B7741" s="29"/>
      <c r="D7741" s="29"/>
      <c r="E7741" s="20"/>
      <c r="F7741" s="20"/>
      <c r="AC7741" s="20"/>
      <c r="AG7741" s="29"/>
    </row>
    <row r="7742" spans="2:33">
      <c r="B7742" s="29"/>
      <c r="D7742" s="29"/>
      <c r="E7742" s="20"/>
      <c r="F7742" s="20"/>
      <c r="AC7742" s="20"/>
      <c r="AG7742" s="29"/>
    </row>
    <row r="7743" spans="2:33">
      <c r="B7743" s="29"/>
      <c r="D7743" s="29"/>
      <c r="E7743" s="20"/>
      <c r="F7743" s="20"/>
      <c r="AC7743" s="20"/>
      <c r="AG7743" s="29"/>
    </row>
    <row r="7744" spans="2:33">
      <c r="B7744" s="29"/>
      <c r="D7744" s="29"/>
      <c r="E7744" s="20"/>
      <c r="F7744" s="20"/>
      <c r="AC7744" s="20"/>
      <c r="AG7744" s="29"/>
    </row>
    <row r="7745" spans="2:33">
      <c r="B7745" s="29"/>
      <c r="D7745" s="29"/>
      <c r="E7745" s="20"/>
      <c r="F7745" s="20"/>
      <c r="AC7745" s="20"/>
      <c r="AG7745" s="29"/>
    </row>
    <row r="7746" spans="2:33">
      <c r="B7746" s="29"/>
      <c r="D7746" s="29"/>
      <c r="E7746" s="20"/>
      <c r="F7746" s="20"/>
      <c r="AC7746" s="20"/>
      <c r="AG7746" s="29"/>
    </row>
    <row r="7747" spans="2:33">
      <c r="B7747" s="29"/>
      <c r="D7747" s="29"/>
      <c r="E7747" s="20"/>
      <c r="F7747" s="20"/>
      <c r="AC7747" s="20"/>
      <c r="AG7747" s="29"/>
    </row>
    <row r="7748" spans="2:33">
      <c r="B7748" s="29"/>
      <c r="D7748" s="29"/>
      <c r="E7748" s="20"/>
      <c r="F7748" s="20"/>
      <c r="AC7748" s="20"/>
      <c r="AG7748" s="29"/>
    </row>
    <row r="7749" spans="2:33">
      <c r="B7749" s="29"/>
      <c r="D7749" s="29"/>
      <c r="E7749" s="20"/>
      <c r="F7749" s="20"/>
      <c r="AC7749" s="20"/>
      <c r="AG7749" s="29"/>
    </row>
    <row r="7750" spans="2:33">
      <c r="B7750" s="29"/>
      <c r="D7750" s="29"/>
      <c r="E7750" s="20"/>
      <c r="F7750" s="20"/>
      <c r="AC7750" s="20"/>
      <c r="AG7750" s="29"/>
    </row>
    <row r="7751" spans="2:33">
      <c r="B7751" s="29"/>
      <c r="D7751" s="29"/>
      <c r="E7751" s="20"/>
      <c r="F7751" s="20"/>
      <c r="AC7751" s="20"/>
      <c r="AG7751" s="29"/>
    </row>
    <row r="7752" spans="2:33">
      <c r="B7752" s="29"/>
      <c r="D7752" s="29"/>
      <c r="E7752" s="20"/>
      <c r="F7752" s="20"/>
      <c r="AC7752" s="20"/>
      <c r="AG7752" s="29"/>
    </row>
    <row r="7753" spans="2:33">
      <c r="B7753" s="29"/>
      <c r="D7753" s="29"/>
      <c r="E7753" s="20"/>
      <c r="F7753" s="20"/>
      <c r="AC7753" s="20"/>
      <c r="AG7753" s="29"/>
    </row>
    <row r="7754" spans="2:33">
      <c r="B7754" s="29"/>
      <c r="D7754" s="29"/>
      <c r="E7754" s="20"/>
      <c r="F7754" s="20"/>
      <c r="AC7754" s="20"/>
      <c r="AG7754" s="29"/>
    </row>
    <row r="7755" spans="2:33">
      <c r="B7755" s="29"/>
      <c r="D7755" s="29"/>
      <c r="E7755" s="20"/>
      <c r="F7755" s="20"/>
      <c r="AC7755" s="20"/>
      <c r="AG7755" s="29"/>
    </row>
    <row r="7756" spans="2:33">
      <c r="B7756" s="29"/>
      <c r="D7756" s="29"/>
      <c r="E7756" s="20"/>
      <c r="F7756" s="20"/>
      <c r="AC7756" s="20"/>
      <c r="AG7756" s="29"/>
    </row>
    <row r="7757" spans="2:33">
      <c r="B7757" s="29"/>
      <c r="D7757" s="29"/>
      <c r="E7757" s="20"/>
      <c r="F7757" s="20"/>
      <c r="AC7757" s="20"/>
      <c r="AG7757" s="29"/>
    </row>
    <row r="7758" spans="2:33">
      <c r="B7758" s="29"/>
      <c r="D7758" s="29"/>
      <c r="E7758" s="20"/>
      <c r="F7758" s="20"/>
      <c r="AC7758" s="20"/>
      <c r="AG7758" s="29"/>
    </row>
    <row r="7759" spans="2:33">
      <c r="B7759" s="29"/>
      <c r="D7759" s="29"/>
      <c r="E7759" s="20"/>
      <c r="F7759" s="20"/>
      <c r="AC7759" s="20"/>
      <c r="AG7759" s="29"/>
    </row>
    <row r="7760" spans="2:33">
      <c r="B7760" s="29"/>
      <c r="D7760" s="29"/>
      <c r="E7760" s="20"/>
      <c r="F7760" s="20"/>
      <c r="AC7760" s="20"/>
      <c r="AG7760" s="29"/>
    </row>
    <row r="7761" spans="2:33">
      <c r="B7761" s="29"/>
      <c r="D7761" s="29"/>
      <c r="E7761" s="20"/>
      <c r="F7761" s="20"/>
      <c r="AC7761" s="20"/>
      <c r="AG7761" s="29"/>
    </row>
    <row r="7762" spans="2:33">
      <c r="B7762" s="29"/>
      <c r="D7762" s="29"/>
      <c r="E7762" s="20"/>
      <c r="F7762" s="20"/>
      <c r="AC7762" s="20"/>
      <c r="AG7762" s="29"/>
    </row>
    <row r="7763" spans="2:33">
      <c r="B7763" s="29"/>
      <c r="D7763" s="29"/>
      <c r="E7763" s="20"/>
      <c r="F7763" s="20"/>
      <c r="AC7763" s="20"/>
      <c r="AG7763" s="29"/>
    </row>
    <row r="7764" spans="2:33">
      <c r="B7764" s="29"/>
      <c r="D7764" s="29"/>
      <c r="E7764" s="20"/>
      <c r="F7764" s="20"/>
      <c r="AC7764" s="20"/>
      <c r="AG7764" s="29"/>
    </row>
    <row r="7765" spans="2:33">
      <c r="B7765" s="29"/>
      <c r="D7765" s="29"/>
      <c r="E7765" s="20"/>
      <c r="F7765" s="20"/>
      <c r="AC7765" s="20"/>
      <c r="AG7765" s="29"/>
    </row>
    <row r="7766" spans="2:33">
      <c r="B7766" s="29"/>
      <c r="D7766" s="29"/>
      <c r="E7766" s="20"/>
      <c r="F7766" s="20"/>
      <c r="AC7766" s="20"/>
      <c r="AG7766" s="29"/>
    </row>
    <row r="7767" spans="2:33">
      <c r="B7767" s="29"/>
      <c r="D7767" s="29"/>
      <c r="E7767" s="20"/>
      <c r="F7767" s="20"/>
      <c r="AC7767" s="20"/>
      <c r="AG7767" s="29"/>
    </row>
    <row r="7768" spans="2:33">
      <c r="B7768" s="29"/>
      <c r="D7768" s="29"/>
      <c r="E7768" s="20"/>
      <c r="F7768" s="20"/>
      <c r="AC7768" s="20"/>
      <c r="AG7768" s="29"/>
    </row>
    <row r="7769" spans="2:33">
      <c r="B7769" s="29"/>
      <c r="D7769" s="29"/>
      <c r="E7769" s="20"/>
      <c r="F7769" s="20"/>
      <c r="AC7769" s="20"/>
      <c r="AG7769" s="29"/>
    </row>
    <row r="7770" spans="2:33">
      <c r="B7770" s="29"/>
      <c r="D7770" s="29"/>
      <c r="E7770" s="20"/>
      <c r="F7770" s="20"/>
      <c r="AC7770" s="20"/>
      <c r="AG7770" s="29"/>
    </row>
    <row r="7771" spans="2:33">
      <c r="B7771" s="29"/>
      <c r="D7771" s="29"/>
      <c r="E7771" s="20"/>
      <c r="F7771" s="20"/>
      <c r="AC7771" s="20"/>
      <c r="AG7771" s="29"/>
    </row>
    <row r="7772" spans="2:33">
      <c r="B7772" s="29"/>
      <c r="D7772" s="29"/>
      <c r="E7772" s="20"/>
      <c r="F7772" s="20"/>
      <c r="AC7772" s="20"/>
      <c r="AG7772" s="29"/>
    </row>
    <row r="7773" spans="2:33">
      <c r="B7773" s="29"/>
      <c r="D7773" s="29"/>
      <c r="E7773" s="20"/>
      <c r="F7773" s="20"/>
      <c r="AC7773" s="20"/>
      <c r="AG7773" s="29"/>
    </row>
    <row r="7774" spans="2:33">
      <c r="B7774" s="29"/>
      <c r="D7774" s="29"/>
      <c r="E7774" s="20"/>
      <c r="F7774" s="20"/>
      <c r="AC7774" s="20"/>
      <c r="AG7774" s="29"/>
    </row>
    <row r="7775" spans="2:33">
      <c r="B7775" s="29"/>
      <c r="D7775" s="29"/>
      <c r="E7775" s="20"/>
      <c r="F7775" s="20"/>
      <c r="AC7775" s="20"/>
      <c r="AG7775" s="29"/>
    </row>
    <row r="7776" spans="2:33">
      <c r="B7776" s="29"/>
      <c r="D7776" s="29"/>
      <c r="E7776" s="20"/>
      <c r="F7776" s="20"/>
      <c r="AC7776" s="20"/>
      <c r="AG7776" s="29"/>
    </row>
    <row r="7777" spans="2:33">
      <c r="B7777" s="29"/>
      <c r="D7777" s="29"/>
      <c r="E7777" s="20"/>
      <c r="F7777" s="20"/>
      <c r="AC7777" s="20"/>
      <c r="AG7777" s="29"/>
    </row>
    <row r="7778" spans="2:33">
      <c r="B7778" s="29"/>
      <c r="D7778" s="29"/>
      <c r="E7778" s="20"/>
      <c r="F7778" s="20"/>
      <c r="AC7778" s="20"/>
      <c r="AG7778" s="29"/>
    </row>
    <row r="7779" spans="2:33">
      <c r="B7779" s="29"/>
      <c r="D7779" s="29"/>
      <c r="E7779" s="20"/>
      <c r="F7779" s="20"/>
      <c r="AC7779" s="20"/>
      <c r="AG7779" s="29"/>
    </row>
    <row r="7780" spans="2:33">
      <c r="B7780" s="29"/>
      <c r="D7780" s="29"/>
      <c r="E7780" s="20"/>
      <c r="F7780" s="20"/>
      <c r="AC7780" s="20"/>
      <c r="AG7780" s="29"/>
    </row>
    <row r="7781" spans="2:33">
      <c r="B7781" s="29"/>
      <c r="D7781" s="29"/>
      <c r="E7781" s="20"/>
      <c r="F7781" s="20"/>
      <c r="AC7781" s="20"/>
      <c r="AG7781" s="29"/>
    </row>
    <row r="7782" spans="2:33">
      <c r="B7782" s="29"/>
      <c r="D7782" s="29"/>
      <c r="E7782" s="20"/>
      <c r="F7782" s="20"/>
      <c r="AC7782" s="20"/>
      <c r="AG7782" s="29"/>
    </row>
    <row r="7783" spans="2:33">
      <c r="B7783" s="29"/>
      <c r="D7783" s="29"/>
      <c r="E7783" s="20"/>
      <c r="F7783" s="20"/>
      <c r="AC7783" s="20"/>
      <c r="AG7783" s="29"/>
    </row>
    <row r="7784" spans="2:33">
      <c r="B7784" s="29"/>
      <c r="D7784" s="29"/>
      <c r="E7784" s="20"/>
      <c r="F7784" s="20"/>
      <c r="AC7784" s="20"/>
      <c r="AG7784" s="29"/>
    </row>
    <row r="7785" spans="2:33">
      <c r="B7785" s="29"/>
      <c r="D7785" s="29"/>
      <c r="E7785" s="20"/>
      <c r="F7785" s="20"/>
      <c r="AC7785" s="20"/>
      <c r="AG7785" s="29"/>
    </row>
    <row r="7786" spans="2:33">
      <c r="B7786" s="29"/>
      <c r="D7786" s="29"/>
      <c r="E7786" s="20"/>
      <c r="F7786" s="20"/>
      <c r="AC7786" s="20"/>
      <c r="AG7786" s="29"/>
    </row>
    <row r="7787" spans="2:33">
      <c r="B7787" s="29"/>
      <c r="D7787" s="29"/>
      <c r="E7787" s="20"/>
      <c r="F7787" s="20"/>
      <c r="AC7787" s="20"/>
      <c r="AG7787" s="29"/>
    </row>
    <row r="7788" spans="2:33">
      <c r="B7788" s="29"/>
      <c r="D7788" s="29"/>
      <c r="E7788" s="20"/>
      <c r="F7788" s="20"/>
      <c r="AC7788" s="20"/>
      <c r="AG7788" s="29"/>
    </row>
    <row r="7789" spans="2:33">
      <c r="B7789" s="29"/>
      <c r="D7789" s="29"/>
      <c r="E7789" s="20"/>
      <c r="F7789" s="20"/>
      <c r="AC7789" s="20"/>
      <c r="AG7789" s="29"/>
    </row>
    <row r="7790" spans="2:33">
      <c r="B7790" s="29"/>
      <c r="D7790" s="29"/>
      <c r="E7790" s="20"/>
      <c r="F7790" s="20"/>
      <c r="AC7790" s="20"/>
      <c r="AG7790" s="29"/>
    </row>
    <row r="7791" spans="2:33">
      <c r="B7791" s="29"/>
      <c r="D7791" s="29"/>
      <c r="E7791" s="20"/>
      <c r="F7791" s="20"/>
      <c r="AC7791" s="20"/>
      <c r="AG7791" s="29"/>
    </row>
    <row r="7792" spans="2:33">
      <c r="B7792" s="29"/>
      <c r="D7792" s="29"/>
      <c r="E7792" s="20"/>
      <c r="F7792" s="20"/>
      <c r="AC7792" s="20"/>
      <c r="AG7792" s="29"/>
    </row>
    <row r="7793" spans="2:33">
      <c r="B7793" s="29"/>
      <c r="D7793" s="29"/>
      <c r="E7793" s="20"/>
      <c r="F7793" s="20"/>
      <c r="AC7793" s="20"/>
      <c r="AG7793" s="29"/>
    </row>
    <row r="7794" spans="2:33">
      <c r="B7794" s="29"/>
      <c r="D7794" s="29"/>
      <c r="E7794" s="20"/>
      <c r="F7794" s="20"/>
      <c r="AC7794" s="20"/>
      <c r="AG7794" s="29"/>
    </row>
    <row r="7795" spans="2:33">
      <c r="B7795" s="29"/>
      <c r="D7795" s="29"/>
      <c r="E7795" s="20"/>
      <c r="F7795" s="20"/>
      <c r="AC7795" s="20"/>
      <c r="AG7795" s="29"/>
    </row>
    <row r="7796" spans="2:33">
      <c r="B7796" s="29"/>
      <c r="D7796" s="29"/>
      <c r="E7796" s="20"/>
      <c r="F7796" s="20"/>
      <c r="AC7796" s="20"/>
      <c r="AG7796" s="29"/>
    </row>
    <row r="7797" spans="2:33">
      <c r="B7797" s="29"/>
      <c r="D7797" s="29"/>
      <c r="E7797" s="20"/>
      <c r="F7797" s="20"/>
      <c r="AC7797" s="20"/>
      <c r="AG7797" s="29"/>
    </row>
    <row r="7798" spans="2:33">
      <c r="B7798" s="29"/>
      <c r="D7798" s="29"/>
      <c r="E7798" s="20"/>
      <c r="F7798" s="20"/>
      <c r="AC7798" s="20"/>
      <c r="AG7798" s="29"/>
    </row>
    <row r="7799" spans="2:33">
      <c r="B7799" s="29"/>
      <c r="D7799" s="29"/>
      <c r="E7799" s="20"/>
      <c r="F7799" s="20"/>
      <c r="AC7799" s="20"/>
      <c r="AG7799" s="29"/>
    </row>
    <row r="7800" spans="2:33">
      <c r="B7800" s="29"/>
      <c r="D7800" s="29"/>
      <c r="E7800" s="20"/>
      <c r="F7800" s="20"/>
      <c r="AC7800" s="20"/>
      <c r="AG7800" s="29"/>
    </row>
    <row r="7801" spans="2:33">
      <c r="B7801" s="29"/>
      <c r="D7801" s="29"/>
      <c r="E7801" s="20"/>
      <c r="F7801" s="20"/>
      <c r="AC7801" s="20"/>
      <c r="AG7801" s="29"/>
    </row>
    <row r="7802" spans="2:33">
      <c r="B7802" s="29"/>
      <c r="D7802" s="29"/>
      <c r="E7802" s="20"/>
      <c r="F7802" s="20"/>
      <c r="AC7802" s="20"/>
      <c r="AG7802" s="29"/>
    </row>
    <row r="7803" spans="2:33">
      <c r="B7803" s="29"/>
      <c r="D7803" s="29"/>
      <c r="E7803" s="20"/>
      <c r="F7803" s="20"/>
      <c r="AC7803" s="20"/>
      <c r="AG7803" s="29"/>
    </row>
    <row r="7804" spans="2:33">
      <c r="B7804" s="29"/>
      <c r="D7804" s="29"/>
      <c r="E7804" s="20"/>
      <c r="F7804" s="20"/>
      <c r="AC7804" s="20"/>
      <c r="AG7804" s="29"/>
    </row>
    <row r="7805" spans="2:33">
      <c r="B7805" s="29"/>
      <c r="D7805" s="29"/>
      <c r="E7805" s="20"/>
      <c r="F7805" s="20"/>
      <c r="AC7805" s="20"/>
      <c r="AG7805" s="29"/>
    </row>
    <row r="7806" spans="2:33">
      <c r="B7806" s="29"/>
      <c r="D7806" s="29"/>
      <c r="E7806" s="20"/>
      <c r="F7806" s="20"/>
      <c r="AC7806" s="20"/>
      <c r="AG7806" s="29"/>
    </row>
    <row r="7807" spans="2:33">
      <c r="B7807" s="29"/>
      <c r="D7807" s="29"/>
      <c r="E7807" s="20"/>
      <c r="F7807" s="20"/>
      <c r="AC7807" s="20"/>
      <c r="AG7807" s="29"/>
    </row>
    <row r="7808" spans="2:33">
      <c r="B7808" s="29"/>
      <c r="D7808" s="29"/>
      <c r="E7808" s="20"/>
      <c r="F7808" s="20"/>
      <c r="AC7808" s="20"/>
      <c r="AG7808" s="29"/>
    </row>
    <row r="7809" spans="2:33">
      <c r="B7809" s="29"/>
      <c r="D7809" s="29"/>
      <c r="E7809" s="20"/>
      <c r="F7809" s="20"/>
      <c r="AC7809" s="20"/>
      <c r="AG7809" s="29"/>
    </row>
    <row r="7810" spans="2:33">
      <c r="B7810" s="29"/>
      <c r="D7810" s="29"/>
      <c r="E7810" s="20"/>
      <c r="F7810" s="20"/>
      <c r="AC7810" s="20"/>
      <c r="AG7810" s="29"/>
    </row>
    <row r="7811" spans="2:33">
      <c r="B7811" s="29"/>
      <c r="D7811" s="29"/>
      <c r="E7811" s="20"/>
      <c r="F7811" s="20"/>
      <c r="AC7811" s="20"/>
      <c r="AG7811" s="29"/>
    </row>
    <row r="7812" spans="2:33">
      <c r="B7812" s="29"/>
      <c r="D7812" s="29"/>
      <c r="E7812" s="20"/>
      <c r="F7812" s="20"/>
      <c r="AC7812" s="20"/>
      <c r="AG7812" s="29"/>
    </row>
    <row r="7813" spans="2:33">
      <c r="B7813" s="29"/>
      <c r="D7813" s="29"/>
      <c r="E7813" s="20"/>
      <c r="F7813" s="20"/>
      <c r="AC7813" s="20"/>
      <c r="AG7813" s="29"/>
    </row>
    <row r="7814" spans="2:33">
      <c r="B7814" s="29"/>
      <c r="D7814" s="29"/>
      <c r="E7814" s="20"/>
      <c r="F7814" s="20"/>
      <c r="AC7814" s="20"/>
      <c r="AG7814" s="29"/>
    </row>
    <row r="7815" spans="2:33">
      <c r="B7815" s="29"/>
      <c r="D7815" s="29"/>
      <c r="E7815" s="20"/>
      <c r="F7815" s="20"/>
      <c r="AC7815" s="20"/>
      <c r="AG7815" s="29"/>
    </row>
    <row r="7816" spans="2:33">
      <c r="B7816" s="29"/>
      <c r="D7816" s="29"/>
      <c r="E7816" s="20"/>
      <c r="F7816" s="20"/>
      <c r="AC7816" s="20"/>
      <c r="AG7816" s="29"/>
    </row>
    <row r="7817" spans="2:33">
      <c r="B7817" s="29"/>
      <c r="D7817" s="29"/>
      <c r="E7817" s="20"/>
      <c r="F7817" s="20"/>
      <c r="AC7817" s="20"/>
      <c r="AG7817" s="29"/>
    </row>
    <row r="7818" spans="2:33">
      <c r="B7818" s="29"/>
      <c r="D7818" s="29"/>
      <c r="E7818" s="20"/>
      <c r="F7818" s="20"/>
      <c r="AC7818" s="20"/>
      <c r="AG7818" s="29"/>
    </row>
    <row r="7819" spans="2:33">
      <c r="B7819" s="29"/>
      <c r="D7819" s="29"/>
      <c r="E7819" s="20"/>
      <c r="F7819" s="20"/>
      <c r="AC7819" s="20"/>
      <c r="AG7819" s="29"/>
    </row>
    <row r="7820" spans="2:33">
      <c r="B7820" s="29"/>
      <c r="D7820" s="29"/>
      <c r="E7820" s="20"/>
      <c r="F7820" s="20"/>
      <c r="AC7820" s="20"/>
      <c r="AG7820" s="29"/>
    </row>
    <row r="7821" spans="2:33">
      <c r="B7821" s="29"/>
      <c r="D7821" s="29"/>
      <c r="E7821" s="20"/>
      <c r="F7821" s="20"/>
      <c r="AC7821" s="20"/>
      <c r="AG7821" s="29"/>
    </row>
    <row r="7822" spans="2:33">
      <c r="B7822" s="29"/>
      <c r="D7822" s="29"/>
      <c r="E7822" s="20"/>
      <c r="F7822" s="20"/>
      <c r="AC7822" s="20"/>
      <c r="AG7822" s="29"/>
    </row>
    <row r="7823" spans="2:33">
      <c r="B7823" s="29"/>
      <c r="D7823" s="29"/>
      <c r="E7823" s="20"/>
      <c r="F7823" s="20"/>
      <c r="AC7823" s="20"/>
      <c r="AG7823" s="29"/>
    </row>
    <row r="7824" spans="2:33">
      <c r="B7824" s="29"/>
      <c r="D7824" s="29"/>
      <c r="E7824" s="20"/>
      <c r="F7824" s="20"/>
      <c r="AC7824" s="20"/>
      <c r="AG7824" s="29"/>
    </row>
    <row r="7825" spans="2:33">
      <c r="B7825" s="29"/>
      <c r="D7825" s="29"/>
      <c r="E7825" s="20"/>
      <c r="F7825" s="20"/>
      <c r="AC7825" s="20"/>
      <c r="AG7825" s="29"/>
    </row>
    <row r="7826" spans="2:33">
      <c r="B7826" s="29"/>
      <c r="D7826" s="29"/>
      <c r="E7826" s="20"/>
      <c r="F7826" s="20"/>
      <c r="AC7826" s="20"/>
      <c r="AG7826" s="29"/>
    </row>
    <row r="7827" spans="2:33">
      <c r="B7827" s="29"/>
      <c r="D7827" s="29"/>
      <c r="E7827" s="20"/>
      <c r="F7827" s="20"/>
      <c r="AC7827" s="20"/>
      <c r="AG7827" s="29"/>
    </row>
    <row r="7828" spans="2:33">
      <c r="B7828" s="29"/>
      <c r="D7828" s="29"/>
      <c r="E7828" s="20"/>
      <c r="F7828" s="20"/>
      <c r="AC7828" s="20"/>
      <c r="AG7828" s="29"/>
    </row>
    <row r="7829" spans="2:33">
      <c r="B7829" s="29"/>
      <c r="D7829" s="29"/>
      <c r="E7829" s="20"/>
      <c r="F7829" s="20"/>
      <c r="AC7829" s="20"/>
      <c r="AG7829" s="29"/>
    </row>
    <row r="7830" spans="2:33">
      <c r="B7830" s="29"/>
      <c r="D7830" s="29"/>
      <c r="E7830" s="20"/>
      <c r="F7830" s="20"/>
      <c r="AC7830" s="20"/>
      <c r="AG7830" s="29"/>
    </row>
    <row r="7831" spans="2:33">
      <c r="B7831" s="29"/>
      <c r="D7831" s="29"/>
      <c r="E7831" s="20"/>
      <c r="F7831" s="20"/>
      <c r="AC7831" s="20"/>
      <c r="AG7831" s="29"/>
    </row>
    <row r="7832" spans="2:33">
      <c r="B7832" s="29"/>
      <c r="D7832" s="29"/>
      <c r="E7832" s="20"/>
      <c r="F7832" s="20"/>
      <c r="AC7832" s="20"/>
      <c r="AG7832" s="29"/>
    </row>
    <row r="7833" spans="2:33">
      <c r="B7833" s="29"/>
      <c r="D7833" s="29"/>
      <c r="E7833" s="20"/>
      <c r="F7833" s="20"/>
      <c r="AC7833" s="20"/>
      <c r="AG7833" s="29"/>
    </row>
    <row r="7834" spans="2:33">
      <c r="B7834" s="29"/>
      <c r="D7834" s="29"/>
      <c r="E7834" s="20"/>
      <c r="F7834" s="20"/>
      <c r="AC7834" s="20"/>
      <c r="AG7834" s="29"/>
    </row>
    <row r="7835" spans="2:33">
      <c r="B7835" s="29"/>
      <c r="D7835" s="29"/>
      <c r="E7835" s="20"/>
      <c r="F7835" s="20"/>
      <c r="AC7835" s="20"/>
      <c r="AG7835" s="29"/>
    </row>
    <row r="7836" spans="2:33">
      <c r="B7836" s="29"/>
      <c r="D7836" s="29"/>
      <c r="E7836" s="20"/>
      <c r="F7836" s="20"/>
      <c r="AC7836" s="20"/>
      <c r="AG7836" s="29"/>
    </row>
    <row r="7837" spans="2:33">
      <c r="B7837" s="29"/>
      <c r="D7837" s="29"/>
      <c r="E7837" s="20"/>
      <c r="F7837" s="20"/>
      <c r="AC7837" s="20"/>
      <c r="AG7837" s="29"/>
    </row>
    <row r="7838" spans="2:33">
      <c r="B7838" s="29"/>
      <c r="D7838" s="29"/>
      <c r="E7838" s="20"/>
      <c r="F7838" s="20"/>
      <c r="AC7838" s="20"/>
      <c r="AG7838" s="29"/>
    </row>
    <row r="7839" spans="2:33">
      <c r="B7839" s="29"/>
      <c r="D7839" s="29"/>
      <c r="E7839" s="20"/>
      <c r="F7839" s="20"/>
      <c r="AC7839" s="20"/>
      <c r="AG7839" s="29"/>
    </row>
    <row r="7840" spans="2:33">
      <c r="B7840" s="29"/>
      <c r="D7840" s="29"/>
      <c r="E7840" s="20"/>
      <c r="F7840" s="20"/>
      <c r="AC7840" s="20"/>
      <c r="AG7840" s="29"/>
    </row>
    <row r="7841" spans="2:33">
      <c r="B7841" s="29"/>
      <c r="D7841" s="29"/>
      <c r="E7841" s="20"/>
      <c r="F7841" s="20"/>
      <c r="AC7841" s="20"/>
      <c r="AG7841" s="29"/>
    </row>
    <row r="7842" spans="2:33">
      <c r="B7842" s="29"/>
      <c r="D7842" s="29"/>
      <c r="E7842" s="20"/>
      <c r="F7842" s="20"/>
      <c r="AC7842" s="20"/>
      <c r="AG7842" s="29"/>
    </row>
    <row r="7843" spans="2:33">
      <c r="B7843" s="29"/>
      <c r="D7843" s="29"/>
      <c r="E7843" s="20"/>
      <c r="F7843" s="20"/>
      <c r="AC7843" s="20"/>
      <c r="AG7843" s="29"/>
    </row>
    <row r="7844" spans="2:33">
      <c r="B7844" s="29"/>
      <c r="D7844" s="29"/>
      <c r="E7844" s="20"/>
      <c r="F7844" s="20"/>
      <c r="AC7844" s="20"/>
      <c r="AG7844" s="29"/>
    </row>
    <row r="7845" spans="2:33">
      <c r="B7845" s="29"/>
      <c r="D7845" s="29"/>
      <c r="E7845" s="20"/>
      <c r="F7845" s="20"/>
      <c r="AC7845" s="20"/>
      <c r="AG7845" s="29"/>
    </row>
    <row r="7846" spans="2:33">
      <c r="B7846" s="29"/>
      <c r="D7846" s="29"/>
      <c r="E7846" s="20"/>
      <c r="F7846" s="20"/>
      <c r="AC7846" s="20"/>
      <c r="AG7846" s="29"/>
    </row>
    <row r="7847" spans="2:33">
      <c r="B7847" s="29"/>
      <c r="D7847" s="29"/>
      <c r="E7847" s="20"/>
      <c r="F7847" s="20"/>
      <c r="AC7847" s="20"/>
      <c r="AG7847" s="29"/>
    </row>
    <row r="7848" spans="2:33">
      <c r="B7848" s="29"/>
      <c r="D7848" s="29"/>
      <c r="E7848" s="20"/>
      <c r="F7848" s="20"/>
      <c r="AC7848" s="20"/>
      <c r="AG7848" s="29"/>
    </row>
    <row r="7849" spans="2:33">
      <c r="B7849" s="29"/>
      <c r="D7849" s="29"/>
      <c r="E7849" s="20"/>
      <c r="F7849" s="20"/>
      <c r="AC7849" s="20"/>
      <c r="AG7849" s="29"/>
    </row>
    <row r="7850" spans="2:33">
      <c r="B7850" s="29"/>
      <c r="D7850" s="29"/>
      <c r="E7850" s="20"/>
      <c r="F7850" s="20"/>
      <c r="AC7850" s="20"/>
      <c r="AG7850" s="29"/>
    </row>
    <row r="7851" spans="2:33">
      <c r="B7851" s="29"/>
      <c r="D7851" s="29"/>
      <c r="E7851" s="20"/>
      <c r="F7851" s="20"/>
      <c r="AC7851" s="20"/>
      <c r="AG7851" s="29"/>
    </row>
    <row r="7852" spans="2:33">
      <c r="B7852" s="29"/>
      <c r="D7852" s="29"/>
      <c r="E7852" s="20"/>
      <c r="F7852" s="20"/>
      <c r="AC7852" s="20"/>
      <c r="AG7852" s="29"/>
    </row>
    <row r="7853" spans="2:33">
      <c r="B7853" s="29"/>
      <c r="D7853" s="29"/>
      <c r="E7853" s="20"/>
      <c r="F7853" s="20"/>
      <c r="AC7853" s="20"/>
      <c r="AG7853" s="29"/>
    </row>
    <row r="7854" spans="2:33">
      <c r="B7854" s="29"/>
      <c r="D7854" s="29"/>
      <c r="E7854" s="20"/>
      <c r="F7854" s="20"/>
      <c r="AC7854" s="20"/>
      <c r="AG7854" s="29"/>
    </row>
    <row r="7855" spans="2:33">
      <c r="B7855" s="29"/>
      <c r="D7855" s="29"/>
      <c r="E7855" s="20"/>
      <c r="F7855" s="20"/>
      <c r="AC7855" s="20"/>
      <c r="AG7855" s="29"/>
    </row>
    <row r="7856" spans="2:33">
      <c r="B7856" s="29"/>
      <c r="D7856" s="29"/>
      <c r="E7856" s="20"/>
      <c r="F7856" s="20"/>
      <c r="AC7856" s="20"/>
      <c r="AG7856" s="29"/>
    </row>
    <row r="7857" spans="2:33">
      <c r="B7857" s="29"/>
      <c r="D7857" s="29"/>
      <c r="E7857" s="20"/>
      <c r="F7857" s="20"/>
      <c r="AC7857" s="20"/>
      <c r="AG7857" s="29"/>
    </row>
    <row r="7858" spans="2:33">
      <c r="B7858" s="29"/>
      <c r="D7858" s="29"/>
      <c r="E7858" s="20"/>
      <c r="F7858" s="20"/>
      <c r="AC7858" s="20"/>
      <c r="AG7858" s="29"/>
    </row>
    <row r="7859" spans="2:33">
      <c r="B7859" s="29"/>
      <c r="D7859" s="29"/>
      <c r="E7859" s="20"/>
      <c r="F7859" s="20"/>
      <c r="AC7859" s="20"/>
      <c r="AG7859" s="29"/>
    </row>
    <row r="7860" spans="2:33">
      <c r="B7860" s="29"/>
      <c r="D7860" s="29"/>
      <c r="E7860" s="20"/>
      <c r="F7860" s="20"/>
      <c r="AC7860" s="20"/>
      <c r="AG7860" s="29"/>
    </row>
    <row r="7861" spans="2:33">
      <c r="B7861" s="29"/>
      <c r="D7861" s="29"/>
      <c r="E7861" s="20"/>
      <c r="F7861" s="20"/>
      <c r="AC7861" s="20"/>
      <c r="AG7861" s="29"/>
    </row>
    <row r="7862" spans="2:33">
      <c r="B7862" s="29"/>
      <c r="D7862" s="29"/>
      <c r="E7862" s="20"/>
      <c r="F7862" s="20"/>
      <c r="AC7862" s="20"/>
      <c r="AG7862" s="29"/>
    </row>
    <row r="7863" spans="2:33">
      <c r="B7863" s="29"/>
      <c r="D7863" s="29"/>
      <c r="E7863" s="20"/>
      <c r="F7863" s="20"/>
      <c r="AC7863" s="20"/>
      <c r="AG7863" s="29"/>
    </row>
    <row r="7864" spans="2:33">
      <c r="B7864" s="29"/>
      <c r="D7864" s="29"/>
      <c r="E7864" s="20"/>
      <c r="F7864" s="20"/>
      <c r="AC7864" s="20"/>
      <c r="AG7864" s="29"/>
    </row>
    <row r="7865" spans="2:33">
      <c r="B7865" s="29"/>
      <c r="D7865" s="29"/>
      <c r="E7865" s="20"/>
      <c r="F7865" s="20"/>
      <c r="AC7865" s="20"/>
      <c r="AG7865" s="29"/>
    </row>
    <row r="7866" spans="2:33">
      <c r="B7866" s="29"/>
      <c r="D7866" s="29"/>
      <c r="E7866" s="20"/>
      <c r="F7866" s="20"/>
      <c r="AC7866" s="20"/>
      <c r="AG7866" s="29"/>
    </row>
    <row r="7867" spans="2:33">
      <c r="B7867" s="29"/>
      <c r="D7867" s="29"/>
      <c r="E7867" s="20"/>
      <c r="F7867" s="20"/>
      <c r="AC7867" s="20"/>
      <c r="AG7867" s="29"/>
    </row>
    <row r="7868" spans="2:33">
      <c r="B7868" s="29"/>
      <c r="D7868" s="29"/>
      <c r="E7868" s="20"/>
      <c r="F7868" s="20"/>
      <c r="AC7868" s="20"/>
      <c r="AG7868" s="29"/>
    </row>
    <row r="7869" spans="2:33">
      <c r="B7869" s="29"/>
      <c r="D7869" s="29"/>
      <c r="E7869" s="20"/>
      <c r="F7869" s="20"/>
      <c r="AC7869" s="20"/>
      <c r="AG7869" s="29"/>
    </row>
    <row r="7870" spans="2:33">
      <c r="B7870" s="29"/>
      <c r="D7870" s="29"/>
      <c r="E7870" s="20"/>
      <c r="F7870" s="20"/>
      <c r="AC7870" s="20"/>
      <c r="AG7870" s="29"/>
    </row>
    <row r="7871" spans="2:33">
      <c r="B7871" s="29"/>
      <c r="D7871" s="29"/>
      <c r="E7871" s="20"/>
      <c r="F7871" s="20"/>
      <c r="AC7871" s="20"/>
      <c r="AG7871" s="29"/>
    </row>
    <row r="7872" spans="2:33">
      <c r="B7872" s="29"/>
      <c r="D7872" s="29"/>
      <c r="E7872" s="20"/>
      <c r="F7872" s="20"/>
      <c r="AC7872" s="20"/>
      <c r="AG7872" s="29"/>
    </row>
    <row r="7873" spans="2:33">
      <c r="B7873" s="29"/>
      <c r="D7873" s="29"/>
      <c r="E7873" s="20"/>
      <c r="F7873" s="20"/>
      <c r="AC7873" s="20"/>
      <c r="AG7873" s="29"/>
    </row>
    <row r="7874" spans="2:33">
      <c r="B7874" s="29"/>
      <c r="D7874" s="29"/>
      <c r="E7874" s="20"/>
      <c r="F7874" s="20"/>
      <c r="AC7874" s="20"/>
      <c r="AG7874" s="29"/>
    </row>
    <row r="7875" spans="2:33">
      <c r="B7875" s="29"/>
      <c r="D7875" s="29"/>
      <c r="E7875" s="20"/>
      <c r="F7875" s="20"/>
      <c r="AC7875" s="20"/>
      <c r="AG7875" s="29"/>
    </row>
    <row r="7876" spans="2:33">
      <c r="B7876" s="29"/>
      <c r="D7876" s="29"/>
      <c r="E7876" s="20"/>
      <c r="F7876" s="20"/>
      <c r="AC7876" s="20"/>
      <c r="AG7876" s="29"/>
    </row>
    <row r="7877" spans="2:33">
      <c r="B7877" s="29"/>
      <c r="D7877" s="29"/>
      <c r="E7877" s="20"/>
      <c r="F7877" s="20"/>
      <c r="AC7877" s="20"/>
      <c r="AG7877" s="29"/>
    </row>
    <row r="7878" spans="2:33">
      <c r="B7878" s="29"/>
      <c r="D7878" s="29"/>
      <c r="E7878" s="20"/>
      <c r="F7878" s="20"/>
      <c r="AC7878" s="20"/>
      <c r="AG7878" s="29"/>
    </row>
    <row r="7879" spans="2:33">
      <c r="B7879" s="29"/>
      <c r="D7879" s="29"/>
      <c r="E7879" s="20"/>
      <c r="F7879" s="20"/>
      <c r="AC7879" s="20"/>
      <c r="AG7879" s="29"/>
    </row>
    <row r="7880" spans="2:33">
      <c r="B7880" s="29"/>
      <c r="D7880" s="29"/>
      <c r="E7880" s="20"/>
      <c r="F7880" s="20"/>
      <c r="AC7880" s="20"/>
      <c r="AG7880" s="29"/>
    </row>
    <row r="7881" spans="2:33">
      <c r="B7881" s="29"/>
      <c r="D7881" s="29"/>
      <c r="E7881" s="20"/>
      <c r="F7881" s="20"/>
      <c r="AC7881" s="20"/>
      <c r="AG7881" s="29"/>
    </row>
    <row r="7882" spans="2:33">
      <c r="B7882" s="29"/>
      <c r="D7882" s="29"/>
      <c r="E7882" s="20"/>
      <c r="F7882" s="20"/>
      <c r="AC7882" s="20"/>
      <c r="AG7882" s="29"/>
    </row>
    <row r="7883" spans="2:33">
      <c r="B7883" s="29"/>
      <c r="D7883" s="29"/>
      <c r="E7883" s="20"/>
      <c r="F7883" s="20"/>
      <c r="AC7883" s="20"/>
      <c r="AG7883" s="29"/>
    </row>
    <row r="7884" spans="2:33">
      <c r="B7884" s="29"/>
      <c r="D7884" s="29"/>
      <c r="E7884" s="20"/>
      <c r="F7884" s="20"/>
      <c r="AC7884" s="20"/>
      <c r="AG7884" s="29"/>
    </row>
    <row r="7885" spans="2:33">
      <c r="B7885" s="29"/>
      <c r="D7885" s="29"/>
      <c r="E7885" s="20"/>
      <c r="F7885" s="20"/>
      <c r="AC7885" s="20"/>
      <c r="AG7885" s="29"/>
    </row>
    <row r="7886" spans="2:33">
      <c r="B7886" s="29"/>
      <c r="D7886" s="29"/>
      <c r="E7886" s="20"/>
      <c r="F7886" s="20"/>
      <c r="AC7886" s="20"/>
      <c r="AG7886" s="29"/>
    </row>
    <row r="7887" spans="2:33">
      <c r="B7887" s="29"/>
      <c r="D7887" s="29"/>
      <c r="E7887" s="20"/>
      <c r="F7887" s="20"/>
      <c r="AC7887" s="20"/>
      <c r="AG7887" s="29"/>
    </row>
    <row r="7888" spans="2:33">
      <c r="B7888" s="29"/>
      <c r="D7888" s="29"/>
      <c r="E7888" s="20"/>
      <c r="F7888" s="20"/>
      <c r="AC7888" s="20"/>
      <c r="AG7888" s="29"/>
    </row>
    <row r="7889" spans="2:33">
      <c r="B7889" s="29"/>
      <c r="D7889" s="29"/>
      <c r="E7889" s="20"/>
      <c r="F7889" s="20"/>
      <c r="AC7889" s="20"/>
      <c r="AG7889" s="29"/>
    </row>
    <row r="7890" spans="2:33">
      <c r="B7890" s="29"/>
      <c r="D7890" s="29"/>
      <c r="E7890" s="20"/>
      <c r="F7890" s="20"/>
      <c r="AC7890" s="20"/>
      <c r="AG7890" s="29"/>
    </row>
    <row r="7891" spans="2:33">
      <c r="B7891" s="29"/>
      <c r="D7891" s="29"/>
      <c r="E7891" s="20"/>
      <c r="F7891" s="20"/>
      <c r="AC7891" s="20"/>
      <c r="AG7891" s="29"/>
    </row>
    <row r="7892" spans="2:33">
      <c r="B7892" s="29"/>
      <c r="D7892" s="29"/>
      <c r="E7892" s="20"/>
      <c r="F7892" s="20"/>
      <c r="AC7892" s="20"/>
      <c r="AG7892" s="29"/>
    </row>
    <row r="7893" spans="2:33">
      <c r="B7893" s="29"/>
      <c r="D7893" s="29"/>
      <c r="E7893" s="20"/>
      <c r="F7893" s="20"/>
      <c r="AC7893" s="20"/>
      <c r="AG7893" s="29"/>
    </row>
    <row r="7894" spans="2:33">
      <c r="B7894" s="29"/>
      <c r="D7894" s="29"/>
      <c r="E7894" s="20"/>
      <c r="F7894" s="20"/>
      <c r="AC7894" s="20"/>
      <c r="AG7894" s="29"/>
    </row>
    <row r="7895" spans="2:33">
      <c r="B7895" s="29"/>
      <c r="D7895" s="29"/>
      <c r="E7895" s="20"/>
      <c r="F7895" s="20"/>
      <c r="AC7895" s="20"/>
      <c r="AG7895" s="29"/>
    </row>
    <row r="7896" spans="2:33">
      <c r="B7896" s="29"/>
      <c r="D7896" s="29"/>
      <c r="E7896" s="20"/>
      <c r="F7896" s="20"/>
      <c r="AC7896" s="20"/>
      <c r="AG7896" s="29"/>
    </row>
    <row r="7897" spans="2:33">
      <c r="B7897" s="29"/>
      <c r="D7897" s="29"/>
      <c r="E7897" s="20"/>
      <c r="F7897" s="20"/>
      <c r="AC7897" s="20"/>
      <c r="AG7897" s="29"/>
    </row>
    <row r="7898" spans="2:33">
      <c r="B7898" s="29"/>
      <c r="D7898" s="29"/>
      <c r="E7898" s="20"/>
      <c r="F7898" s="20"/>
      <c r="AC7898" s="20"/>
      <c r="AG7898" s="29"/>
    </row>
    <row r="7899" spans="2:33">
      <c r="B7899" s="29"/>
      <c r="D7899" s="29"/>
      <c r="E7899" s="20"/>
      <c r="F7899" s="20"/>
      <c r="AC7899" s="20"/>
      <c r="AG7899" s="29"/>
    </row>
    <row r="7900" spans="2:33">
      <c r="B7900" s="29"/>
      <c r="D7900" s="29"/>
      <c r="E7900" s="20"/>
      <c r="F7900" s="20"/>
      <c r="AC7900" s="20"/>
      <c r="AG7900" s="29"/>
    </row>
    <row r="7901" spans="2:33">
      <c r="B7901" s="29"/>
      <c r="D7901" s="29"/>
      <c r="E7901" s="20"/>
      <c r="F7901" s="20"/>
      <c r="AC7901" s="20"/>
      <c r="AG7901" s="29"/>
    </row>
    <row r="7902" spans="2:33">
      <c r="B7902" s="29"/>
      <c r="D7902" s="29"/>
      <c r="E7902" s="20"/>
      <c r="F7902" s="20"/>
      <c r="AC7902" s="20"/>
      <c r="AG7902" s="29"/>
    </row>
    <row r="7903" spans="2:33">
      <c r="B7903" s="29"/>
      <c r="D7903" s="29"/>
      <c r="E7903" s="20"/>
      <c r="F7903" s="20"/>
      <c r="AC7903" s="20"/>
      <c r="AG7903" s="29"/>
    </row>
    <row r="7904" spans="2:33">
      <c r="B7904" s="29"/>
      <c r="D7904" s="29"/>
      <c r="E7904" s="20"/>
      <c r="F7904" s="20"/>
      <c r="AC7904" s="20"/>
      <c r="AG7904" s="29"/>
    </row>
    <row r="7905" spans="2:33">
      <c r="B7905" s="29"/>
      <c r="D7905" s="29"/>
      <c r="E7905" s="20"/>
      <c r="F7905" s="20"/>
      <c r="AC7905" s="20"/>
      <c r="AG7905" s="29"/>
    </row>
    <row r="7906" spans="2:33">
      <c r="B7906" s="29"/>
      <c r="D7906" s="29"/>
      <c r="E7906" s="20"/>
      <c r="F7906" s="20"/>
      <c r="AC7906" s="20"/>
      <c r="AG7906" s="29"/>
    </row>
    <row r="7907" spans="2:33">
      <c r="B7907" s="29"/>
      <c r="D7907" s="29"/>
      <c r="E7907" s="20"/>
      <c r="F7907" s="20"/>
      <c r="AC7907" s="20"/>
      <c r="AG7907" s="29"/>
    </row>
    <row r="7908" spans="2:33">
      <c r="B7908" s="29"/>
      <c r="D7908" s="29"/>
      <c r="E7908" s="20"/>
      <c r="F7908" s="20"/>
      <c r="AC7908" s="20"/>
      <c r="AG7908" s="29"/>
    </row>
    <row r="7909" spans="2:33">
      <c r="B7909" s="29"/>
      <c r="D7909" s="29"/>
      <c r="E7909" s="20"/>
      <c r="F7909" s="20"/>
      <c r="AC7909" s="20"/>
      <c r="AG7909" s="29"/>
    </row>
    <row r="7910" spans="2:33">
      <c r="B7910" s="29"/>
      <c r="D7910" s="29"/>
      <c r="E7910" s="20"/>
      <c r="F7910" s="20"/>
      <c r="AC7910" s="20"/>
      <c r="AG7910" s="29"/>
    </row>
    <row r="7911" spans="2:33">
      <c r="B7911" s="29"/>
      <c r="D7911" s="29"/>
      <c r="E7911" s="20"/>
      <c r="F7911" s="20"/>
      <c r="AC7911" s="20"/>
      <c r="AG7911" s="29"/>
    </row>
    <row r="7912" spans="2:33">
      <c r="B7912" s="29"/>
      <c r="D7912" s="29"/>
      <c r="E7912" s="20"/>
      <c r="F7912" s="20"/>
      <c r="AC7912" s="20"/>
      <c r="AG7912" s="29"/>
    </row>
    <row r="7913" spans="2:33">
      <c r="B7913" s="29"/>
      <c r="D7913" s="29"/>
      <c r="E7913" s="20"/>
      <c r="F7913" s="20"/>
      <c r="AC7913" s="20"/>
      <c r="AG7913" s="29"/>
    </row>
    <row r="7914" spans="2:33">
      <c r="B7914" s="29"/>
      <c r="D7914" s="29"/>
      <c r="E7914" s="20"/>
      <c r="F7914" s="20"/>
      <c r="AC7914" s="20"/>
      <c r="AG7914" s="29"/>
    </row>
    <row r="7915" spans="2:33">
      <c r="B7915" s="29"/>
      <c r="D7915" s="29"/>
      <c r="E7915" s="20"/>
      <c r="F7915" s="20"/>
      <c r="AC7915" s="20"/>
      <c r="AG7915" s="29"/>
    </row>
    <row r="7916" spans="2:33">
      <c r="B7916" s="29"/>
      <c r="D7916" s="29"/>
      <c r="E7916" s="20"/>
      <c r="F7916" s="20"/>
      <c r="AC7916" s="20"/>
      <c r="AG7916" s="29"/>
    </row>
    <row r="7917" spans="2:33">
      <c r="B7917" s="29"/>
      <c r="D7917" s="29"/>
      <c r="E7917" s="20"/>
      <c r="F7917" s="20"/>
      <c r="AC7917" s="20"/>
      <c r="AG7917" s="29"/>
    </row>
    <row r="7918" spans="2:33">
      <c r="B7918" s="29"/>
      <c r="D7918" s="29"/>
      <c r="E7918" s="20"/>
      <c r="F7918" s="20"/>
      <c r="AC7918" s="20"/>
      <c r="AG7918" s="29"/>
    </row>
    <row r="7919" spans="2:33">
      <c r="B7919" s="29"/>
      <c r="D7919" s="29"/>
      <c r="E7919" s="20"/>
      <c r="F7919" s="20"/>
      <c r="AC7919" s="20"/>
      <c r="AG7919" s="29"/>
    </row>
    <row r="7920" spans="2:33">
      <c r="B7920" s="29"/>
      <c r="D7920" s="29"/>
      <c r="E7920" s="20"/>
      <c r="F7920" s="20"/>
      <c r="AC7920" s="20"/>
      <c r="AG7920" s="29"/>
    </row>
    <row r="7921" spans="2:33">
      <c r="B7921" s="29"/>
      <c r="D7921" s="29"/>
      <c r="E7921" s="20"/>
      <c r="F7921" s="20"/>
      <c r="AC7921" s="20"/>
      <c r="AG7921" s="29"/>
    </row>
    <row r="7922" spans="2:33">
      <c r="B7922" s="29"/>
      <c r="D7922" s="29"/>
      <c r="E7922" s="20"/>
      <c r="F7922" s="20"/>
      <c r="AC7922" s="20"/>
      <c r="AG7922" s="29"/>
    </row>
    <row r="7923" spans="2:33">
      <c r="B7923" s="29"/>
      <c r="D7923" s="29"/>
      <c r="E7923" s="20"/>
      <c r="F7923" s="20"/>
      <c r="AC7923" s="20"/>
      <c r="AG7923" s="29"/>
    </row>
    <row r="7924" spans="2:33">
      <c r="B7924" s="29"/>
      <c r="D7924" s="29"/>
      <c r="E7924" s="20"/>
      <c r="F7924" s="20"/>
      <c r="AC7924" s="20"/>
      <c r="AG7924" s="29"/>
    </row>
    <row r="7925" spans="2:33">
      <c r="B7925" s="29"/>
      <c r="D7925" s="29"/>
      <c r="E7925" s="20"/>
      <c r="F7925" s="20"/>
      <c r="AC7925" s="20"/>
      <c r="AG7925" s="29"/>
    </row>
    <row r="7926" spans="2:33">
      <c r="B7926" s="29"/>
      <c r="D7926" s="29"/>
      <c r="E7926" s="20"/>
      <c r="F7926" s="20"/>
      <c r="AC7926" s="20"/>
      <c r="AG7926" s="29"/>
    </row>
    <row r="7927" spans="2:33">
      <c r="B7927" s="29"/>
      <c r="D7927" s="29"/>
      <c r="E7927" s="20"/>
      <c r="F7927" s="20"/>
      <c r="AC7927" s="20"/>
      <c r="AG7927" s="29"/>
    </row>
    <row r="7928" spans="2:33">
      <c r="B7928" s="29"/>
      <c r="D7928" s="29"/>
      <c r="E7928" s="20"/>
      <c r="F7928" s="20"/>
      <c r="AC7928" s="20"/>
      <c r="AG7928" s="29"/>
    </row>
    <row r="7929" spans="2:33">
      <c r="B7929" s="29"/>
      <c r="D7929" s="29"/>
      <c r="E7929" s="20"/>
      <c r="F7929" s="20"/>
      <c r="AC7929" s="20"/>
      <c r="AG7929" s="29"/>
    </row>
    <row r="7930" spans="2:33">
      <c r="B7930" s="29"/>
      <c r="D7930" s="29"/>
      <c r="E7930" s="20"/>
      <c r="F7930" s="20"/>
      <c r="AC7930" s="20"/>
      <c r="AG7930" s="29"/>
    </row>
    <row r="7931" spans="2:33">
      <c r="B7931" s="29"/>
      <c r="D7931" s="29"/>
      <c r="E7931" s="20"/>
      <c r="F7931" s="20"/>
      <c r="AC7931" s="20"/>
      <c r="AG7931" s="29"/>
    </row>
    <row r="7932" spans="2:33">
      <c r="B7932" s="29"/>
      <c r="D7932" s="29"/>
      <c r="E7932" s="20"/>
      <c r="F7932" s="20"/>
      <c r="AC7932" s="20"/>
      <c r="AG7932" s="29"/>
    </row>
    <row r="7933" spans="2:33">
      <c r="B7933" s="29"/>
      <c r="D7933" s="29"/>
      <c r="E7933" s="20"/>
      <c r="F7933" s="20"/>
      <c r="AC7933" s="20"/>
      <c r="AG7933" s="29"/>
    </row>
    <row r="7934" spans="2:33">
      <c r="B7934" s="29"/>
      <c r="D7934" s="29"/>
      <c r="E7934" s="20"/>
      <c r="F7934" s="20"/>
      <c r="AC7934" s="20"/>
      <c r="AG7934" s="29"/>
    </row>
    <row r="7935" spans="2:33">
      <c r="B7935" s="29"/>
      <c r="D7935" s="29"/>
      <c r="E7935" s="20"/>
      <c r="F7935" s="20"/>
      <c r="AC7935" s="20"/>
      <c r="AG7935" s="29"/>
    </row>
    <row r="7936" spans="2:33">
      <c r="B7936" s="29"/>
      <c r="D7936" s="29"/>
      <c r="E7936" s="20"/>
      <c r="F7936" s="20"/>
      <c r="AC7936" s="20"/>
      <c r="AG7936" s="29"/>
    </row>
    <row r="7937" spans="2:33">
      <c r="B7937" s="29"/>
      <c r="D7937" s="29"/>
      <c r="E7937" s="20"/>
      <c r="F7937" s="20"/>
      <c r="AC7937" s="20"/>
      <c r="AG7937" s="29"/>
    </row>
    <row r="7938" spans="2:33">
      <c r="B7938" s="29"/>
      <c r="D7938" s="29"/>
      <c r="E7938" s="20"/>
      <c r="F7938" s="20"/>
      <c r="AC7938" s="20"/>
      <c r="AG7938" s="29"/>
    </row>
    <row r="7939" spans="2:33">
      <c r="B7939" s="29"/>
      <c r="D7939" s="29"/>
      <c r="E7939" s="20"/>
      <c r="F7939" s="20"/>
      <c r="AC7939" s="20"/>
      <c r="AG7939" s="29"/>
    </row>
    <row r="7940" spans="2:33">
      <c r="B7940" s="29"/>
      <c r="D7940" s="29"/>
      <c r="E7940" s="20"/>
      <c r="F7940" s="20"/>
      <c r="AC7940" s="20"/>
      <c r="AG7940" s="29"/>
    </row>
    <row r="7941" spans="2:33">
      <c r="B7941" s="29"/>
      <c r="D7941" s="29"/>
      <c r="E7941" s="20"/>
      <c r="F7941" s="20"/>
      <c r="AC7941" s="20"/>
      <c r="AG7941" s="29"/>
    </row>
    <row r="7942" spans="2:33">
      <c r="B7942" s="29"/>
      <c r="D7942" s="29"/>
      <c r="E7942" s="20"/>
      <c r="F7942" s="20"/>
      <c r="AC7942" s="20"/>
      <c r="AG7942" s="29"/>
    </row>
    <row r="7943" spans="2:33">
      <c r="B7943" s="29"/>
      <c r="D7943" s="29"/>
      <c r="E7943" s="20"/>
      <c r="F7943" s="20"/>
      <c r="AC7943" s="20"/>
      <c r="AG7943" s="29"/>
    </row>
    <row r="7944" spans="2:33">
      <c r="B7944" s="29"/>
      <c r="D7944" s="29"/>
      <c r="E7944" s="20"/>
      <c r="F7944" s="20"/>
      <c r="AC7944" s="20"/>
      <c r="AG7944" s="29"/>
    </row>
    <row r="7945" spans="2:33">
      <c r="B7945" s="29"/>
      <c r="D7945" s="29"/>
      <c r="E7945" s="20"/>
      <c r="F7945" s="20"/>
      <c r="AC7945" s="20"/>
      <c r="AG7945" s="29"/>
    </row>
    <row r="7946" spans="2:33">
      <c r="B7946" s="29"/>
      <c r="D7946" s="29"/>
      <c r="E7946" s="20"/>
      <c r="F7946" s="20"/>
      <c r="AC7946" s="20"/>
      <c r="AG7946" s="29"/>
    </row>
    <row r="7947" spans="2:33">
      <c r="B7947" s="29"/>
      <c r="D7947" s="29"/>
      <c r="E7947" s="20"/>
      <c r="F7947" s="20"/>
      <c r="AC7947" s="20"/>
      <c r="AG7947" s="29"/>
    </row>
    <row r="7948" spans="2:33">
      <c r="B7948" s="29"/>
      <c r="D7948" s="29"/>
      <c r="E7948" s="20"/>
      <c r="F7948" s="20"/>
      <c r="AC7948" s="20"/>
      <c r="AG7948" s="29"/>
    </row>
    <row r="7949" spans="2:33">
      <c r="B7949" s="29"/>
      <c r="D7949" s="29"/>
      <c r="E7949" s="20"/>
      <c r="F7949" s="20"/>
      <c r="AC7949" s="20"/>
      <c r="AG7949" s="29"/>
    </row>
    <row r="7950" spans="2:33">
      <c r="B7950" s="29"/>
      <c r="D7950" s="29"/>
      <c r="E7950" s="20"/>
      <c r="F7950" s="20"/>
      <c r="AC7950" s="20"/>
      <c r="AG7950" s="29"/>
    </row>
    <row r="7951" spans="2:33">
      <c r="B7951" s="29"/>
      <c r="D7951" s="29"/>
      <c r="E7951" s="20"/>
      <c r="F7951" s="20"/>
      <c r="AC7951" s="20"/>
      <c r="AG7951" s="29"/>
    </row>
    <row r="7952" spans="2:33">
      <c r="B7952" s="29"/>
      <c r="D7952" s="29"/>
      <c r="E7952" s="20"/>
      <c r="F7952" s="20"/>
      <c r="AC7952" s="20"/>
      <c r="AG7952" s="29"/>
    </row>
    <row r="7953" spans="2:33">
      <c r="B7953" s="29"/>
      <c r="D7953" s="29"/>
      <c r="E7953" s="20"/>
      <c r="F7953" s="20"/>
      <c r="AC7953" s="20"/>
      <c r="AG7953" s="29"/>
    </row>
    <row r="7954" spans="2:33">
      <c r="B7954" s="29"/>
      <c r="D7954" s="29"/>
      <c r="E7954" s="20"/>
      <c r="F7954" s="20"/>
      <c r="AC7954" s="20"/>
      <c r="AG7954" s="29"/>
    </row>
    <row r="7955" spans="2:33">
      <c r="B7955" s="29"/>
      <c r="D7955" s="29"/>
      <c r="E7955" s="20"/>
      <c r="F7955" s="20"/>
      <c r="AC7955" s="20"/>
      <c r="AG7955" s="29"/>
    </row>
    <row r="7956" spans="2:33">
      <c r="B7956" s="29"/>
      <c r="D7956" s="29"/>
      <c r="E7956" s="20"/>
      <c r="F7956" s="20"/>
      <c r="AC7956" s="20"/>
      <c r="AG7956" s="29"/>
    </row>
    <row r="7957" spans="2:33">
      <c r="B7957" s="29"/>
      <c r="D7957" s="29"/>
      <c r="E7957" s="20"/>
      <c r="F7957" s="20"/>
      <c r="AC7957" s="20"/>
      <c r="AG7957" s="29"/>
    </row>
    <row r="7958" spans="2:33">
      <c r="B7958" s="29"/>
      <c r="D7958" s="29"/>
      <c r="E7958" s="20"/>
      <c r="F7958" s="20"/>
      <c r="AC7958" s="20"/>
      <c r="AG7958" s="29"/>
    </row>
    <row r="7959" spans="2:33">
      <c r="B7959" s="29"/>
      <c r="D7959" s="29"/>
      <c r="E7959" s="20"/>
      <c r="F7959" s="20"/>
      <c r="AC7959" s="20"/>
      <c r="AG7959" s="29"/>
    </row>
    <row r="7960" spans="2:33">
      <c r="B7960" s="29"/>
      <c r="D7960" s="29"/>
      <c r="E7960" s="20"/>
      <c r="F7960" s="20"/>
      <c r="AC7960" s="20"/>
      <c r="AG7960" s="29"/>
    </row>
    <row r="7961" spans="2:33">
      <c r="B7961" s="29"/>
      <c r="D7961" s="29"/>
      <c r="E7961" s="20"/>
      <c r="F7961" s="20"/>
      <c r="AC7961" s="20"/>
      <c r="AG7961" s="29"/>
    </row>
    <row r="7962" spans="2:33">
      <c r="B7962" s="29"/>
      <c r="D7962" s="29"/>
      <c r="E7962" s="20"/>
      <c r="F7962" s="20"/>
      <c r="AC7962" s="20"/>
      <c r="AG7962" s="29"/>
    </row>
    <row r="7963" spans="2:33">
      <c r="B7963" s="29"/>
      <c r="D7963" s="29"/>
      <c r="E7963" s="20"/>
      <c r="F7963" s="20"/>
      <c r="AC7963" s="20"/>
      <c r="AG7963" s="29"/>
    </row>
    <row r="7964" spans="2:33">
      <c r="B7964" s="29"/>
      <c r="D7964" s="29"/>
      <c r="E7964" s="20"/>
      <c r="F7964" s="20"/>
      <c r="AC7964" s="20"/>
      <c r="AG7964" s="29"/>
    </row>
    <row r="7965" spans="2:33">
      <c r="B7965" s="29"/>
      <c r="D7965" s="29"/>
      <c r="E7965" s="20"/>
      <c r="F7965" s="20"/>
      <c r="AC7965" s="20"/>
      <c r="AG7965" s="29"/>
    </row>
    <row r="7966" spans="2:33">
      <c r="B7966" s="29"/>
      <c r="D7966" s="29"/>
      <c r="E7966" s="20"/>
      <c r="F7966" s="20"/>
      <c r="AC7966" s="20"/>
      <c r="AG7966" s="29"/>
    </row>
    <row r="7967" spans="2:33">
      <c r="B7967" s="29"/>
      <c r="D7967" s="29"/>
      <c r="E7967" s="20"/>
      <c r="F7967" s="20"/>
      <c r="AC7967" s="20"/>
      <c r="AG7967" s="29"/>
    </row>
    <row r="7968" spans="2:33">
      <c r="B7968" s="29"/>
      <c r="D7968" s="29"/>
      <c r="E7968" s="20"/>
      <c r="F7968" s="20"/>
      <c r="AC7968" s="20"/>
      <c r="AG7968" s="29"/>
    </row>
    <row r="7969" spans="2:33">
      <c r="B7969" s="29"/>
      <c r="D7969" s="29"/>
      <c r="E7969" s="20"/>
      <c r="F7969" s="20"/>
      <c r="AC7969" s="20"/>
      <c r="AG7969" s="29"/>
    </row>
    <row r="7970" spans="2:33">
      <c r="B7970" s="29"/>
      <c r="D7970" s="29"/>
      <c r="E7970" s="20"/>
      <c r="F7970" s="20"/>
      <c r="AC7970" s="20"/>
      <c r="AG7970" s="29"/>
    </row>
    <row r="7971" spans="2:33">
      <c r="B7971" s="29"/>
      <c r="D7971" s="29"/>
      <c r="E7971" s="20"/>
      <c r="F7971" s="20"/>
      <c r="AC7971" s="20"/>
      <c r="AG7971" s="29"/>
    </row>
    <row r="7972" spans="2:33">
      <c r="B7972" s="29"/>
      <c r="D7972" s="29"/>
      <c r="E7972" s="20"/>
      <c r="F7972" s="20"/>
      <c r="AC7972" s="20"/>
      <c r="AG7972" s="29"/>
    </row>
    <row r="7973" spans="2:33">
      <c r="B7973" s="29"/>
      <c r="D7973" s="29"/>
      <c r="E7973" s="20"/>
      <c r="F7973" s="20"/>
      <c r="AC7973" s="20"/>
      <c r="AG7973" s="29"/>
    </row>
    <row r="7974" spans="2:33">
      <c r="B7974" s="29"/>
      <c r="D7974" s="29"/>
      <c r="E7974" s="20"/>
      <c r="F7974" s="20"/>
      <c r="AC7974" s="20"/>
      <c r="AG7974" s="29"/>
    </row>
    <row r="7975" spans="2:33">
      <c r="B7975" s="29"/>
      <c r="D7975" s="29"/>
      <c r="E7975" s="20"/>
      <c r="F7975" s="20"/>
      <c r="AC7975" s="20"/>
      <c r="AG7975" s="29"/>
    </row>
    <row r="7976" spans="2:33">
      <c r="B7976" s="29"/>
      <c r="D7976" s="29"/>
      <c r="E7976" s="20"/>
      <c r="F7976" s="20"/>
      <c r="AC7976" s="20"/>
      <c r="AG7976" s="29"/>
    </row>
    <row r="7977" spans="2:33">
      <c r="B7977" s="29"/>
      <c r="D7977" s="29"/>
      <c r="E7977" s="20"/>
      <c r="F7977" s="20"/>
      <c r="AC7977" s="20"/>
      <c r="AG7977" s="29"/>
    </row>
    <row r="7978" spans="2:33">
      <c r="B7978" s="29"/>
      <c r="D7978" s="29"/>
      <c r="E7978" s="20"/>
      <c r="F7978" s="20"/>
      <c r="AC7978" s="20"/>
      <c r="AG7978" s="29"/>
    </row>
    <row r="7979" spans="2:33">
      <c r="B7979" s="29"/>
      <c r="D7979" s="29"/>
      <c r="E7979" s="20"/>
      <c r="F7979" s="20"/>
      <c r="AC7979" s="20"/>
      <c r="AG7979" s="29"/>
    </row>
    <row r="7980" spans="2:33">
      <c r="B7980" s="29"/>
      <c r="D7980" s="29"/>
      <c r="E7980" s="20"/>
      <c r="F7980" s="20"/>
      <c r="AC7980" s="20"/>
      <c r="AG7980" s="29"/>
    </row>
    <row r="7981" spans="2:33">
      <c r="B7981" s="29"/>
      <c r="D7981" s="29"/>
      <c r="E7981" s="20"/>
      <c r="F7981" s="20"/>
      <c r="AC7981" s="20"/>
      <c r="AG7981" s="29"/>
    </row>
    <row r="7982" spans="2:33">
      <c r="B7982" s="29"/>
      <c r="D7982" s="29"/>
      <c r="E7982" s="20"/>
      <c r="F7982" s="20"/>
      <c r="AC7982" s="20"/>
      <c r="AG7982" s="29"/>
    </row>
    <row r="7983" spans="2:33">
      <c r="B7983" s="29"/>
      <c r="D7983" s="29"/>
      <c r="E7983" s="20"/>
      <c r="F7983" s="20"/>
      <c r="AC7983" s="20"/>
      <c r="AG7983" s="29"/>
    </row>
    <row r="7984" spans="2:33">
      <c r="B7984" s="29"/>
      <c r="D7984" s="29"/>
      <c r="E7984" s="20"/>
      <c r="F7984" s="20"/>
      <c r="AC7984" s="20"/>
      <c r="AG7984" s="29"/>
    </row>
    <row r="7985" spans="2:33">
      <c r="B7985" s="29"/>
      <c r="D7985" s="29"/>
      <c r="E7985" s="20"/>
      <c r="F7985" s="20"/>
      <c r="AC7985" s="20"/>
      <c r="AG7985" s="29"/>
    </row>
    <row r="7986" spans="2:33">
      <c r="B7986" s="29"/>
      <c r="D7986" s="29"/>
      <c r="E7986" s="20"/>
      <c r="F7986" s="20"/>
      <c r="AC7986" s="20"/>
      <c r="AG7986" s="29"/>
    </row>
    <row r="7987" spans="2:33">
      <c r="B7987" s="29"/>
      <c r="D7987" s="29"/>
      <c r="E7987" s="20"/>
      <c r="F7987" s="20"/>
      <c r="AC7987" s="20"/>
      <c r="AG7987" s="29"/>
    </row>
    <row r="7988" spans="2:33">
      <c r="B7988" s="29"/>
      <c r="D7988" s="29"/>
      <c r="E7988" s="20"/>
      <c r="F7988" s="20"/>
      <c r="AC7988" s="20"/>
      <c r="AG7988" s="29"/>
    </row>
    <row r="7989" spans="2:33">
      <c r="B7989" s="29"/>
      <c r="D7989" s="29"/>
      <c r="E7989" s="20"/>
      <c r="F7989" s="20"/>
      <c r="AC7989" s="20"/>
      <c r="AG7989" s="29"/>
    </row>
    <row r="7990" spans="2:33">
      <c r="B7990" s="29"/>
      <c r="D7990" s="29"/>
      <c r="E7990" s="20"/>
      <c r="F7990" s="20"/>
      <c r="AC7990" s="20"/>
      <c r="AG7990" s="29"/>
    </row>
    <row r="7991" spans="2:33">
      <c r="B7991" s="29"/>
      <c r="D7991" s="29"/>
      <c r="E7991" s="20"/>
      <c r="F7991" s="20"/>
      <c r="AC7991" s="20"/>
      <c r="AG7991" s="29"/>
    </row>
    <row r="7992" spans="2:33">
      <c r="B7992" s="29"/>
      <c r="D7992" s="29"/>
      <c r="E7992" s="20"/>
      <c r="F7992" s="20"/>
      <c r="AC7992" s="20"/>
      <c r="AG7992" s="29"/>
    </row>
    <row r="7993" spans="2:33">
      <c r="B7993" s="29"/>
      <c r="D7993" s="29"/>
      <c r="E7993" s="20"/>
      <c r="F7993" s="20"/>
      <c r="AC7993" s="20"/>
      <c r="AG7993" s="29"/>
    </row>
    <row r="7994" spans="2:33">
      <c r="B7994" s="29"/>
      <c r="D7994" s="29"/>
      <c r="E7994" s="20"/>
      <c r="F7994" s="20"/>
      <c r="AC7994" s="20"/>
      <c r="AG7994" s="29"/>
    </row>
    <row r="7995" spans="2:33">
      <c r="B7995" s="29"/>
      <c r="D7995" s="29"/>
      <c r="E7995" s="20"/>
      <c r="F7995" s="20"/>
      <c r="AC7995" s="20"/>
      <c r="AG7995" s="29"/>
    </row>
    <row r="7996" spans="2:33">
      <c r="B7996" s="29"/>
      <c r="D7996" s="29"/>
      <c r="E7996" s="20"/>
      <c r="F7996" s="20"/>
      <c r="AC7996" s="20"/>
      <c r="AG7996" s="29"/>
    </row>
    <row r="7997" spans="2:33">
      <c r="B7997" s="29"/>
      <c r="D7997" s="29"/>
      <c r="E7997" s="20"/>
      <c r="F7997" s="20"/>
      <c r="AC7997" s="20"/>
      <c r="AG7997" s="29"/>
    </row>
    <row r="7998" spans="2:33">
      <c r="B7998" s="29"/>
      <c r="D7998" s="29"/>
      <c r="E7998" s="20"/>
      <c r="F7998" s="20"/>
      <c r="AC7998" s="20"/>
      <c r="AG7998" s="29"/>
    </row>
    <row r="7999" spans="2:33">
      <c r="B7999" s="29"/>
      <c r="D7999" s="29"/>
      <c r="E7999" s="20"/>
      <c r="F7999" s="20"/>
      <c r="AC7999" s="20"/>
      <c r="AG7999" s="29"/>
    </row>
    <row r="8000" spans="2:33">
      <c r="B8000" s="29"/>
      <c r="D8000" s="29"/>
      <c r="E8000" s="20"/>
      <c r="F8000" s="20"/>
      <c r="AC8000" s="20"/>
      <c r="AG8000" s="29"/>
    </row>
    <row r="8001" spans="2:33">
      <c r="B8001" s="29"/>
      <c r="D8001" s="29"/>
      <c r="E8001" s="20"/>
      <c r="F8001" s="20"/>
      <c r="AC8001" s="20"/>
      <c r="AG8001" s="29"/>
    </row>
    <row r="8002" spans="2:33">
      <c r="B8002" s="29"/>
      <c r="D8002" s="29"/>
      <c r="E8002" s="20"/>
      <c r="F8002" s="20"/>
      <c r="AC8002" s="20"/>
      <c r="AG8002" s="29"/>
    </row>
    <row r="8003" spans="2:33">
      <c r="B8003" s="29"/>
      <c r="D8003" s="29"/>
      <c r="E8003" s="20"/>
      <c r="F8003" s="20"/>
      <c r="AC8003" s="20"/>
      <c r="AG8003" s="29"/>
    </row>
    <row r="8004" spans="2:33">
      <c r="B8004" s="29"/>
      <c r="D8004" s="29"/>
      <c r="E8004" s="20"/>
      <c r="F8004" s="20"/>
      <c r="AC8004" s="20"/>
      <c r="AG8004" s="29"/>
    </row>
    <row r="8005" spans="2:33">
      <c r="B8005" s="29"/>
      <c r="D8005" s="29"/>
      <c r="E8005" s="20"/>
      <c r="F8005" s="20"/>
      <c r="AC8005" s="20"/>
      <c r="AG8005" s="29"/>
    </row>
    <row r="8006" spans="2:33">
      <c r="B8006" s="29"/>
      <c r="D8006" s="29"/>
      <c r="E8006" s="20"/>
      <c r="F8006" s="20"/>
      <c r="AC8006" s="20"/>
      <c r="AG8006" s="29"/>
    </row>
    <row r="8007" spans="2:33">
      <c r="B8007" s="29"/>
      <c r="D8007" s="29"/>
      <c r="E8007" s="20"/>
      <c r="F8007" s="20"/>
      <c r="AC8007" s="20"/>
      <c r="AG8007" s="29"/>
    </row>
    <row r="8008" spans="2:33">
      <c r="B8008" s="29"/>
      <c r="D8008" s="29"/>
      <c r="E8008" s="20"/>
      <c r="F8008" s="20"/>
      <c r="AC8008" s="20"/>
      <c r="AG8008" s="29"/>
    </row>
    <row r="8009" spans="2:33">
      <c r="B8009" s="29"/>
      <c r="D8009" s="29"/>
      <c r="E8009" s="20"/>
      <c r="F8009" s="20"/>
      <c r="AC8009" s="20"/>
      <c r="AG8009" s="29"/>
    </row>
    <row r="8010" spans="2:33">
      <c r="B8010" s="29"/>
      <c r="D8010" s="29"/>
      <c r="E8010" s="20"/>
      <c r="F8010" s="20"/>
      <c r="AC8010" s="20"/>
      <c r="AG8010" s="29"/>
    </row>
    <row r="8011" spans="2:33">
      <c r="B8011" s="29"/>
      <c r="D8011" s="29"/>
      <c r="E8011" s="20"/>
      <c r="F8011" s="20"/>
      <c r="AC8011" s="20"/>
      <c r="AG8011" s="29"/>
    </row>
    <row r="8012" spans="2:33">
      <c r="B8012" s="29"/>
      <c r="D8012" s="29"/>
      <c r="E8012" s="20"/>
      <c r="F8012" s="20"/>
      <c r="AC8012" s="20"/>
      <c r="AG8012" s="29"/>
    </row>
    <row r="8013" spans="2:33">
      <c r="B8013" s="29"/>
      <c r="D8013" s="29"/>
      <c r="E8013" s="20"/>
      <c r="F8013" s="20"/>
      <c r="AC8013" s="20"/>
      <c r="AG8013" s="29"/>
    </row>
    <row r="8014" spans="2:33">
      <c r="B8014" s="29"/>
      <c r="D8014" s="29"/>
      <c r="E8014" s="20"/>
      <c r="F8014" s="20"/>
      <c r="AC8014" s="20"/>
      <c r="AG8014" s="29"/>
    </row>
    <row r="8015" spans="2:33">
      <c r="B8015" s="29"/>
      <c r="D8015" s="29"/>
      <c r="E8015" s="20"/>
      <c r="F8015" s="20"/>
      <c r="AC8015" s="20"/>
      <c r="AG8015" s="29"/>
    </row>
    <row r="8016" spans="2:33">
      <c r="B8016" s="29"/>
      <c r="D8016" s="29"/>
      <c r="E8016" s="20"/>
      <c r="F8016" s="20"/>
      <c r="AC8016" s="20"/>
      <c r="AG8016" s="29"/>
    </row>
    <row r="8017" spans="2:33">
      <c r="B8017" s="29"/>
      <c r="D8017" s="29"/>
      <c r="E8017" s="20"/>
      <c r="F8017" s="20"/>
      <c r="AC8017" s="20"/>
      <c r="AG8017" s="29"/>
    </row>
    <row r="8018" spans="2:33">
      <c r="B8018" s="29"/>
      <c r="D8018" s="29"/>
      <c r="E8018" s="20"/>
      <c r="F8018" s="20"/>
      <c r="AC8018" s="20"/>
      <c r="AG8018" s="29"/>
    </row>
    <row r="8019" spans="2:33">
      <c r="B8019" s="29"/>
      <c r="D8019" s="29"/>
      <c r="E8019" s="20"/>
      <c r="F8019" s="20"/>
      <c r="AC8019" s="20"/>
      <c r="AG8019" s="29"/>
    </row>
    <row r="8020" spans="2:33">
      <c r="B8020" s="29"/>
      <c r="D8020" s="29"/>
      <c r="E8020" s="20"/>
      <c r="F8020" s="20"/>
      <c r="AC8020" s="20"/>
      <c r="AG8020" s="29"/>
    </row>
    <row r="8021" spans="2:33">
      <c r="B8021" s="29"/>
      <c r="D8021" s="29"/>
      <c r="E8021" s="20"/>
      <c r="F8021" s="20"/>
      <c r="AC8021" s="20"/>
      <c r="AG8021" s="29"/>
    </row>
    <row r="8022" spans="2:33">
      <c r="B8022" s="29"/>
      <c r="D8022" s="29"/>
      <c r="E8022" s="20"/>
      <c r="F8022" s="20"/>
      <c r="AC8022" s="20"/>
      <c r="AG8022" s="29"/>
    </row>
    <row r="8023" spans="2:33">
      <c r="B8023" s="29"/>
      <c r="D8023" s="29"/>
      <c r="E8023" s="20"/>
      <c r="F8023" s="20"/>
      <c r="AC8023" s="20"/>
      <c r="AG8023" s="29"/>
    </row>
    <row r="8024" spans="2:33">
      <c r="B8024" s="29"/>
      <c r="D8024" s="29"/>
      <c r="E8024" s="20"/>
      <c r="F8024" s="20"/>
      <c r="AC8024" s="20"/>
      <c r="AG8024" s="29"/>
    </row>
    <row r="8025" spans="2:33">
      <c r="B8025" s="29"/>
      <c r="D8025" s="29"/>
      <c r="E8025" s="20"/>
      <c r="F8025" s="20"/>
      <c r="AC8025" s="20"/>
      <c r="AG8025" s="29"/>
    </row>
    <row r="8026" spans="2:33">
      <c r="B8026" s="29"/>
      <c r="D8026" s="29"/>
      <c r="E8026" s="20"/>
      <c r="F8026" s="20"/>
      <c r="AC8026" s="20"/>
      <c r="AG8026" s="29"/>
    </row>
    <row r="8027" spans="2:33">
      <c r="B8027" s="29"/>
      <c r="D8027" s="29"/>
      <c r="E8027" s="20"/>
      <c r="F8027" s="20"/>
      <c r="AC8027" s="20"/>
      <c r="AG8027" s="29"/>
    </row>
    <row r="8028" spans="2:33">
      <c r="B8028" s="29"/>
      <c r="D8028" s="29"/>
      <c r="E8028" s="20"/>
      <c r="F8028" s="20"/>
      <c r="AC8028" s="20"/>
      <c r="AG8028" s="29"/>
    </row>
    <row r="8029" spans="2:33">
      <c r="B8029" s="29"/>
      <c r="D8029" s="29"/>
      <c r="E8029" s="20"/>
      <c r="F8029" s="20"/>
      <c r="AC8029" s="20"/>
      <c r="AG8029" s="29"/>
    </row>
    <row r="8030" spans="2:33">
      <c r="B8030" s="29"/>
      <c r="D8030" s="29"/>
      <c r="E8030" s="20"/>
      <c r="F8030" s="20"/>
      <c r="AC8030" s="20"/>
      <c r="AG8030" s="29"/>
    </row>
    <row r="8031" spans="2:33">
      <c r="B8031" s="29"/>
      <c r="D8031" s="29"/>
      <c r="E8031" s="20"/>
      <c r="F8031" s="20"/>
      <c r="AC8031" s="20"/>
      <c r="AG8031" s="29"/>
    </row>
    <row r="8032" spans="2:33">
      <c r="B8032" s="29"/>
      <c r="D8032" s="29"/>
      <c r="E8032" s="20"/>
      <c r="F8032" s="20"/>
      <c r="AC8032" s="20"/>
      <c r="AG8032" s="29"/>
    </row>
    <row r="8033" spans="2:33">
      <c r="B8033" s="29"/>
      <c r="D8033" s="29"/>
      <c r="E8033" s="20"/>
      <c r="F8033" s="20"/>
      <c r="AC8033" s="20"/>
      <c r="AG8033" s="29"/>
    </row>
    <row r="8034" spans="2:33">
      <c r="B8034" s="29"/>
      <c r="D8034" s="29"/>
      <c r="E8034" s="20"/>
      <c r="F8034" s="20"/>
      <c r="AC8034" s="20"/>
      <c r="AG8034" s="29"/>
    </row>
    <row r="8035" spans="2:33">
      <c r="B8035" s="29"/>
      <c r="D8035" s="29"/>
      <c r="E8035" s="20"/>
      <c r="F8035" s="20"/>
      <c r="AC8035" s="20"/>
      <c r="AG8035" s="29"/>
    </row>
    <row r="8036" spans="2:33">
      <c r="B8036" s="29"/>
      <c r="D8036" s="29"/>
      <c r="E8036" s="20"/>
      <c r="F8036" s="20"/>
      <c r="AC8036" s="20"/>
      <c r="AG8036" s="29"/>
    </row>
    <row r="8037" spans="2:33">
      <c r="B8037" s="29"/>
      <c r="D8037" s="29"/>
      <c r="E8037" s="20"/>
      <c r="F8037" s="20"/>
      <c r="AC8037" s="20"/>
      <c r="AG8037" s="29"/>
    </row>
    <row r="8038" spans="2:33">
      <c r="B8038" s="29"/>
      <c r="D8038" s="29"/>
      <c r="E8038" s="20"/>
      <c r="F8038" s="20"/>
      <c r="AC8038" s="20"/>
      <c r="AG8038" s="29"/>
    </row>
    <row r="8039" spans="2:33">
      <c r="B8039" s="29"/>
      <c r="D8039" s="29"/>
      <c r="E8039" s="20"/>
      <c r="F8039" s="20"/>
      <c r="AC8039" s="20"/>
      <c r="AG8039" s="29"/>
    </row>
    <row r="8040" spans="2:33">
      <c r="B8040" s="29"/>
      <c r="D8040" s="29"/>
      <c r="E8040" s="20"/>
      <c r="F8040" s="20"/>
      <c r="AC8040" s="20"/>
      <c r="AG8040" s="29"/>
    </row>
    <row r="8041" spans="2:33">
      <c r="B8041" s="29"/>
      <c r="D8041" s="29"/>
      <c r="E8041" s="20"/>
      <c r="F8041" s="20"/>
      <c r="AC8041" s="20"/>
      <c r="AG8041" s="29"/>
    </row>
    <row r="8042" spans="2:33">
      <c r="B8042" s="29"/>
      <c r="D8042" s="29"/>
      <c r="E8042" s="20"/>
      <c r="F8042" s="20"/>
      <c r="AC8042" s="20"/>
      <c r="AG8042" s="29"/>
    </row>
    <row r="8043" spans="2:33">
      <c r="B8043" s="29"/>
      <c r="D8043" s="29"/>
      <c r="E8043" s="20"/>
      <c r="F8043" s="20"/>
      <c r="AC8043" s="20"/>
      <c r="AG8043" s="29"/>
    </row>
    <row r="8044" spans="2:33">
      <c r="B8044" s="29"/>
      <c r="D8044" s="29"/>
      <c r="E8044" s="20"/>
      <c r="F8044" s="20"/>
      <c r="AC8044" s="20"/>
      <c r="AG8044" s="29"/>
    </row>
    <row r="8045" spans="2:33">
      <c r="B8045" s="29"/>
      <c r="D8045" s="29"/>
      <c r="E8045" s="20"/>
      <c r="F8045" s="20"/>
      <c r="AC8045" s="20"/>
      <c r="AG8045" s="29"/>
    </row>
    <row r="8046" spans="2:33">
      <c r="B8046" s="29"/>
      <c r="D8046" s="29"/>
      <c r="E8046" s="20"/>
      <c r="F8046" s="20"/>
      <c r="AC8046" s="20"/>
      <c r="AG8046" s="29"/>
    </row>
    <row r="8047" spans="2:33">
      <c r="B8047" s="29"/>
      <c r="D8047" s="29"/>
      <c r="E8047" s="20"/>
      <c r="F8047" s="20"/>
      <c r="AC8047" s="20"/>
      <c r="AG8047" s="29"/>
    </row>
    <row r="8048" spans="2:33">
      <c r="B8048" s="29"/>
      <c r="D8048" s="29"/>
      <c r="E8048" s="20"/>
      <c r="F8048" s="20"/>
      <c r="AC8048" s="20"/>
      <c r="AG8048" s="29"/>
    </row>
    <row r="8049" spans="2:33">
      <c r="B8049" s="29"/>
      <c r="D8049" s="29"/>
      <c r="E8049" s="20"/>
      <c r="F8049" s="20"/>
      <c r="AC8049" s="20"/>
      <c r="AG8049" s="29"/>
    </row>
    <row r="8050" spans="2:33">
      <c r="B8050" s="29"/>
      <c r="D8050" s="29"/>
      <c r="E8050" s="20"/>
      <c r="F8050" s="20"/>
      <c r="AC8050" s="20"/>
      <c r="AG8050" s="29"/>
    </row>
    <row r="8051" spans="2:33">
      <c r="B8051" s="29"/>
      <c r="D8051" s="29"/>
      <c r="E8051" s="20"/>
      <c r="F8051" s="20"/>
      <c r="AC8051" s="20"/>
      <c r="AG8051" s="29"/>
    </row>
    <row r="8052" spans="2:33">
      <c r="B8052" s="29"/>
      <c r="D8052" s="29"/>
      <c r="E8052" s="20"/>
      <c r="F8052" s="20"/>
      <c r="AC8052" s="20"/>
      <c r="AG8052" s="29"/>
    </row>
    <row r="8053" spans="2:33">
      <c r="B8053" s="29"/>
      <c r="D8053" s="29"/>
      <c r="E8053" s="20"/>
      <c r="F8053" s="20"/>
      <c r="AC8053" s="20"/>
      <c r="AG8053" s="29"/>
    </row>
    <row r="8054" spans="2:33">
      <c r="B8054" s="29"/>
      <c r="D8054" s="29"/>
      <c r="E8054" s="20"/>
      <c r="F8054" s="20"/>
      <c r="AC8054" s="20"/>
      <c r="AG8054" s="29"/>
    </row>
    <row r="8055" spans="2:33">
      <c r="B8055" s="29"/>
      <c r="D8055" s="29"/>
      <c r="E8055" s="20"/>
      <c r="F8055" s="20"/>
      <c r="AC8055" s="20"/>
      <c r="AG8055" s="29"/>
    </row>
    <row r="8056" spans="2:33">
      <c r="B8056" s="29"/>
      <c r="D8056" s="29"/>
      <c r="E8056" s="20"/>
      <c r="F8056" s="20"/>
      <c r="AC8056" s="20"/>
      <c r="AG8056" s="29"/>
    </row>
    <row r="8057" spans="2:33">
      <c r="B8057" s="29"/>
      <c r="D8057" s="29"/>
      <c r="E8057" s="20"/>
      <c r="F8057" s="20"/>
      <c r="AC8057" s="20"/>
      <c r="AG8057" s="29"/>
    </row>
    <row r="8058" spans="2:33">
      <c r="B8058" s="29"/>
      <c r="D8058" s="29"/>
      <c r="E8058" s="20"/>
      <c r="F8058" s="20"/>
      <c r="AC8058" s="20"/>
      <c r="AG8058" s="29"/>
    </row>
    <row r="8059" spans="2:33">
      <c r="B8059" s="29"/>
      <c r="D8059" s="29"/>
      <c r="E8059" s="20"/>
      <c r="F8059" s="20"/>
      <c r="AC8059" s="20"/>
      <c r="AG8059" s="29"/>
    </row>
    <row r="8060" spans="2:33">
      <c r="B8060" s="29"/>
      <c r="D8060" s="29"/>
      <c r="E8060" s="20"/>
      <c r="F8060" s="20"/>
      <c r="AC8060" s="20"/>
      <c r="AG8060" s="29"/>
    </row>
    <row r="8061" spans="2:33">
      <c r="B8061" s="29"/>
      <c r="D8061" s="29"/>
      <c r="E8061" s="20"/>
      <c r="F8061" s="20"/>
      <c r="AC8061" s="20"/>
      <c r="AG8061" s="29"/>
    </row>
    <row r="8062" spans="2:33">
      <c r="B8062" s="29"/>
      <c r="D8062" s="29"/>
      <c r="E8062" s="20"/>
      <c r="F8062" s="20"/>
      <c r="AC8062" s="20"/>
      <c r="AG8062" s="29"/>
    </row>
    <row r="8063" spans="2:33">
      <c r="B8063" s="29"/>
      <c r="D8063" s="29"/>
      <c r="E8063" s="20"/>
      <c r="F8063" s="20"/>
      <c r="AC8063" s="20"/>
      <c r="AG8063" s="29"/>
    </row>
    <row r="8064" spans="2:33">
      <c r="B8064" s="29"/>
      <c r="D8064" s="29"/>
      <c r="E8064" s="20"/>
      <c r="F8064" s="20"/>
      <c r="AC8064" s="20"/>
      <c r="AG8064" s="29"/>
    </row>
    <row r="8065" spans="2:33">
      <c r="B8065" s="29"/>
      <c r="D8065" s="29"/>
      <c r="E8065" s="20"/>
      <c r="F8065" s="20"/>
      <c r="AC8065" s="20"/>
      <c r="AG8065" s="29"/>
    </row>
    <row r="8066" spans="2:33">
      <c r="B8066" s="29"/>
      <c r="D8066" s="29"/>
      <c r="E8066" s="20"/>
      <c r="F8066" s="20"/>
      <c r="AC8066" s="20"/>
      <c r="AG8066" s="29"/>
    </row>
    <row r="8067" spans="2:33">
      <c r="B8067" s="29"/>
      <c r="D8067" s="29"/>
      <c r="E8067" s="20"/>
      <c r="F8067" s="20"/>
      <c r="AC8067" s="20"/>
      <c r="AG8067" s="29"/>
    </row>
    <row r="8068" spans="2:33">
      <c r="B8068" s="29"/>
      <c r="D8068" s="29"/>
      <c r="E8068" s="20"/>
      <c r="F8068" s="20"/>
      <c r="AC8068" s="20"/>
      <c r="AG8068" s="29"/>
    </row>
    <row r="8069" spans="2:33">
      <c r="B8069" s="29"/>
      <c r="D8069" s="29"/>
      <c r="E8069" s="20"/>
      <c r="F8069" s="20"/>
      <c r="AC8069" s="20"/>
      <c r="AG8069" s="29"/>
    </row>
    <row r="8070" spans="2:33">
      <c r="B8070" s="29"/>
      <c r="D8070" s="29"/>
      <c r="E8070" s="20"/>
      <c r="F8070" s="20"/>
      <c r="AC8070" s="20"/>
      <c r="AG8070" s="29"/>
    </row>
    <row r="8071" spans="2:33">
      <c r="B8071" s="29"/>
      <c r="D8071" s="29"/>
      <c r="E8071" s="20"/>
      <c r="F8071" s="20"/>
      <c r="AC8071" s="20"/>
      <c r="AG8071" s="29"/>
    </row>
    <row r="8072" spans="2:33">
      <c r="B8072" s="29"/>
      <c r="D8072" s="29"/>
      <c r="E8072" s="20"/>
      <c r="F8072" s="20"/>
      <c r="AC8072" s="20"/>
      <c r="AG8072" s="29"/>
    </row>
    <row r="8073" spans="2:33">
      <c r="B8073" s="29"/>
      <c r="D8073" s="29"/>
      <c r="E8073" s="20"/>
      <c r="F8073" s="20"/>
      <c r="AC8073" s="20"/>
      <c r="AG8073" s="29"/>
    </row>
    <row r="8074" spans="2:33">
      <c r="B8074" s="29"/>
      <c r="D8074" s="29"/>
      <c r="E8074" s="20"/>
      <c r="F8074" s="20"/>
      <c r="AC8074" s="20"/>
      <c r="AG8074" s="29"/>
    </row>
    <row r="8075" spans="2:33">
      <c r="B8075" s="29"/>
      <c r="D8075" s="29"/>
      <c r="E8075" s="20"/>
      <c r="F8075" s="20"/>
      <c r="AC8075" s="20"/>
      <c r="AG8075" s="29"/>
    </row>
    <row r="8076" spans="2:33">
      <c r="B8076" s="29"/>
      <c r="D8076" s="29"/>
      <c r="E8076" s="20"/>
      <c r="F8076" s="20"/>
      <c r="AC8076" s="20"/>
      <c r="AG8076" s="29"/>
    </row>
    <row r="8077" spans="2:33">
      <c r="B8077" s="29"/>
      <c r="D8077" s="29"/>
      <c r="E8077" s="20"/>
      <c r="F8077" s="20"/>
      <c r="AC8077" s="20"/>
      <c r="AG8077" s="29"/>
    </row>
    <row r="8078" spans="2:33">
      <c r="B8078" s="29"/>
      <c r="D8078" s="29"/>
      <c r="E8078" s="20"/>
      <c r="F8078" s="20"/>
      <c r="AC8078" s="20"/>
      <c r="AG8078" s="29"/>
    </row>
    <row r="8079" spans="2:33">
      <c r="B8079" s="29"/>
      <c r="D8079" s="29"/>
      <c r="E8079" s="20"/>
      <c r="F8079" s="20"/>
      <c r="AC8079" s="20"/>
      <c r="AG8079" s="29"/>
    </row>
    <row r="8080" spans="2:33">
      <c r="B8080" s="29"/>
      <c r="D8080" s="29"/>
      <c r="E8080" s="20"/>
      <c r="F8080" s="20"/>
      <c r="AC8080" s="20"/>
      <c r="AG8080" s="29"/>
    </row>
    <row r="8081" spans="2:33">
      <c r="B8081" s="29"/>
      <c r="D8081" s="29"/>
      <c r="E8081" s="20"/>
      <c r="F8081" s="20"/>
      <c r="AC8081" s="20"/>
      <c r="AG8081" s="29"/>
    </row>
    <row r="8082" spans="2:33">
      <c r="B8082" s="29"/>
      <c r="D8082" s="29"/>
      <c r="E8082" s="20"/>
      <c r="F8082" s="20"/>
      <c r="AC8082" s="20"/>
      <c r="AG8082" s="29"/>
    </row>
    <row r="8083" spans="2:33">
      <c r="B8083" s="29"/>
      <c r="D8083" s="29"/>
      <c r="E8083" s="20"/>
      <c r="F8083" s="20"/>
      <c r="AC8083" s="20"/>
      <c r="AG8083" s="29"/>
    </row>
    <row r="8084" spans="2:33">
      <c r="B8084" s="29"/>
      <c r="D8084" s="29"/>
      <c r="E8084" s="20"/>
      <c r="F8084" s="20"/>
      <c r="AC8084" s="20"/>
      <c r="AG8084" s="29"/>
    </row>
    <row r="8085" spans="2:33">
      <c r="B8085" s="29"/>
      <c r="D8085" s="29"/>
      <c r="E8085" s="20"/>
      <c r="F8085" s="20"/>
      <c r="AC8085" s="20"/>
      <c r="AG8085" s="29"/>
    </row>
    <row r="8086" spans="2:33">
      <c r="B8086" s="29"/>
      <c r="D8086" s="29"/>
      <c r="E8086" s="20"/>
      <c r="F8086" s="20"/>
      <c r="AC8086" s="20"/>
      <c r="AG8086" s="29"/>
    </row>
    <row r="8087" spans="2:33">
      <c r="B8087" s="29"/>
      <c r="D8087" s="29"/>
      <c r="E8087" s="20"/>
      <c r="F8087" s="20"/>
      <c r="AC8087" s="20"/>
      <c r="AG8087" s="29"/>
    </row>
    <row r="8088" spans="2:33">
      <c r="B8088" s="29"/>
      <c r="D8088" s="29"/>
      <c r="E8088" s="20"/>
      <c r="F8088" s="20"/>
      <c r="AC8088" s="20"/>
      <c r="AG8088" s="29"/>
    </row>
    <row r="8089" spans="2:33">
      <c r="B8089" s="29"/>
      <c r="D8089" s="29"/>
      <c r="E8089" s="20"/>
      <c r="F8089" s="20"/>
      <c r="AC8089" s="20"/>
      <c r="AG8089" s="29"/>
    </row>
    <row r="8090" spans="2:33">
      <c r="B8090" s="29"/>
      <c r="D8090" s="29"/>
      <c r="E8090" s="20"/>
      <c r="F8090" s="20"/>
      <c r="AC8090" s="20"/>
      <c r="AG8090" s="29"/>
    </row>
    <row r="8091" spans="2:33">
      <c r="B8091" s="29"/>
      <c r="D8091" s="29"/>
      <c r="E8091" s="20"/>
      <c r="F8091" s="20"/>
      <c r="AC8091" s="20"/>
      <c r="AG8091" s="29"/>
    </row>
    <row r="8092" spans="2:33">
      <c r="B8092" s="29"/>
      <c r="D8092" s="29"/>
      <c r="E8092" s="20"/>
      <c r="F8092" s="20"/>
      <c r="AC8092" s="20"/>
      <c r="AG8092" s="29"/>
    </row>
    <row r="8093" spans="2:33">
      <c r="B8093" s="29"/>
      <c r="D8093" s="29"/>
      <c r="E8093" s="20"/>
      <c r="F8093" s="20"/>
      <c r="AC8093" s="20"/>
      <c r="AG8093" s="29"/>
    </row>
    <row r="8094" spans="2:33">
      <c r="B8094" s="29"/>
      <c r="D8094" s="29"/>
      <c r="E8094" s="20"/>
      <c r="F8094" s="20"/>
      <c r="AC8094" s="20"/>
      <c r="AG8094" s="29"/>
    </row>
    <row r="8095" spans="2:33">
      <c r="B8095" s="29"/>
      <c r="D8095" s="29"/>
      <c r="E8095" s="20"/>
      <c r="F8095" s="20"/>
      <c r="AC8095" s="20"/>
      <c r="AG8095" s="29"/>
    </row>
    <row r="8096" spans="2:33">
      <c r="B8096" s="29"/>
      <c r="D8096" s="29"/>
      <c r="E8096" s="20"/>
      <c r="F8096" s="20"/>
      <c r="AC8096" s="20"/>
      <c r="AG8096" s="29"/>
    </row>
    <row r="8097" spans="2:33">
      <c r="B8097" s="29"/>
      <c r="D8097" s="29"/>
      <c r="E8097" s="20"/>
      <c r="F8097" s="20"/>
      <c r="AC8097" s="20"/>
      <c r="AG8097" s="29"/>
    </row>
    <row r="8098" spans="2:33">
      <c r="B8098" s="29"/>
      <c r="D8098" s="29"/>
      <c r="E8098" s="20"/>
      <c r="F8098" s="20"/>
      <c r="AC8098" s="20"/>
      <c r="AG8098" s="29"/>
    </row>
    <row r="8099" spans="2:33">
      <c r="B8099" s="29"/>
      <c r="D8099" s="29"/>
      <c r="E8099" s="20"/>
      <c r="F8099" s="20"/>
      <c r="AC8099" s="20"/>
      <c r="AG8099" s="29"/>
    </row>
    <row r="8100" spans="2:33">
      <c r="B8100" s="29"/>
      <c r="D8100" s="29"/>
      <c r="E8100" s="20"/>
      <c r="F8100" s="20"/>
      <c r="AC8100" s="20"/>
      <c r="AG8100" s="29"/>
    </row>
    <row r="8101" spans="2:33">
      <c r="B8101" s="29"/>
      <c r="D8101" s="29"/>
      <c r="E8101" s="20"/>
      <c r="F8101" s="20"/>
      <c r="AC8101" s="20"/>
      <c r="AG8101" s="29"/>
    </row>
    <row r="8102" spans="2:33">
      <c r="B8102" s="29"/>
      <c r="D8102" s="29"/>
      <c r="E8102" s="20"/>
      <c r="F8102" s="20"/>
      <c r="AC8102" s="20"/>
      <c r="AG8102" s="29"/>
    </row>
    <row r="8103" spans="2:33">
      <c r="B8103" s="29"/>
      <c r="D8103" s="29"/>
      <c r="E8103" s="20"/>
      <c r="F8103" s="20"/>
      <c r="AC8103" s="20"/>
      <c r="AG8103" s="29"/>
    </row>
    <row r="8104" spans="2:33">
      <c r="B8104" s="29"/>
      <c r="D8104" s="29"/>
      <c r="E8104" s="20"/>
      <c r="F8104" s="20"/>
      <c r="AC8104" s="20"/>
      <c r="AG8104" s="29"/>
    </row>
    <row r="8105" spans="2:33">
      <c r="B8105" s="29"/>
      <c r="D8105" s="29"/>
      <c r="E8105" s="20"/>
      <c r="F8105" s="20"/>
      <c r="AC8105" s="20"/>
      <c r="AG8105" s="29"/>
    </row>
    <row r="8106" spans="2:33">
      <c r="B8106" s="29"/>
      <c r="D8106" s="29"/>
      <c r="E8106" s="20"/>
      <c r="F8106" s="20"/>
      <c r="AC8106" s="20"/>
      <c r="AG8106" s="29"/>
    </row>
    <row r="8107" spans="2:33">
      <c r="B8107" s="29"/>
      <c r="D8107" s="29"/>
      <c r="E8107" s="20"/>
      <c r="F8107" s="20"/>
      <c r="AC8107" s="20"/>
      <c r="AG8107" s="29"/>
    </row>
    <row r="8108" spans="2:33">
      <c r="B8108" s="29"/>
      <c r="D8108" s="29"/>
      <c r="E8108" s="20"/>
      <c r="F8108" s="20"/>
      <c r="AC8108" s="20"/>
      <c r="AG8108" s="29"/>
    </row>
    <row r="8109" spans="2:33">
      <c r="B8109" s="29"/>
      <c r="D8109" s="29"/>
      <c r="E8109" s="20"/>
      <c r="F8109" s="20"/>
      <c r="AC8109" s="20"/>
      <c r="AG8109" s="29"/>
    </row>
    <row r="8110" spans="2:33">
      <c r="B8110" s="29"/>
      <c r="D8110" s="29"/>
      <c r="E8110" s="20"/>
      <c r="F8110" s="20"/>
      <c r="AC8110" s="20"/>
      <c r="AG8110" s="29"/>
    </row>
    <row r="8111" spans="2:33">
      <c r="B8111" s="29"/>
      <c r="D8111" s="29"/>
      <c r="E8111" s="20"/>
      <c r="F8111" s="20"/>
      <c r="AC8111" s="20"/>
      <c r="AG8111" s="29"/>
    </row>
    <row r="8112" spans="2:33">
      <c r="B8112" s="29"/>
      <c r="D8112" s="29"/>
      <c r="E8112" s="20"/>
      <c r="F8112" s="20"/>
      <c r="AC8112" s="20"/>
      <c r="AG8112" s="29"/>
    </row>
    <row r="8113" spans="2:33">
      <c r="B8113" s="29"/>
      <c r="D8113" s="29"/>
      <c r="E8113" s="20"/>
      <c r="F8113" s="20"/>
      <c r="AC8113" s="20"/>
      <c r="AG8113" s="29"/>
    </row>
    <row r="8114" spans="2:33">
      <c r="B8114" s="29"/>
      <c r="D8114" s="29"/>
      <c r="E8114" s="20"/>
      <c r="F8114" s="20"/>
      <c r="AC8114" s="20"/>
      <c r="AG8114" s="29"/>
    </row>
    <row r="8115" spans="2:33">
      <c r="B8115" s="29"/>
      <c r="D8115" s="29"/>
      <c r="E8115" s="20"/>
      <c r="F8115" s="20"/>
      <c r="AC8115" s="20"/>
      <c r="AG8115" s="29"/>
    </row>
    <row r="8116" spans="2:33">
      <c r="B8116" s="29"/>
      <c r="D8116" s="29"/>
      <c r="E8116" s="20"/>
      <c r="F8116" s="20"/>
      <c r="AC8116" s="20"/>
      <c r="AG8116" s="29"/>
    </row>
    <row r="8117" spans="2:33">
      <c r="B8117" s="29"/>
      <c r="D8117" s="29"/>
      <c r="E8117" s="20"/>
      <c r="F8117" s="20"/>
      <c r="AC8117" s="20"/>
      <c r="AG8117" s="29"/>
    </row>
    <row r="8118" spans="2:33">
      <c r="B8118" s="29"/>
      <c r="D8118" s="29"/>
      <c r="E8118" s="20"/>
      <c r="F8118" s="20"/>
      <c r="AC8118" s="20"/>
      <c r="AG8118" s="29"/>
    </row>
    <row r="8119" spans="2:33">
      <c r="B8119" s="29"/>
      <c r="D8119" s="29"/>
      <c r="E8119" s="20"/>
      <c r="F8119" s="20"/>
      <c r="AC8119" s="20"/>
      <c r="AG8119" s="29"/>
    </row>
    <row r="8120" spans="2:33">
      <c r="B8120" s="29"/>
      <c r="D8120" s="29"/>
      <c r="E8120" s="20"/>
      <c r="F8120" s="20"/>
      <c r="AC8120" s="20"/>
      <c r="AG8120" s="29"/>
    </row>
    <row r="8121" spans="2:33">
      <c r="B8121" s="29"/>
      <c r="D8121" s="29"/>
      <c r="E8121" s="20"/>
      <c r="F8121" s="20"/>
      <c r="AC8121" s="20"/>
      <c r="AG8121" s="29"/>
    </row>
    <row r="8122" spans="2:33">
      <c r="B8122" s="29"/>
      <c r="D8122" s="29"/>
      <c r="E8122" s="20"/>
      <c r="F8122" s="20"/>
      <c r="AC8122" s="20"/>
      <c r="AG8122" s="29"/>
    </row>
    <row r="8123" spans="2:33">
      <c r="B8123" s="29"/>
      <c r="D8123" s="29"/>
      <c r="E8123" s="20"/>
      <c r="F8123" s="20"/>
      <c r="AC8123" s="20"/>
      <c r="AG8123" s="29"/>
    </row>
    <row r="8124" spans="2:33">
      <c r="B8124" s="29"/>
      <c r="D8124" s="29"/>
      <c r="E8124" s="20"/>
      <c r="F8124" s="20"/>
      <c r="AC8124" s="20"/>
      <c r="AG8124" s="29"/>
    </row>
    <row r="8125" spans="2:33">
      <c r="B8125" s="29"/>
      <c r="D8125" s="29"/>
      <c r="E8125" s="20"/>
      <c r="F8125" s="20"/>
      <c r="AC8125" s="20"/>
      <c r="AG8125" s="29"/>
    </row>
    <row r="8126" spans="2:33">
      <c r="B8126" s="29"/>
      <c r="D8126" s="29"/>
      <c r="E8126" s="20"/>
      <c r="F8126" s="20"/>
      <c r="AC8126" s="20"/>
      <c r="AG8126" s="29"/>
    </row>
    <row r="8127" spans="2:33">
      <c r="B8127" s="29"/>
      <c r="D8127" s="29"/>
      <c r="E8127" s="20"/>
      <c r="F8127" s="20"/>
      <c r="AC8127" s="20"/>
      <c r="AG8127" s="29"/>
    </row>
    <row r="8128" spans="2:33">
      <c r="B8128" s="29"/>
      <c r="D8128" s="29"/>
      <c r="E8128" s="20"/>
      <c r="F8128" s="20"/>
      <c r="AC8128" s="20"/>
      <c r="AG8128" s="29"/>
    </row>
    <row r="8129" spans="2:33">
      <c r="B8129" s="29"/>
      <c r="D8129" s="29"/>
      <c r="E8129" s="20"/>
      <c r="F8129" s="20"/>
      <c r="AC8129" s="20"/>
      <c r="AG8129" s="29"/>
    </row>
    <row r="8130" spans="2:33">
      <c r="B8130" s="29"/>
      <c r="D8130" s="29"/>
      <c r="E8130" s="20"/>
      <c r="F8130" s="20"/>
      <c r="AC8130" s="20"/>
      <c r="AG8130" s="29"/>
    </row>
    <row r="8131" spans="2:33">
      <c r="B8131" s="29"/>
      <c r="D8131" s="29"/>
      <c r="E8131" s="20"/>
      <c r="F8131" s="20"/>
      <c r="AC8131" s="20"/>
      <c r="AG8131" s="29"/>
    </row>
    <row r="8132" spans="2:33">
      <c r="B8132" s="29"/>
      <c r="D8132" s="29"/>
      <c r="E8132" s="20"/>
      <c r="F8132" s="20"/>
      <c r="AC8132" s="20"/>
      <c r="AG8132" s="29"/>
    </row>
    <row r="8133" spans="2:33">
      <c r="B8133" s="29"/>
      <c r="D8133" s="29"/>
      <c r="E8133" s="20"/>
      <c r="F8133" s="20"/>
      <c r="AC8133" s="20"/>
      <c r="AG8133" s="29"/>
    </row>
    <row r="8134" spans="2:33">
      <c r="B8134" s="29"/>
      <c r="D8134" s="29"/>
      <c r="E8134" s="20"/>
      <c r="F8134" s="20"/>
      <c r="AC8134" s="20"/>
      <c r="AG8134" s="29"/>
    </row>
    <row r="8135" spans="2:33">
      <c r="B8135" s="29"/>
      <c r="D8135" s="29"/>
      <c r="E8135" s="20"/>
      <c r="F8135" s="20"/>
      <c r="AC8135" s="20"/>
      <c r="AG8135" s="29"/>
    </row>
    <row r="8136" spans="2:33">
      <c r="B8136" s="29"/>
      <c r="D8136" s="29"/>
      <c r="E8136" s="20"/>
      <c r="F8136" s="20"/>
      <c r="AC8136" s="20"/>
      <c r="AG8136" s="29"/>
    </row>
    <row r="8137" spans="2:33">
      <c r="B8137" s="29"/>
      <c r="D8137" s="29"/>
      <c r="E8137" s="20"/>
      <c r="F8137" s="20"/>
      <c r="AC8137" s="20"/>
      <c r="AG8137" s="29"/>
    </row>
    <row r="8138" spans="2:33">
      <c r="B8138" s="29"/>
      <c r="D8138" s="29"/>
      <c r="E8138" s="20"/>
      <c r="F8138" s="20"/>
      <c r="AC8138" s="20"/>
      <c r="AG8138" s="29"/>
    </row>
    <row r="8139" spans="2:33">
      <c r="B8139" s="29"/>
      <c r="D8139" s="29"/>
      <c r="E8139" s="20"/>
      <c r="F8139" s="20"/>
      <c r="AC8139" s="20"/>
      <c r="AG8139" s="29"/>
    </row>
    <row r="8140" spans="2:33">
      <c r="B8140" s="29"/>
      <c r="D8140" s="29"/>
      <c r="E8140" s="20"/>
      <c r="F8140" s="20"/>
      <c r="AC8140" s="20"/>
      <c r="AG8140" s="29"/>
    </row>
    <row r="8141" spans="2:33">
      <c r="B8141" s="29"/>
      <c r="D8141" s="29"/>
      <c r="E8141" s="20"/>
      <c r="F8141" s="20"/>
      <c r="AC8141" s="20"/>
      <c r="AG8141" s="29"/>
    </row>
    <row r="8142" spans="2:33">
      <c r="B8142" s="29"/>
      <c r="D8142" s="29"/>
      <c r="E8142" s="20"/>
      <c r="F8142" s="20"/>
      <c r="AC8142" s="20"/>
      <c r="AG8142" s="29"/>
    </row>
    <row r="8143" spans="2:33">
      <c r="B8143" s="29"/>
      <c r="D8143" s="29"/>
      <c r="E8143" s="20"/>
      <c r="F8143" s="20"/>
      <c r="AC8143" s="20"/>
      <c r="AG8143" s="29"/>
    </row>
    <row r="8144" spans="2:33">
      <c r="B8144" s="29"/>
      <c r="D8144" s="29"/>
      <c r="E8144" s="20"/>
      <c r="F8144" s="20"/>
      <c r="AC8144" s="20"/>
      <c r="AG8144" s="29"/>
    </row>
    <row r="8145" spans="2:33">
      <c r="B8145" s="29"/>
      <c r="D8145" s="29"/>
      <c r="E8145" s="20"/>
      <c r="F8145" s="20"/>
      <c r="AC8145" s="20"/>
      <c r="AG8145" s="29"/>
    </row>
    <row r="8146" spans="2:33">
      <c r="B8146" s="29"/>
      <c r="D8146" s="29"/>
      <c r="E8146" s="20"/>
      <c r="F8146" s="20"/>
      <c r="AC8146" s="20"/>
      <c r="AG8146" s="29"/>
    </row>
    <row r="8147" spans="2:33">
      <c r="B8147" s="29"/>
      <c r="D8147" s="29"/>
      <c r="E8147" s="20"/>
      <c r="F8147" s="20"/>
      <c r="AC8147" s="20"/>
      <c r="AG8147" s="29"/>
    </row>
    <row r="8148" spans="2:33">
      <c r="B8148" s="29"/>
      <c r="D8148" s="29"/>
      <c r="E8148" s="20"/>
      <c r="F8148" s="20"/>
      <c r="AC8148" s="20"/>
      <c r="AG8148" s="29"/>
    </row>
    <row r="8149" spans="2:33">
      <c r="B8149" s="29"/>
      <c r="D8149" s="29"/>
      <c r="E8149" s="20"/>
      <c r="F8149" s="20"/>
      <c r="AC8149" s="20"/>
      <c r="AG8149" s="29"/>
    </row>
    <row r="8150" spans="2:33">
      <c r="B8150" s="29"/>
      <c r="D8150" s="29"/>
      <c r="E8150" s="20"/>
      <c r="F8150" s="20"/>
      <c r="AC8150" s="20"/>
      <c r="AG8150" s="29"/>
    </row>
    <row r="8151" spans="2:33">
      <c r="B8151" s="29"/>
      <c r="D8151" s="29"/>
      <c r="E8151" s="20"/>
      <c r="F8151" s="20"/>
      <c r="AC8151" s="20"/>
      <c r="AG8151" s="29"/>
    </row>
    <row r="8152" spans="2:33">
      <c r="B8152" s="29"/>
      <c r="D8152" s="29"/>
      <c r="E8152" s="20"/>
      <c r="F8152" s="20"/>
      <c r="AC8152" s="20"/>
      <c r="AG8152" s="29"/>
    </row>
    <row r="8153" spans="2:33">
      <c r="B8153" s="29"/>
      <c r="D8153" s="29"/>
      <c r="E8153" s="20"/>
      <c r="F8153" s="20"/>
      <c r="AC8153" s="20"/>
      <c r="AG8153" s="29"/>
    </row>
    <row r="8154" spans="2:33">
      <c r="B8154" s="29"/>
      <c r="D8154" s="29"/>
      <c r="E8154" s="20"/>
      <c r="F8154" s="20"/>
      <c r="AC8154" s="20"/>
      <c r="AG8154" s="29"/>
    </row>
    <row r="8155" spans="2:33">
      <c r="B8155" s="29"/>
      <c r="D8155" s="29"/>
      <c r="E8155" s="20"/>
      <c r="F8155" s="20"/>
      <c r="AC8155" s="20"/>
      <c r="AG8155" s="29"/>
    </row>
    <row r="8156" spans="2:33">
      <c r="B8156" s="29"/>
      <c r="D8156" s="29"/>
      <c r="E8156" s="20"/>
      <c r="F8156" s="20"/>
      <c r="AC8156" s="20"/>
      <c r="AG8156" s="29"/>
    </row>
    <row r="8157" spans="2:33">
      <c r="B8157" s="29"/>
      <c r="D8157" s="29"/>
      <c r="E8157" s="20"/>
      <c r="F8157" s="20"/>
      <c r="AC8157" s="20"/>
      <c r="AG8157" s="29"/>
    </row>
    <row r="8158" spans="2:33">
      <c r="B8158" s="29"/>
      <c r="D8158" s="29"/>
      <c r="E8158" s="20"/>
      <c r="F8158" s="20"/>
      <c r="AC8158" s="20"/>
      <c r="AG8158" s="29"/>
    </row>
    <row r="8159" spans="2:33">
      <c r="B8159" s="29"/>
      <c r="D8159" s="29"/>
      <c r="E8159" s="20"/>
      <c r="F8159" s="20"/>
      <c r="AC8159" s="20"/>
      <c r="AG8159" s="29"/>
    </row>
    <row r="8160" spans="2:33">
      <c r="B8160" s="29"/>
      <c r="D8160" s="29"/>
      <c r="E8160" s="20"/>
      <c r="F8160" s="20"/>
      <c r="AC8160" s="20"/>
      <c r="AG8160" s="29"/>
    </row>
    <row r="8161" spans="2:33">
      <c r="B8161" s="29"/>
      <c r="D8161" s="29"/>
      <c r="E8161" s="20"/>
      <c r="F8161" s="20"/>
      <c r="AC8161" s="20"/>
      <c r="AG8161" s="29"/>
    </row>
    <row r="8162" spans="2:33">
      <c r="B8162" s="29"/>
      <c r="D8162" s="29"/>
      <c r="E8162" s="20"/>
      <c r="F8162" s="20"/>
      <c r="AC8162" s="20"/>
      <c r="AG8162" s="29"/>
    </row>
    <row r="8163" spans="2:33">
      <c r="B8163" s="29"/>
      <c r="D8163" s="29"/>
      <c r="E8163" s="20"/>
      <c r="F8163" s="20"/>
      <c r="AC8163" s="20"/>
      <c r="AG8163" s="29"/>
    </row>
    <row r="8164" spans="2:33">
      <c r="B8164" s="29"/>
      <c r="D8164" s="29"/>
      <c r="E8164" s="20"/>
      <c r="F8164" s="20"/>
      <c r="AC8164" s="20"/>
      <c r="AG8164" s="29"/>
    </row>
    <row r="8165" spans="2:33">
      <c r="B8165" s="29"/>
      <c r="D8165" s="29"/>
      <c r="E8165" s="20"/>
      <c r="F8165" s="20"/>
      <c r="AC8165" s="20"/>
      <c r="AG8165" s="29"/>
    </row>
    <row r="8166" spans="2:33">
      <c r="B8166" s="29"/>
      <c r="D8166" s="29"/>
      <c r="E8166" s="20"/>
      <c r="F8166" s="20"/>
      <c r="AC8166" s="20"/>
      <c r="AG8166" s="29"/>
    </row>
    <row r="8167" spans="2:33">
      <c r="B8167" s="29"/>
      <c r="D8167" s="29"/>
      <c r="E8167" s="20"/>
      <c r="F8167" s="20"/>
      <c r="AC8167" s="20"/>
      <c r="AG8167" s="29"/>
    </row>
    <row r="8168" spans="2:33">
      <c r="B8168" s="29"/>
      <c r="D8168" s="29"/>
      <c r="E8168" s="20"/>
      <c r="F8168" s="20"/>
      <c r="AC8168" s="20"/>
      <c r="AG8168" s="29"/>
    </row>
    <row r="8169" spans="2:33">
      <c r="B8169" s="29"/>
      <c r="D8169" s="29"/>
      <c r="E8169" s="20"/>
      <c r="F8169" s="20"/>
      <c r="AC8169" s="20"/>
      <c r="AG8169" s="29"/>
    </row>
    <row r="8170" spans="2:33">
      <c r="B8170" s="29"/>
      <c r="D8170" s="29"/>
      <c r="E8170" s="20"/>
      <c r="F8170" s="20"/>
      <c r="AC8170" s="20"/>
      <c r="AG8170" s="29"/>
    </row>
    <row r="8171" spans="2:33">
      <c r="B8171" s="29"/>
      <c r="D8171" s="29"/>
      <c r="E8171" s="20"/>
      <c r="F8171" s="20"/>
      <c r="AC8171" s="20"/>
      <c r="AG8171" s="29"/>
    </row>
    <row r="8172" spans="2:33">
      <c r="B8172" s="29"/>
      <c r="D8172" s="29"/>
      <c r="E8172" s="20"/>
      <c r="F8172" s="20"/>
      <c r="AC8172" s="20"/>
      <c r="AG8172" s="29"/>
    </row>
    <row r="8173" spans="2:33">
      <c r="B8173" s="29"/>
      <c r="D8173" s="29"/>
      <c r="E8173" s="20"/>
      <c r="F8173" s="20"/>
      <c r="AC8173" s="20"/>
      <c r="AG8173" s="29"/>
    </row>
    <row r="8174" spans="2:33">
      <c r="B8174" s="29"/>
      <c r="D8174" s="29"/>
      <c r="E8174" s="20"/>
      <c r="F8174" s="20"/>
      <c r="AC8174" s="20"/>
      <c r="AG8174" s="29"/>
    </row>
    <row r="8175" spans="2:33">
      <c r="B8175" s="29"/>
      <c r="D8175" s="29"/>
      <c r="E8175" s="20"/>
      <c r="F8175" s="20"/>
      <c r="AC8175" s="20"/>
      <c r="AG8175" s="29"/>
    </row>
    <row r="8176" spans="2:33">
      <c r="B8176" s="29"/>
      <c r="D8176" s="29"/>
      <c r="E8176" s="20"/>
      <c r="F8176" s="20"/>
      <c r="AC8176" s="20"/>
      <c r="AG8176" s="29"/>
    </row>
    <row r="8177" spans="2:33">
      <c r="B8177" s="29"/>
      <c r="D8177" s="29"/>
      <c r="E8177" s="20"/>
      <c r="F8177" s="20"/>
      <c r="AC8177" s="20"/>
      <c r="AG8177" s="29"/>
    </row>
    <row r="8178" spans="2:33">
      <c r="B8178" s="29"/>
      <c r="D8178" s="29"/>
      <c r="E8178" s="20"/>
      <c r="F8178" s="20"/>
      <c r="AC8178" s="20"/>
      <c r="AG8178" s="29"/>
    </row>
    <row r="8179" spans="2:33">
      <c r="B8179" s="29"/>
      <c r="D8179" s="29"/>
      <c r="E8179" s="20"/>
      <c r="F8179" s="20"/>
      <c r="AC8179" s="20"/>
      <c r="AG8179" s="29"/>
    </row>
    <row r="8180" spans="2:33">
      <c r="B8180" s="29"/>
      <c r="D8180" s="29"/>
      <c r="E8180" s="20"/>
      <c r="F8180" s="20"/>
      <c r="AC8180" s="20"/>
      <c r="AG8180" s="29"/>
    </row>
    <row r="8181" spans="2:33">
      <c r="B8181" s="29"/>
      <c r="D8181" s="29"/>
      <c r="E8181" s="20"/>
      <c r="F8181" s="20"/>
      <c r="AC8181" s="20"/>
      <c r="AG8181" s="29"/>
    </row>
    <row r="8182" spans="2:33">
      <c r="B8182" s="29"/>
      <c r="D8182" s="29"/>
      <c r="E8182" s="20"/>
      <c r="F8182" s="20"/>
      <c r="AC8182" s="20"/>
      <c r="AG8182" s="29"/>
    </row>
    <row r="8183" spans="2:33">
      <c r="B8183" s="29"/>
      <c r="D8183" s="29"/>
      <c r="E8183" s="20"/>
      <c r="F8183" s="20"/>
      <c r="AC8183" s="20"/>
      <c r="AG8183" s="29"/>
    </row>
    <row r="8184" spans="2:33">
      <c r="B8184" s="29"/>
      <c r="D8184" s="29"/>
      <c r="E8184" s="20"/>
      <c r="F8184" s="20"/>
      <c r="AC8184" s="20"/>
      <c r="AG8184" s="29"/>
    </row>
    <row r="8185" spans="2:33">
      <c r="B8185" s="29"/>
      <c r="D8185" s="29"/>
      <c r="E8185" s="20"/>
      <c r="F8185" s="20"/>
      <c r="AC8185" s="20"/>
      <c r="AG8185" s="29"/>
    </row>
    <row r="8186" spans="2:33">
      <c r="B8186" s="29"/>
      <c r="D8186" s="29"/>
      <c r="E8186" s="20"/>
      <c r="F8186" s="20"/>
      <c r="AC8186" s="20"/>
      <c r="AG8186" s="29"/>
    </row>
    <row r="8187" spans="2:33">
      <c r="B8187" s="29"/>
      <c r="D8187" s="29"/>
      <c r="E8187" s="20"/>
      <c r="F8187" s="20"/>
      <c r="AC8187" s="20"/>
      <c r="AG8187" s="29"/>
    </row>
    <row r="8188" spans="2:33">
      <c r="B8188" s="29"/>
      <c r="D8188" s="29"/>
      <c r="E8188" s="20"/>
      <c r="F8188" s="20"/>
      <c r="AC8188" s="20"/>
      <c r="AG8188" s="29"/>
    </row>
    <row r="8189" spans="2:33">
      <c r="B8189" s="29"/>
      <c r="D8189" s="29"/>
      <c r="E8189" s="20"/>
      <c r="F8189" s="20"/>
      <c r="AC8189" s="20"/>
      <c r="AG8189" s="29"/>
    </row>
    <row r="8190" spans="2:33">
      <c r="B8190" s="29"/>
      <c r="D8190" s="29"/>
      <c r="E8190" s="20"/>
      <c r="F8190" s="20"/>
      <c r="AC8190" s="20"/>
      <c r="AG8190" s="29"/>
    </row>
    <row r="8191" spans="2:33">
      <c r="B8191" s="29"/>
      <c r="D8191" s="29"/>
      <c r="E8191" s="20"/>
      <c r="F8191" s="20"/>
      <c r="AC8191" s="20"/>
      <c r="AG8191" s="29"/>
    </row>
    <row r="8192" spans="2:33">
      <c r="B8192" s="29"/>
      <c r="D8192" s="29"/>
      <c r="E8192" s="20"/>
      <c r="F8192" s="20"/>
      <c r="AC8192" s="20"/>
      <c r="AG8192" s="29"/>
    </row>
    <row r="8193" spans="2:33">
      <c r="B8193" s="29"/>
      <c r="D8193" s="29"/>
      <c r="E8193" s="20"/>
      <c r="F8193" s="20"/>
      <c r="AC8193" s="20"/>
      <c r="AG8193" s="29"/>
    </row>
    <row r="8194" spans="2:33">
      <c r="B8194" s="29"/>
      <c r="D8194" s="29"/>
      <c r="E8194" s="20"/>
      <c r="F8194" s="20"/>
      <c r="AC8194" s="20"/>
      <c r="AG8194" s="29"/>
    </row>
    <row r="8195" spans="2:33">
      <c r="B8195" s="29"/>
      <c r="D8195" s="29"/>
      <c r="E8195" s="20"/>
      <c r="F8195" s="20"/>
      <c r="AC8195" s="20"/>
      <c r="AG8195" s="29"/>
    </row>
    <row r="8196" spans="2:33">
      <c r="B8196" s="29"/>
      <c r="D8196" s="29"/>
      <c r="E8196" s="20"/>
      <c r="F8196" s="20"/>
      <c r="AC8196" s="20"/>
      <c r="AG8196" s="29"/>
    </row>
    <row r="8197" spans="2:33">
      <c r="B8197" s="29"/>
      <c r="D8197" s="29"/>
      <c r="E8197" s="20"/>
      <c r="F8197" s="20"/>
      <c r="AC8197" s="20"/>
      <c r="AG8197" s="29"/>
    </row>
    <row r="8198" spans="2:33">
      <c r="B8198" s="29"/>
      <c r="D8198" s="29"/>
      <c r="E8198" s="20"/>
      <c r="F8198" s="20"/>
      <c r="AC8198" s="20"/>
      <c r="AG8198" s="29"/>
    </row>
    <row r="8199" spans="2:33">
      <c r="B8199" s="29"/>
      <c r="D8199" s="29"/>
      <c r="E8199" s="20"/>
      <c r="F8199" s="20"/>
      <c r="AC8199" s="20"/>
      <c r="AG8199" s="29"/>
    </row>
    <row r="8200" spans="2:33">
      <c r="B8200" s="29"/>
      <c r="D8200" s="29"/>
      <c r="E8200" s="20"/>
      <c r="F8200" s="20"/>
      <c r="AC8200" s="20"/>
      <c r="AG8200" s="29"/>
    </row>
    <row r="8201" spans="2:33">
      <c r="B8201" s="29"/>
      <c r="D8201" s="29"/>
      <c r="E8201" s="20"/>
      <c r="F8201" s="20"/>
      <c r="AC8201" s="20"/>
      <c r="AG8201" s="29"/>
    </row>
    <row r="8202" spans="2:33">
      <c r="B8202" s="29"/>
      <c r="D8202" s="29"/>
      <c r="E8202" s="20"/>
      <c r="F8202" s="20"/>
      <c r="AC8202" s="20"/>
      <c r="AG8202" s="29"/>
    </row>
    <row r="8203" spans="2:33">
      <c r="B8203" s="29"/>
      <c r="D8203" s="29"/>
      <c r="E8203" s="20"/>
      <c r="F8203" s="20"/>
      <c r="AC8203" s="20"/>
      <c r="AG8203" s="29"/>
    </row>
    <row r="8204" spans="2:33">
      <c r="B8204" s="29"/>
      <c r="D8204" s="29"/>
      <c r="E8204" s="20"/>
      <c r="F8204" s="20"/>
      <c r="AC8204" s="20"/>
      <c r="AG8204" s="29"/>
    </row>
    <row r="8205" spans="2:33">
      <c r="B8205" s="29"/>
      <c r="D8205" s="29"/>
      <c r="E8205" s="20"/>
      <c r="F8205" s="20"/>
      <c r="AC8205" s="20"/>
      <c r="AG8205" s="29"/>
    </row>
    <row r="8206" spans="2:33">
      <c r="B8206" s="29"/>
      <c r="D8206" s="29"/>
      <c r="E8206" s="20"/>
      <c r="F8206" s="20"/>
      <c r="AC8206" s="20"/>
      <c r="AG8206" s="29"/>
    </row>
    <row r="8207" spans="2:33">
      <c r="B8207" s="29"/>
      <c r="D8207" s="29"/>
      <c r="E8207" s="20"/>
      <c r="F8207" s="20"/>
      <c r="AC8207" s="20"/>
      <c r="AG8207" s="29"/>
    </row>
    <row r="8208" spans="2:33">
      <c r="B8208" s="29"/>
      <c r="D8208" s="29"/>
      <c r="E8208" s="20"/>
      <c r="F8208" s="20"/>
      <c r="AC8208" s="20"/>
      <c r="AG8208" s="29"/>
    </row>
    <row r="8209" spans="2:33">
      <c r="B8209" s="29"/>
      <c r="D8209" s="29"/>
      <c r="E8209" s="20"/>
      <c r="F8209" s="20"/>
      <c r="AC8209" s="20"/>
      <c r="AG8209" s="29"/>
    </row>
    <row r="8210" spans="2:33">
      <c r="B8210" s="29"/>
      <c r="D8210" s="29"/>
      <c r="E8210" s="20"/>
      <c r="F8210" s="20"/>
      <c r="AC8210" s="20"/>
      <c r="AG8210" s="29"/>
    </row>
    <row r="8211" spans="2:33">
      <c r="B8211" s="29"/>
      <c r="D8211" s="29"/>
      <c r="E8211" s="20"/>
      <c r="F8211" s="20"/>
      <c r="AC8211" s="20"/>
      <c r="AG8211" s="29"/>
    </row>
    <row r="8212" spans="2:33">
      <c r="B8212" s="29"/>
      <c r="D8212" s="29"/>
      <c r="E8212" s="20"/>
      <c r="F8212" s="20"/>
      <c r="AC8212" s="20"/>
      <c r="AG8212" s="29"/>
    </row>
    <row r="8213" spans="2:33">
      <c r="B8213" s="29"/>
      <c r="D8213" s="29"/>
      <c r="E8213" s="20"/>
      <c r="F8213" s="20"/>
      <c r="AC8213" s="20"/>
      <c r="AG8213" s="29"/>
    </row>
    <row r="8214" spans="2:33">
      <c r="B8214" s="29"/>
      <c r="D8214" s="29"/>
      <c r="E8214" s="20"/>
      <c r="F8214" s="20"/>
      <c r="AC8214" s="20"/>
      <c r="AG8214" s="29"/>
    </row>
    <row r="8215" spans="2:33">
      <c r="B8215" s="29"/>
      <c r="D8215" s="29"/>
      <c r="E8215" s="20"/>
      <c r="F8215" s="20"/>
      <c r="AC8215" s="20"/>
      <c r="AG8215" s="29"/>
    </row>
    <row r="8216" spans="2:33">
      <c r="B8216" s="29"/>
      <c r="D8216" s="29"/>
      <c r="E8216" s="20"/>
      <c r="F8216" s="20"/>
      <c r="AC8216" s="20"/>
      <c r="AG8216" s="29"/>
    </row>
    <row r="8217" spans="2:33">
      <c r="B8217" s="29"/>
      <c r="D8217" s="29"/>
      <c r="E8217" s="20"/>
      <c r="F8217" s="20"/>
      <c r="AC8217" s="20"/>
      <c r="AG8217" s="29"/>
    </row>
    <row r="8218" spans="2:33">
      <c r="B8218" s="29"/>
      <c r="D8218" s="29"/>
      <c r="E8218" s="20"/>
      <c r="F8218" s="20"/>
      <c r="AC8218" s="20"/>
      <c r="AG8218" s="29"/>
    </row>
    <row r="8219" spans="2:33">
      <c r="B8219" s="29"/>
      <c r="D8219" s="29"/>
      <c r="E8219" s="20"/>
      <c r="F8219" s="20"/>
      <c r="AC8219" s="20"/>
      <c r="AG8219" s="29"/>
    </row>
    <row r="8220" spans="2:33">
      <c r="B8220" s="29"/>
      <c r="D8220" s="29"/>
      <c r="E8220" s="20"/>
      <c r="F8220" s="20"/>
      <c r="AC8220" s="20"/>
      <c r="AG8220" s="29"/>
    </row>
    <row r="8221" spans="2:33">
      <c r="B8221" s="29"/>
      <c r="D8221" s="29"/>
      <c r="E8221" s="20"/>
      <c r="F8221" s="20"/>
      <c r="AC8221" s="20"/>
      <c r="AG8221" s="29"/>
    </row>
    <row r="8222" spans="2:33">
      <c r="B8222" s="29"/>
      <c r="D8222" s="29"/>
      <c r="E8222" s="20"/>
      <c r="F8222" s="20"/>
      <c r="AC8222" s="20"/>
      <c r="AG8222" s="29"/>
    </row>
    <row r="8223" spans="2:33">
      <c r="B8223" s="29"/>
      <c r="D8223" s="29"/>
      <c r="E8223" s="20"/>
      <c r="F8223" s="20"/>
      <c r="AC8223" s="20"/>
      <c r="AG8223" s="29"/>
    </row>
    <row r="8224" spans="2:33">
      <c r="B8224" s="29"/>
      <c r="D8224" s="29"/>
      <c r="E8224" s="20"/>
      <c r="F8224" s="20"/>
      <c r="AC8224" s="20"/>
      <c r="AG8224" s="29"/>
    </row>
    <row r="8225" spans="2:33">
      <c r="B8225" s="29"/>
      <c r="D8225" s="29"/>
      <c r="E8225" s="20"/>
      <c r="F8225" s="20"/>
      <c r="AC8225" s="20"/>
      <c r="AG8225" s="29"/>
    </row>
    <row r="8226" spans="2:33">
      <c r="B8226" s="29"/>
      <c r="D8226" s="29"/>
      <c r="E8226" s="20"/>
      <c r="F8226" s="20"/>
      <c r="AC8226" s="20"/>
      <c r="AG8226" s="29"/>
    </row>
    <row r="8227" spans="2:33">
      <c r="B8227" s="29"/>
      <c r="D8227" s="29"/>
      <c r="E8227" s="20"/>
      <c r="F8227" s="20"/>
      <c r="AC8227" s="20"/>
      <c r="AG8227" s="29"/>
    </row>
    <row r="8228" spans="2:33">
      <c r="B8228" s="29"/>
      <c r="D8228" s="29"/>
      <c r="E8228" s="20"/>
      <c r="F8228" s="20"/>
      <c r="AC8228" s="20"/>
      <c r="AG8228" s="29"/>
    </row>
    <row r="8229" spans="2:33">
      <c r="B8229" s="29"/>
      <c r="D8229" s="29"/>
      <c r="E8229" s="20"/>
      <c r="F8229" s="20"/>
      <c r="AC8229" s="20"/>
      <c r="AG8229" s="29"/>
    </row>
    <row r="8230" spans="2:33">
      <c r="B8230" s="29"/>
      <c r="D8230" s="29"/>
      <c r="E8230" s="20"/>
      <c r="F8230" s="20"/>
      <c r="AC8230" s="20"/>
      <c r="AG8230" s="29"/>
    </row>
    <row r="8231" spans="2:33">
      <c r="B8231" s="29"/>
      <c r="D8231" s="29"/>
      <c r="E8231" s="20"/>
      <c r="F8231" s="20"/>
      <c r="AC8231" s="20"/>
      <c r="AG8231" s="29"/>
    </row>
    <row r="8232" spans="2:33">
      <c r="B8232" s="29"/>
      <c r="D8232" s="29"/>
      <c r="E8232" s="20"/>
      <c r="F8232" s="20"/>
      <c r="AC8232" s="20"/>
      <c r="AG8232" s="29"/>
    </row>
    <row r="8233" spans="2:33">
      <c r="B8233" s="29"/>
      <c r="D8233" s="29"/>
      <c r="E8233" s="20"/>
      <c r="F8233" s="20"/>
      <c r="AC8233" s="20"/>
      <c r="AG8233" s="29"/>
    </row>
    <row r="8234" spans="2:33">
      <c r="B8234" s="29"/>
      <c r="D8234" s="29"/>
      <c r="E8234" s="20"/>
      <c r="F8234" s="20"/>
      <c r="AC8234" s="20"/>
      <c r="AG8234" s="29"/>
    </row>
    <row r="8235" spans="2:33">
      <c r="B8235" s="29"/>
      <c r="D8235" s="29"/>
      <c r="E8235" s="20"/>
      <c r="F8235" s="20"/>
      <c r="AC8235" s="20"/>
      <c r="AG8235" s="29"/>
    </row>
    <row r="8236" spans="2:33">
      <c r="B8236" s="29"/>
      <c r="D8236" s="29"/>
      <c r="E8236" s="20"/>
      <c r="F8236" s="20"/>
      <c r="AC8236" s="20"/>
      <c r="AG8236" s="29"/>
    </row>
    <row r="8237" spans="2:33">
      <c r="B8237" s="29"/>
      <c r="D8237" s="29"/>
      <c r="E8237" s="20"/>
      <c r="F8237" s="20"/>
      <c r="AC8237" s="20"/>
      <c r="AG8237" s="29"/>
    </row>
    <row r="8238" spans="2:33">
      <c r="B8238" s="29"/>
      <c r="D8238" s="29"/>
      <c r="E8238" s="20"/>
      <c r="F8238" s="20"/>
      <c r="AC8238" s="20"/>
      <c r="AG8238" s="29"/>
    </row>
    <row r="8239" spans="2:33">
      <c r="B8239" s="29"/>
      <c r="D8239" s="29"/>
      <c r="E8239" s="20"/>
      <c r="F8239" s="20"/>
      <c r="AC8239" s="20"/>
      <c r="AG8239" s="29"/>
    </row>
    <row r="8240" spans="2:33">
      <c r="B8240" s="29"/>
      <c r="D8240" s="29"/>
      <c r="E8240" s="20"/>
      <c r="F8240" s="20"/>
      <c r="AC8240" s="20"/>
      <c r="AG8240" s="29"/>
    </row>
    <row r="8241" spans="2:33">
      <c r="B8241" s="29"/>
      <c r="D8241" s="29"/>
      <c r="E8241" s="20"/>
      <c r="F8241" s="20"/>
      <c r="AC8241" s="20"/>
      <c r="AG8241" s="29"/>
    </row>
    <row r="8242" spans="2:33">
      <c r="B8242" s="29"/>
      <c r="D8242" s="29"/>
      <c r="E8242" s="20"/>
      <c r="F8242" s="20"/>
      <c r="AC8242" s="20"/>
      <c r="AG8242" s="29"/>
    </row>
    <row r="8243" spans="2:33">
      <c r="B8243" s="29"/>
      <c r="D8243" s="29"/>
      <c r="E8243" s="20"/>
      <c r="F8243" s="20"/>
      <c r="AC8243" s="20"/>
      <c r="AG8243" s="29"/>
    </row>
    <row r="8244" spans="2:33">
      <c r="B8244" s="29"/>
      <c r="D8244" s="29"/>
      <c r="E8244" s="20"/>
      <c r="F8244" s="20"/>
      <c r="AC8244" s="20"/>
      <c r="AG8244" s="29"/>
    </row>
    <row r="8245" spans="2:33">
      <c r="B8245" s="29"/>
      <c r="D8245" s="29"/>
      <c r="E8245" s="20"/>
      <c r="F8245" s="20"/>
      <c r="AC8245" s="20"/>
      <c r="AG8245" s="29"/>
    </row>
    <row r="8246" spans="2:33">
      <c r="B8246" s="29"/>
      <c r="D8246" s="29"/>
      <c r="E8246" s="20"/>
      <c r="F8246" s="20"/>
      <c r="AC8246" s="20"/>
      <c r="AG8246" s="29"/>
    </row>
    <row r="8247" spans="2:33">
      <c r="B8247" s="29"/>
      <c r="D8247" s="29"/>
      <c r="E8247" s="20"/>
      <c r="F8247" s="20"/>
      <c r="AC8247" s="20"/>
      <c r="AG8247" s="29"/>
    </row>
    <row r="8248" spans="2:33">
      <c r="B8248" s="29"/>
      <c r="D8248" s="29"/>
      <c r="E8248" s="20"/>
      <c r="F8248" s="20"/>
      <c r="AC8248" s="20"/>
      <c r="AG8248" s="29"/>
    </row>
    <row r="8249" spans="2:33">
      <c r="B8249" s="29"/>
      <c r="D8249" s="29"/>
      <c r="E8249" s="20"/>
      <c r="F8249" s="20"/>
      <c r="AC8249" s="20"/>
      <c r="AG8249" s="29"/>
    </row>
    <row r="8250" spans="2:33">
      <c r="B8250" s="29"/>
      <c r="D8250" s="29"/>
      <c r="E8250" s="20"/>
      <c r="F8250" s="20"/>
      <c r="AC8250" s="20"/>
      <c r="AG8250" s="29"/>
    </row>
    <row r="8251" spans="2:33">
      <c r="B8251" s="29"/>
      <c r="D8251" s="29"/>
      <c r="E8251" s="20"/>
      <c r="F8251" s="20"/>
      <c r="AC8251" s="20"/>
      <c r="AG8251" s="29"/>
    </row>
    <row r="8252" spans="2:33">
      <c r="B8252" s="29"/>
      <c r="D8252" s="29"/>
      <c r="E8252" s="20"/>
      <c r="F8252" s="20"/>
      <c r="AC8252" s="20"/>
      <c r="AG8252" s="29"/>
    </row>
    <row r="8253" spans="2:33">
      <c r="B8253" s="29"/>
      <c r="D8253" s="29"/>
      <c r="E8253" s="20"/>
      <c r="F8253" s="20"/>
      <c r="AC8253" s="20"/>
      <c r="AG8253" s="29"/>
    </row>
    <row r="8254" spans="2:33">
      <c r="B8254" s="29"/>
      <c r="D8254" s="29"/>
      <c r="E8254" s="20"/>
      <c r="F8254" s="20"/>
      <c r="AC8254" s="20"/>
      <c r="AG8254" s="29"/>
    </row>
    <row r="8255" spans="2:33">
      <c r="B8255" s="29"/>
      <c r="D8255" s="29"/>
      <c r="E8255" s="20"/>
      <c r="F8255" s="20"/>
      <c r="AC8255" s="20"/>
      <c r="AG8255" s="29"/>
    </row>
    <row r="8256" spans="2:33">
      <c r="B8256" s="29"/>
      <c r="D8256" s="29"/>
      <c r="E8256" s="20"/>
      <c r="F8256" s="20"/>
      <c r="AC8256" s="20"/>
      <c r="AG8256" s="29"/>
    </row>
    <row r="8257" spans="2:33">
      <c r="B8257" s="29"/>
      <c r="D8257" s="29"/>
      <c r="E8257" s="20"/>
      <c r="F8257" s="20"/>
      <c r="AC8257" s="20"/>
      <c r="AG8257" s="29"/>
    </row>
    <row r="8258" spans="2:33">
      <c r="B8258" s="29"/>
      <c r="D8258" s="29"/>
      <c r="E8258" s="20"/>
      <c r="F8258" s="20"/>
      <c r="AC8258" s="20"/>
      <c r="AG8258" s="29"/>
    </row>
    <row r="8259" spans="2:33">
      <c r="B8259" s="29"/>
      <c r="D8259" s="29"/>
      <c r="E8259" s="20"/>
      <c r="F8259" s="20"/>
      <c r="AC8259" s="20"/>
      <c r="AG8259" s="29"/>
    </row>
    <row r="8260" spans="2:33">
      <c r="B8260" s="29"/>
      <c r="D8260" s="29"/>
      <c r="E8260" s="20"/>
      <c r="F8260" s="20"/>
      <c r="AC8260" s="20"/>
      <c r="AG8260" s="29"/>
    </row>
    <row r="8261" spans="2:33">
      <c r="B8261" s="29"/>
      <c r="D8261" s="29"/>
      <c r="E8261" s="20"/>
      <c r="F8261" s="20"/>
      <c r="AC8261" s="20"/>
      <c r="AG8261" s="29"/>
    </row>
    <row r="8262" spans="2:33">
      <c r="B8262" s="29"/>
      <c r="D8262" s="29"/>
      <c r="E8262" s="20"/>
      <c r="F8262" s="20"/>
      <c r="AC8262" s="20"/>
      <c r="AG8262" s="29"/>
    </row>
    <row r="8263" spans="2:33">
      <c r="B8263" s="29"/>
      <c r="D8263" s="29"/>
      <c r="E8263" s="20"/>
      <c r="F8263" s="20"/>
      <c r="AC8263" s="20"/>
      <c r="AG8263" s="29"/>
    </row>
    <row r="8264" spans="2:33">
      <c r="B8264" s="29"/>
      <c r="D8264" s="29"/>
      <c r="E8264" s="20"/>
      <c r="F8264" s="20"/>
      <c r="AC8264" s="20"/>
      <c r="AG8264" s="29"/>
    </row>
    <row r="8265" spans="2:33">
      <c r="B8265" s="29"/>
      <c r="D8265" s="29"/>
      <c r="E8265" s="20"/>
      <c r="F8265" s="20"/>
      <c r="AC8265" s="20"/>
      <c r="AG8265" s="29"/>
    </row>
    <row r="8266" spans="2:33">
      <c r="B8266" s="29"/>
      <c r="D8266" s="29"/>
      <c r="E8266" s="20"/>
      <c r="F8266" s="20"/>
      <c r="AC8266" s="20"/>
      <c r="AG8266" s="29"/>
    </row>
    <row r="8267" spans="2:33">
      <c r="B8267" s="29"/>
      <c r="D8267" s="29"/>
      <c r="E8267" s="20"/>
      <c r="F8267" s="20"/>
      <c r="AC8267" s="20"/>
      <c r="AG8267" s="29"/>
    </row>
    <row r="8268" spans="2:33">
      <c r="B8268" s="29"/>
      <c r="D8268" s="29"/>
      <c r="E8268" s="20"/>
      <c r="F8268" s="20"/>
      <c r="AC8268" s="20"/>
      <c r="AG8268" s="29"/>
    </row>
    <row r="8269" spans="2:33">
      <c r="B8269" s="29"/>
      <c r="D8269" s="29"/>
      <c r="E8269" s="20"/>
      <c r="F8269" s="20"/>
      <c r="AC8269" s="20"/>
      <c r="AG8269" s="29"/>
    </row>
    <row r="8270" spans="2:33">
      <c r="B8270" s="29"/>
      <c r="D8270" s="29"/>
      <c r="E8270" s="20"/>
      <c r="F8270" s="20"/>
      <c r="AC8270" s="20"/>
      <c r="AG8270" s="29"/>
    </row>
    <row r="8271" spans="2:33">
      <c r="B8271" s="29"/>
      <c r="D8271" s="29"/>
      <c r="E8271" s="20"/>
      <c r="F8271" s="20"/>
      <c r="AC8271" s="20"/>
      <c r="AG8271" s="29"/>
    </row>
    <row r="8272" spans="2:33">
      <c r="B8272" s="29"/>
      <c r="D8272" s="29"/>
      <c r="E8272" s="20"/>
      <c r="F8272" s="20"/>
      <c r="AC8272" s="20"/>
      <c r="AG8272" s="29"/>
    </row>
    <row r="8273" spans="2:33">
      <c r="B8273" s="29"/>
      <c r="D8273" s="29"/>
      <c r="E8273" s="20"/>
      <c r="F8273" s="20"/>
      <c r="AC8273" s="20"/>
      <c r="AG8273" s="29"/>
    </row>
    <row r="8274" spans="2:33">
      <c r="B8274" s="29"/>
      <c r="D8274" s="29"/>
      <c r="E8274" s="20"/>
      <c r="F8274" s="20"/>
      <c r="AC8274" s="20"/>
      <c r="AG8274" s="29"/>
    </row>
    <row r="8275" spans="2:33">
      <c r="B8275" s="29"/>
      <c r="D8275" s="29"/>
      <c r="E8275" s="20"/>
      <c r="F8275" s="20"/>
      <c r="AC8275" s="20"/>
      <c r="AG8275" s="29"/>
    </row>
    <row r="8276" spans="2:33">
      <c r="B8276" s="29"/>
      <c r="D8276" s="29"/>
      <c r="E8276" s="20"/>
      <c r="F8276" s="20"/>
      <c r="AC8276" s="20"/>
      <c r="AG8276" s="29"/>
    </row>
    <row r="8277" spans="2:33">
      <c r="B8277" s="29"/>
      <c r="D8277" s="29"/>
      <c r="E8277" s="20"/>
      <c r="F8277" s="20"/>
      <c r="AC8277" s="20"/>
      <c r="AG8277" s="29"/>
    </row>
    <row r="8278" spans="2:33">
      <c r="B8278" s="29"/>
      <c r="D8278" s="29"/>
      <c r="E8278" s="20"/>
      <c r="F8278" s="20"/>
      <c r="AC8278" s="20"/>
      <c r="AG8278" s="29"/>
    </row>
    <row r="8279" spans="2:33">
      <c r="B8279" s="29"/>
      <c r="D8279" s="29"/>
      <c r="E8279" s="20"/>
      <c r="F8279" s="20"/>
      <c r="AC8279" s="20"/>
      <c r="AG8279" s="29"/>
    </row>
    <row r="8280" spans="2:33">
      <c r="B8280" s="29"/>
      <c r="D8280" s="29"/>
      <c r="E8280" s="20"/>
      <c r="F8280" s="20"/>
      <c r="AC8280" s="20"/>
      <c r="AG8280" s="29"/>
    </row>
    <row r="8281" spans="2:33">
      <c r="B8281" s="29"/>
      <c r="D8281" s="29"/>
      <c r="E8281" s="20"/>
      <c r="F8281" s="20"/>
      <c r="AC8281" s="20"/>
      <c r="AG8281" s="29"/>
    </row>
    <row r="8282" spans="2:33">
      <c r="B8282" s="29"/>
      <c r="D8282" s="29"/>
      <c r="E8282" s="20"/>
      <c r="F8282" s="20"/>
      <c r="AC8282" s="20"/>
      <c r="AG8282" s="29"/>
    </row>
    <row r="8283" spans="2:33">
      <c r="B8283" s="29"/>
      <c r="D8283" s="29"/>
      <c r="E8283" s="20"/>
      <c r="F8283" s="20"/>
      <c r="AC8283" s="20"/>
      <c r="AG8283" s="29"/>
    </row>
    <row r="8284" spans="2:33">
      <c r="B8284" s="29"/>
      <c r="D8284" s="29"/>
      <c r="E8284" s="20"/>
      <c r="F8284" s="20"/>
      <c r="AC8284" s="20"/>
      <c r="AG8284" s="29"/>
    </row>
    <row r="8285" spans="2:33">
      <c r="B8285" s="29"/>
      <c r="D8285" s="29"/>
      <c r="E8285" s="20"/>
      <c r="F8285" s="20"/>
      <c r="AC8285" s="20"/>
      <c r="AG8285" s="29"/>
    </row>
    <row r="8286" spans="2:33">
      <c r="B8286" s="29"/>
      <c r="D8286" s="29"/>
      <c r="E8286" s="20"/>
      <c r="F8286" s="20"/>
      <c r="AC8286" s="20"/>
      <c r="AG8286" s="29"/>
    </row>
    <row r="8287" spans="2:33">
      <c r="B8287" s="29"/>
      <c r="D8287" s="29"/>
      <c r="E8287" s="20"/>
      <c r="F8287" s="20"/>
      <c r="AC8287" s="20"/>
      <c r="AG8287" s="29"/>
    </row>
    <row r="8288" spans="2:33">
      <c r="B8288" s="29"/>
      <c r="D8288" s="29"/>
      <c r="E8288" s="20"/>
      <c r="F8288" s="20"/>
      <c r="AC8288" s="20"/>
      <c r="AG8288" s="29"/>
    </row>
    <row r="8289" spans="2:33">
      <c r="B8289" s="29"/>
      <c r="D8289" s="29"/>
      <c r="E8289" s="20"/>
      <c r="F8289" s="20"/>
      <c r="AC8289" s="20"/>
      <c r="AG8289" s="29"/>
    </row>
    <row r="8290" spans="2:33">
      <c r="B8290" s="29"/>
      <c r="D8290" s="29"/>
      <c r="E8290" s="20"/>
      <c r="F8290" s="20"/>
      <c r="AC8290" s="20"/>
      <c r="AG8290" s="29"/>
    </row>
    <row r="8291" spans="2:33">
      <c r="B8291" s="29"/>
      <c r="D8291" s="29"/>
      <c r="E8291" s="20"/>
      <c r="F8291" s="20"/>
      <c r="AC8291" s="20"/>
      <c r="AG8291" s="29"/>
    </row>
    <row r="8292" spans="2:33">
      <c r="B8292" s="29"/>
      <c r="D8292" s="29"/>
      <c r="E8292" s="20"/>
      <c r="F8292" s="20"/>
      <c r="AC8292" s="20"/>
      <c r="AG8292" s="29"/>
    </row>
    <row r="8293" spans="2:33">
      <c r="B8293" s="29"/>
      <c r="D8293" s="29"/>
      <c r="E8293" s="20"/>
      <c r="F8293" s="20"/>
      <c r="AC8293" s="20"/>
      <c r="AG8293" s="29"/>
    </row>
    <row r="8294" spans="2:33">
      <c r="B8294" s="29"/>
      <c r="D8294" s="29"/>
      <c r="E8294" s="20"/>
      <c r="F8294" s="20"/>
      <c r="AC8294" s="20"/>
      <c r="AG8294" s="29"/>
    </row>
    <row r="8295" spans="2:33">
      <c r="B8295" s="29"/>
      <c r="D8295" s="29"/>
      <c r="E8295" s="20"/>
      <c r="F8295" s="20"/>
      <c r="AC8295" s="20"/>
      <c r="AG8295" s="29"/>
    </row>
    <row r="8296" spans="2:33">
      <c r="B8296" s="29"/>
      <c r="D8296" s="29"/>
      <c r="E8296" s="20"/>
      <c r="F8296" s="20"/>
      <c r="AC8296" s="20"/>
      <c r="AG8296" s="29"/>
    </row>
    <row r="8297" spans="2:33">
      <c r="B8297" s="29"/>
      <c r="D8297" s="29"/>
      <c r="E8297" s="20"/>
      <c r="F8297" s="20"/>
      <c r="AC8297" s="20"/>
      <c r="AG8297" s="29"/>
    </row>
    <row r="8298" spans="2:33">
      <c r="B8298" s="29"/>
      <c r="D8298" s="29"/>
      <c r="E8298" s="20"/>
      <c r="F8298" s="20"/>
      <c r="AC8298" s="20"/>
      <c r="AG8298" s="29"/>
    </row>
    <row r="8299" spans="2:33">
      <c r="B8299" s="29"/>
      <c r="D8299" s="29"/>
      <c r="E8299" s="20"/>
      <c r="F8299" s="20"/>
      <c r="AC8299" s="20"/>
      <c r="AG8299" s="29"/>
    </row>
    <row r="8300" spans="2:33">
      <c r="B8300" s="29"/>
      <c r="D8300" s="29"/>
      <c r="E8300" s="20"/>
      <c r="F8300" s="20"/>
      <c r="AC8300" s="20"/>
      <c r="AG8300" s="29"/>
    </row>
    <row r="8301" spans="2:33">
      <c r="B8301" s="29"/>
      <c r="D8301" s="29"/>
      <c r="E8301" s="20"/>
      <c r="F8301" s="20"/>
      <c r="AC8301" s="20"/>
      <c r="AG8301" s="29"/>
    </row>
    <row r="8302" spans="2:33">
      <c r="B8302" s="29"/>
      <c r="D8302" s="29"/>
      <c r="E8302" s="20"/>
      <c r="F8302" s="20"/>
      <c r="AC8302" s="20"/>
      <c r="AG8302" s="29"/>
    </row>
    <row r="8303" spans="2:33">
      <c r="B8303" s="29"/>
      <c r="D8303" s="29"/>
      <c r="E8303" s="20"/>
      <c r="F8303" s="20"/>
      <c r="AC8303" s="20"/>
      <c r="AG8303" s="29"/>
    </row>
    <row r="8304" spans="2:33">
      <c r="B8304" s="29"/>
      <c r="D8304" s="29"/>
      <c r="E8304" s="20"/>
      <c r="F8304" s="20"/>
      <c r="AC8304" s="20"/>
      <c r="AG8304" s="29"/>
    </row>
    <row r="8305" spans="2:33">
      <c r="B8305" s="29"/>
      <c r="D8305" s="29"/>
      <c r="E8305" s="20"/>
      <c r="F8305" s="20"/>
      <c r="AC8305" s="20"/>
      <c r="AG8305" s="29"/>
    </row>
    <row r="8306" spans="2:33">
      <c r="B8306" s="29"/>
      <c r="D8306" s="29"/>
      <c r="E8306" s="20"/>
      <c r="F8306" s="20"/>
      <c r="AC8306" s="20"/>
      <c r="AG8306" s="29"/>
    </row>
    <row r="8307" spans="2:33">
      <c r="B8307" s="29"/>
      <c r="D8307" s="29"/>
      <c r="E8307" s="20"/>
      <c r="F8307" s="20"/>
      <c r="AC8307" s="20"/>
      <c r="AG8307" s="29"/>
    </row>
    <row r="8308" spans="2:33">
      <c r="B8308" s="29"/>
      <c r="D8308" s="29"/>
      <c r="E8308" s="20"/>
      <c r="F8308" s="20"/>
      <c r="AC8308" s="20"/>
      <c r="AG8308" s="29"/>
    </row>
    <row r="8309" spans="2:33">
      <c r="B8309" s="29"/>
      <c r="D8309" s="29"/>
      <c r="E8309" s="20"/>
      <c r="F8309" s="20"/>
      <c r="AC8309" s="20"/>
      <c r="AG8309" s="29"/>
    </row>
    <row r="8310" spans="2:33">
      <c r="B8310" s="29"/>
      <c r="D8310" s="29"/>
      <c r="E8310" s="20"/>
      <c r="F8310" s="20"/>
      <c r="AC8310" s="20"/>
      <c r="AG8310" s="29"/>
    </row>
    <row r="8311" spans="2:33">
      <c r="B8311" s="29"/>
      <c r="D8311" s="29"/>
      <c r="E8311" s="20"/>
      <c r="F8311" s="20"/>
      <c r="AC8311" s="20"/>
      <c r="AG8311" s="29"/>
    </row>
    <row r="8312" spans="2:33">
      <c r="B8312" s="29"/>
      <c r="D8312" s="29"/>
      <c r="E8312" s="20"/>
      <c r="F8312" s="20"/>
      <c r="AC8312" s="20"/>
      <c r="AG8312" s="29"/>
    </row>
    <row r="8313" spans="2:33">
      <c r="B8313" s="29"/>
      <c r="D8313" s="29"/>
      <c r="E8313" s="20"/>
      <c r="F8313" s="20"/>
      <c r="AC8313" s="20"/>
      <c r="AG8313" s="29"/>
    </row>
    <row r="8314" spans="2:33">
      <c r="B8314" s="29"/>
      <c r="D8314" s="29"/>
      <c r="E8314" s="20"/>
      <c r="F8314" s="20"/>
      <c r="AC8314" s="20"/>
      <c r="AG8314" s="29"/>
    </row>
    <row r="8315" spans="2:33">
      <c r="B8315" s="29"/>
      <c r="D8315" s="29"/>
      <c r="E8315" s="20"/>
      <c r="F8315" s="20"/>
      <c r="AC8315" s="20"/>
      <c r="AG8315" s="29"/>
    </row>
    <row r="8316" spans="2:33">
      <c r="B8316" s="29"/>
      <c r="D8316" s="29"/>
      <c r="E8316" s="20"/>
      <c r="F8316" s="20"/>
      <c r="AC8316" s="20"/>
      <c r="AG8316" s="29"/>
    </row>
    <row r="8317" spans="2:33">
      <c r="B8317" s="29"/>
      <c r="D8317" s="29"/>
      <c r="E8317" s="20"/>
      <c r="F8317" s="20"/>
      <c r="AC8317" s="20"/>
      <c r="AG8317" s="29"/>
    </row>
    <row r="8318" spans="2:33">
      <c r="B8318" s="29"/>
      <c r="D8318" s="29"/>
      <c r="E8318" s="20"/>
      <c r="F8318" s="20"/>
      <c r="AC8318" s="20"/>
      <c r="AG8318" s="29"/>
    </row>
    <row r="8319" spans="2:33">
      <c r="B8319" s="29"/>
      <c r="D8319" s="29"/>
      <c r="E8319" s="20"/>
      <c r="F8319" s="20"/>
      <c r="AC8319" s="20"/>
      <c r="AG8319" s="29"/>
    </row>
    <row r="8320" spans="2:33">
      <c r="B8320" s="29"/>
      <c r="D8320" s="29"/>
      <c r="E8320" s="20"/>
      <c r="F8320" s="20"/>
      <c r="AC8320" s="20"/>
      <c r="AG8320" s="29"/>
    </row>
    <row r="8321" spans="2:33">
      <c r="B8321" s="29"/>
      <c r="D8321" s="29"/>
      <c r="E8321" s="20"/>
      <c r="F8321" s="20"/>
      <c r="AC8321" s="20"/>
      <c r="AG8321" s="29"/>
    </row>
    <row r="8322" spans="2:33">
      <c r="B8322" s="29"/>
      <c r="D8322" s="29"/>
      <c r="E8322" s="20"/>
      <c r="F8322" s="20"/>
      <c r="AC8322" s="20"/>
      <c r="AG8322" s="29"/>
    </row>
    <row r="8323" spans="2:33">
      <c r="B8323" s="29"/>
      <c r="D8323" s="29"/>
      <c r="E8323" s="20"/>
      <c r="F8323" s="20"/>
      <c r="AC8323" s="20"/>
      <c r="AG8323" s="29"/>
    </row>
    <row r="8324" spans="2:33">
      <c r="B8324" s="29"/>
      <c r="D8324" s="29"/>
      <c r="E8324" s="20"/>
      <c r="F8324" s="20"/>
      <c r="AC8324" s="20"/>
      <c r="AG8324" s="29"/>
    </row>
    <row r="8325" spans="2:33">
      <c r="B8325" s="29"/>
      <c r="D8325" s="29"/>
      <c r="E8325" s="20"/>
      <c r="F8325" s="20"/>
      <c r="AC8325" s="20"/>
      <c r="AG8325" s="29"/>
    </row>
    <row r="8326" spans="2:33">
      <c r="B8326" s="29"/>
      <c r="D8326" s="29"/>
      <c r="E8326" s="20"/>
      <c r="F8326" s="20"/>
      <c r="AC8326" s="20"/>
      <c r="AG8326" s="29"/>
    </row>
    <row r="8327" spans="2:33">
      <c r="B8327" s="29"/>
      <c r="D8327" s="29"/>
      <c r="E8327" s="20"/>
      <c r="F8327" s="20"/>
      <c r="AC8327" s="20"/>
      <c r="AG8327" s="29"/>
    </row>
    <row r="8328" spans="2:33">
      <c r="B8328" s="29"/>
      <c r="D8328" s="29"/>
      <c r="E8328" s="20"/>
      <c r="F8328" s="20"/>
      <c r="AC8328" s="20"/>
      <c r="AG8328" s="29"/>
    </row>
    <row r="8329" spans="2:33">
      <c r="B8329" s="29"/>
      <c r="D8329" s="29"/>
      <c r="E8329" s="20"/>
      <c r="F8329" s="20"/>
      <c r="AC8329" s="20"/>
      <c r="AG8329" s="29"/>
    </row>
    <row r="8330" spans="2:33">
      <c r="B8330" s="29"/>
      <c r="D8330" s="29"/>
      <c r="E8330" s="20"/>
      <c r="F8330" s="20"/>
      <c r="AC8330" s="20"/>
      <c r="AG8330" s="29"/>
    </row>
    <row r="8331" spans="2:33">
      <c r="B8331" s="29"/>
      <c r="D8331" s="29"/>
      <c r="E8331" s="20"/>
      <c r="F8331" s="20"/>
      <c r="AC8331" s="20"/>
      <c r="AG8331" s="29"/>
    </row>
    <row r="8332" spans="2:33">
      <c r="B8332" s="29"/>
      <c r="D8332" s="29"/>
      <c r="E8332" s="20"/>
      <c r="F8332" s="20"/>
      <c r="AC8332" s="20"/>
      <c r="AG8332" s="29"/>
    </row>
    <row r="8333" spans="2:33">
      <c r="B8333" s="29"/>
      <c r="D8333" s="29"/>
      <c r="E8333" s="20"/>
      <c r="F8333" s="20"/>
      <c r="AC8333" s="20"/>
      <c r="AG8333" s="29"/>
    </row>
    <row r="8334" spans="2:33">
      <c r="B8334" s="29"/>
      <c r="D8334" s="29"/>
      <c r="E8334" s="20"/>
      <c r="F8334" s="20"/>
      <c r="AC8334" s="20"/>
      <c r="AG8334" s="29"/>
    </row>
    <row r="8335" spans="2:33">
      <c r="B8335" s="29"/>
      <c r="D8335" s="29"/>
      <c r="E8335" s="20"/>
      <c r="F8335" s="20"/>
      <c r="AC8335" s="20"/>
      <c r="AG8335" s="29"/>
    </row>
    <row r="8336" spans="2:33">
      <c r="B8336" s="29"/>
      <c r="D8336" s="29"/>
      <c r="E8336" s="20"/>
      <c r="F8336" s="20"/>
      <c r="AC8336" s="20"/>
      <c r="AG8336" s="29"/>
    </row>
    <row r="8337" spans="2:33">
      <c r="B8337" s="29"/>
      <c r="D8337" s="29"/>
      <c r="E8337" s="20"/>
      <c r="F8337" s="20"/>
      <c r="AC8337" s="20"/>
      <c r="AG8337" s="29"/>
    </row>
    <row r="8338" spans="2:33">
      <c r="B8338" s="29"/>
      <c r="D8338" s="29"/>
      <c r="E8338" s="20"/>
      <c r="F8338" s="20"/>
      <c r="AC8338" s="20"/>
      <c r="AG8338" s="29"/>
    </row>
    <row r="8339" spans="2:33">
      <c r="B8339" s="29"/>
      <c r="D8339" s="29"/>
      <c r="E8339" s="20"/>
      <c r="F8339" s="20"/>
      <c r="AC8339" s="20"/>
      <c r="AG8339" s="29"/>
    </row>
    <row r="8340" spans="2:33">
      <c r="B8340" s="29"/>
      <c r="D8340" s="29"/>
      <c r="E8340" s="20"/>
      <c r="F8340" s="20"/>
      <c r="AC8340" s="20"/>
      <c r="AG8340" s="29"/>
    </row>
    <row r="8341" spans="2:33">
      <c r="B8341" s="29"/>
      <c r="D8341" s="29"/>
      <c r="E8341" s="20"/>
      <c r="F8341" s="20"/>
      <c r="AC8341" s="20"/>
      <c r="AG8341" s="29"/>
    </row>
    <row r="8342" spans="2:33">
      <c r="B8342" s="29"/>
      <c r="D8342" s="29"/>
      <c r="E8342" s="20"/>
      <c r="F8342" s="20"/>
      <c r="AC8342" s="20"/>
      <c r="AG8342" s="29"/>
    </row>
    <row r="8343" spans="2:33">
      <c r="B8343" s="29"/>
      <c r="D8343" s="29"/>
      <c r="E8343" s="20"/>
      <c r="F8343" s="20"/>
      <c r="AC8343" s="20"/>
      <c r="AG8343" s="29"/>
    </row>
    <row r="8344" spans="2:33">
      <c r="B8344" s="29"/>
      <c r="D8344" s="29"/>
      <c r="E8344" s="20"/>
      <c r="F8344" s="20"/>
      <c r="AC8344" s="20"/>
      <c r="AG8344" s="29"/>
    </row>
    <row r="8345" spans="2:33">
      <c r="B8345" s="29"/>
      <c r="D8345" s="29"/>
      <c r="E8345" s="20"/>
      <c r="F8345" s="20"/>
      <c r="AC8345" s="20"/>
      <c r="AG8345" s="29"/>
    </row>
    <row r="8346" spans="2:33">
      <c r="B8346" s="29"/>
      <c r="D8346" s="29"/>
      <c r="E8346" s="20"/>
      <c r="F8346" s="20"/>
      <c r="AC8346" s="20"/>
      <c r="AG8346" s="29"/>
    </row>
    <row r="8347" spans="2:33">
      <c r="B8347" s="29"/>
      <c r="D8347" s="29"/>
      <c r="E8347" s="20"/>
      <c r="F8347" s="20"/>
      <c r="AC8347" s="20"/>
      <c r="AG8347" s="29"/>
    </row>
    <row r="8348" spans="2:33">
      <c r="B8348" s="29"/>
      <c r="D8348" s="29"/>
      <c r="E8348" s="20"/>
      <c r="F8348" s="20"/>
      <c r="AC8348" s="20"/>
      <c r="AG8348" s="29"/>
    </row>
    <row r="8349" spans="2:33">
      <c r="B8349" s="29"/>
      <c r="D8349" s="29"/>
      <c r="E8349" s="20"/>
      <c r="F8349" s="20"/>
      <c r="AC8349" s="20"/>
      <c r="AG8349" s="29"/>
    </row>
    <row r="8350" spans="2:33">
      <c r="B8350" s="29"/>
      <c r="D8350" s="29"/>
      <c r="E8350" s="20"/>
      <c r="F8350" s="20"/>
      <c r="AC8350" s="20"/>
      <c r="AG8350" s="29"/>
    </row>
    <row r="8351" spans="2:33">
      <c r="B8351" s="29"/>
      <c r="D8351" s="29"/>
      <c r="E8351" s="20"/>
      <c r="F8351" s="20"/>
      <c r="AC8351" s="20"/>
      <c r="AG8351" s="29"/>
    </row>
    <row r="8352" spans="2:33">
      <c r="B8352" s="29"/>
      <c r="D8352" s="29"/>
      <c r="E8352" s="20"/>
      <c r="F8352" s="20"/>
      <c r="AC8352" s="20"/>
      <c r="AG8352" s="29"/>
    </row>
    <row r="8353" spans="2:33">
      <c r="B8353" s="29"/>
      <c r="D8353" s="29"/>
      <c r="E8353" s="20"/>
      <c r="F8353" s="20"/>
      <c r="AC8353" s="20"/>
      <c r="AG8353" s="29"/>
    </row>
    <row r="8354" spans="2:33">
      <c r="B8354" s="29"/>
      <c r="D8354" s="29"/>
      <c r="E8354" s="20"/>
      <c r="F8354" s="20"/>
      <c r="AC8354" s="20"/>
      <c r="AG8354" s="29"/>
    </row>
    <row r="8355" spans="2:33">
      <c r="B8355" s="29"/>
      <c r="D8355" s="29"/>
      <c r="E8355" s="20"/>
      <c r="F8355" s="20"/>
      <c r="AC8355" s="20"/>
      <c r="AG8355" s="29"/>
    </row>
    <row r="8356" spans="2:33">
      <c r="B8356" s="29"/>
      <c r="D8356" s="29"/>
      <c r="E8356" s="20"/>
      <c r="F8356" s="20"/>
      <c r="AC8356" s="20"/>
      <c r="AG8356" s="29"/>
    </row>
    <row r="8357" spans="2:33">
      <c r="B8357" s="29"/>
      <c r="D8357" s="29"/>
      <c r="E8357" s="20"/>
      <c r="F8357" s="20"/>
      <c r="AC8357" s="20"/>
      <c r="AG8357" s="29"/>
    </row>
    <row r="8358" spans="2:33">
      <c r="B8358" s="29"/>
      <c r="D8358" s="29"/>
      <c r="E8358" s="20"/>
      <c r="F8358" s="20"/>
      <c r="AC8358" s="20"/>
      <c r="AG8358" s="29"/>
    </row>
    <row r="8359" spans="2:33">
      <c r="B8359" s="29"/>
      <c r="D8359" s="29"/>
      <c r="E8359" s="20"/>
      <c r="F8359" s="20"/>
      <c r="AC8359" s="20"/>
      <c r="AG8359" s="29"/>
    </row>
    <row r="8360" spans="2:33">
      <c r="B8360" s="29"/>
      <c r="D8360" s="29"/>
      <c r="E8360" s="20"/>
      <c r="F8360" s="20"/>
      <c r="AC8360" s="20"/>
      <c r="AG8360" s="29"/>
    </row>
    <row r="8361" spans="2:33">
      <c r="B8361" s="29"/>
      <c r="D8361" s="29"/>
      <c r="E8361" s="20"/>
      <c r="F8361" s="20"/>
      <c r="AC8361" s="20"/>
      <c r="AG8361" s="29"/>
    </row>
    <row r="8362" spans="2:33">
      <c r="B8362" s="29"/>
      <c r="D8362" s="29"/>
      <c r="E8362" s="20"/>
      <c r="F8362" s="20"/>
      <c r="AC8362" s="20"/>
      <c r="AG8362" s="29"/>
    </row>
    <row r="8363" spans="2:33">
      <c r="B8363" s="29"/>
      <c r="D8363" s="29"/>
      <c r="E8363" s="20"/>
      <c r="F8363" s="20"/>
      <c r="AC8363" s="20"/>
      <c r="AG8363" s="29"/>
    </row>
    <row r="8364" spans="2:33">
      <c r="B8364" s="29"/>
      <c r="D8364" s="29"/>
      <c r="E8364" s="20"/>
      <c r="F8364" s="20"/>
      <c r="AC8364" s="20"/>
      <c r="AG8364" s="29"/>
    </row>
    <row r="8365" spans="2:33">
      <c r="B8365" s="29"/>
      <c r="D8365" s="29"/>
      <c r="E8365" s="20"/>
      <c r="F8365" s="20"/>
      <c r="AC8365" s="20"/>
      <c r="AG8365" s="29"/>
    </row>
    <row r="8366" spans="2:33">
      <c r="B8366" s="29"/>
      <c r="D8366" s="29"/>
      <c r="E8366" s="20"/>
      <c r="F8366" s="20"/>
      <c r="AC8366" s="20"/>
      <c r="AG8366" s="29"/>
    </row>
    <row r="8367" spans="2:33">
      <c r="B8367" s="29"/>
      <c r="D8367" s="29"/>
      <c r="E8367" s="20"/>
      <c r="F8367" s="20"/>
      <c r="AC8367" s="20"/>
      <c r="AG8367" s="29"/>
    </row>
    <row r="8368" spans="2:33">
      <c r="B8368" s="29"/>
      <c r="D8368" s="29"/>
      <c r="E8368" s="20"/>
      <c r="F8368" s="20"/>
      <c r="AC8368" s="20"/>
      <c r="AG8368" s="29"/>
    </row>
    <row r="8369" spans="2:33">
      <c r="B8369" s="29"/>
      <c r="D8369" s="29"/>
      <c r="E8369" s="20"/>
      <c r="F8369" s="20"/>
      <c r="AC8369" s="20"/>
      <c r="AG8369" s="29"/>
    </row>
    <row r="8370" spans="2:33">
      <c r="B8370" s="29"/>
      <c r="D8370" s="29"/>
      <c r="E8370" s="20"/>
      <c r="F8370" s="20"/>
      <c r="AC8370" s="20"/>
      <c r="AG8370" s="29"/>
    </row>
    <row r="8371" spans="2:33">
      <c r="B8371" s="29"/>
      <c r="D8371" s="29"/>
      <c r="E8371" s="20"/>
      <c r="F8371" s="20"/>
      <c r="AC8371" s="20"/>
      <c r="AG8371" s="29"/>
    </row>
    <row r="8372" spans="2:33">
      <c r="B8372" s="29"/>
      <c r="D8372" s="29"/>
      <c r="E8372" s="20"/>
      <c r="F8372" s="20"/>
      <c r="AC8372" s="20"/>
      <c r="AG8372" s="29"/>
    </row>
    <row r="8373" spans="2:33">
      <c r="B8373" s="29"/>
      <c r="D8373" s="29"/>
      <c r="E8373" s="20"/>
      <c r="F8373" s="20"/>
      <c r="AC8373" s="20"/>
      <c r="AG8373" s="29"/>
    </row>
    <row r="8374" spans="2:33">
      <c r="B8374" s="29"/>
      <c r="D8374" s="29"/>
      <c r="E8374" s="20"/>
      <c r="F8374" s="20"/>
      <c r="AC8374" s="20"/>
      <c r="AG8374" s="29"/>
    </row>
    <row r="8375" spans="2:33">
      <c r="B8375" s="29"/>
      <c r="D8375" s="29"/>
      <c r="E8375" s="20"/>
      <c r="F8375" s="20"/>
      <c r="AC8375" s="20"/>
      <c r="AG8375" s="29"/>
    </row>
    <row r="8376" spans="2:33">
      <c r="B8376" s="29"/>
      <c r="D8376" s="29"/>
      <c r="E8376" s="20"/>
      <c r="F8376" s="20"/>
      <c r="AC8376" s="20"/>
      <c r="AG8376" s="29"/>
    </row>
    <row r="8377" spans="2:33">
      <c r="B8377" s="29"/>
      <c r="D8377" s="29"/>
      <c r="E8377" s="20"/>
      <c r="F8377" s="20"/>
      <c r="AC8377" s="20"/>
      <c r="AG8377" s="29"/>
    </row>
    <row r="8378" spans="2:33">
      <c r="B8378" s="29"/>
      <c r="D8378" s="29"/>
      <c r="E8378" s="20"/>
      <c r="F8378" s="20"/>
      <c r="AC8378" s="20"/>
      <c r="AG8378" s="29"/>
    </row>
    <row r="8379" spans="2:33">
      <c r="B8379" s="29"/>
      <c r="D8379" s="29"/>
      <c r="E8379" s="20"/>
      <c r="F8379" s="20"/>
      <c r="AC8379" s="20"/>
      <c r="AG8379" s="29"/>
    </row>
    <row r="8380" spans="2:33">
      <c r="B8380" s="29"/>
      <c r="D8380" s="29"/>
      <c r="E8380" s="20"/>
      <c r="F8380" s="20"/>
      <c r="AC8380" s="20"/>
      <c r="AG8380" s="29"/>
    </row>
    <row r="8381" spans="2:33">
      <c r="B8381" s="29"/>
      <c r="D8381" s="29"/>
      <c r="E8381" s="20"/>
      <c r="F8381" s="20"/>
      <c r="AC8381" s="20"/>
      <c r="AG8381" s="29"/>
    </row>
    <row r="8382" spans="2:33">
      <c r="B8382" s="29"/>
      <c r="D8382" s="29"/>
      <c r="E8382" s="20"/>
      <c r="F8382" s="20"/>
      <c r="AC8382" s="20"/>
      <c r="AG8382" s="29"/>
    </row>
    <row r="8383" spans="2:33">
      <c r="B8383" s="29"/>
      <c r="D8383" s="29"/>
      <c r="E8383" s="20"/>
      <c r="F8383" s="20"/>
      <c r="AC8383" s="20"/>
      <c r="AG8383" s="29"/>
    </row>
    <row r="8384" spans="2:33">
      <c r="B8384" s="29"/>
      <c r="D8384" s="29"/>
      <c r="E8384" s="20"/>
      <c r="F8384" s="20"/>
      <c r="AC8384" s="20"/>
      <c r="AG8384" s="29"/>
    </row>
    <row r="8385" spans="2:33">
      <c r="B8385" s="29"/>
      <c r="D8385" s="29"/>
      <c r="E8385" s="20"/>
      <c r="F8385" s="20"/>
      <c r="AC8385" s="20"/>
      <c r="AG8385" s="29"/>
    </row>
    <row r="8386" spans="2:33">
      <c r="B8386" s="29"/>
      <c r="D8386" s="29"/>
      <c r="E8386" s="20"/>
      <c r="F8386" s="20"/>
      <c r="AC8386" s="20"/>
      <c r="AG8386" s="29"/>
    </row>
    <row r="8387" spans="2:33">
      <c r="B8387" s="29"/>
      <c r="D8387" s="29"/>
      <c r="E8387" s="20"/>
      <c r="F8387" s="20"/>
      <c r="AC8387" s="20"/>
      <c r="AG8387" s="29"/>
    </row>
    <row r="8388" spans="2:33">
      <c r="B8388" s="29"/>
      <c r="D8388" s="29"/>
      <c r="E8388" s="20"/>
      <c r="F8388" s="20"/>
      <c r="AC8388" s="20"/>
      <c r="AG8388" s="29"/>
    </row>
    <row r="8389" spans="2:33">
      <c r="B8389" s="29"/>
      <c r="D8389" s="29"/>
      <c r="E8389" s="20"/>
      <c r="F8389" s="20"/>
      <c r="AC8389" s="20"/>
      <c r="AG8389" s="29"/>
    </row>
    <row r="8390" spans="2:33">
      <c r="B8390" s="29"/>
      <c r="D8390" s="29"/>
      <c r="E8390" s="20"/>
      <c r="F8390" s="20"/>
      <c r="AC8390" s="20"/>
      <c r="AG8390" s="29"/>
    </row>
    <row r="8391" spans="2:33">
      <c r="B8391" s="29"/>
      <c r="D8391" s="29"/>
      <c r="E8391" s="20"/>
      <c r="F8391" s="20"/>
      <c r="AC8391" s="20"/>
      <c r="AG8391" s="29"/>
    </row>
    <row r="8392" spans="2:33">
      <c r="B8392" s="29"/>
      <c r="D8392" s="29"/>
      <c r="E8392" s="20"/>
      <c r="F8392" s="20"/>
      <c r="AC8392" s="20"/>
      <c r="AG8392" s="29"/>
    </row>
    <row r="8393" spans="2:33">
      <c r="B8393" s="29"/>
      <c r="D8393" s="29"/>
      <c r="E8393" s="20"/>
      <c r="F8393" s="20"/>
      <c r="AC8393" s="20"/>
      <c r="AG8393" s="29"/>
    </row>
    <row r="8394" spans="2:33">
      <c r="B8394" s="29"/>
      <c r="D8394" s="29"/>
      <c r="E8394" s="20"/>
      <c r="F8394" s="20"/>
      <c r="AC8394" s="20"/>
      <c r="AG8394" s="29"/>
    </row>
    <row r="8395" spans="2:33">
      <c r="B8395" s="29"/>
      <c r="D8395" s="29"/>
      <c r="E8395" s="20"/>
      <c r="F8395" s="20"/>
      <c r="AC8395" s="20"/>
      <c r="AG8395" s="29"/>
    </row>
    <row r="8396" spans="2:33">
      <c r="B8396" s="29"/>
      <c r="D8396" s="29"/>
      <c r="E8396" s="20"/>
      <c r="F8396" s="20"/>
      <c r="AC8396" s="20"/>
      <c r="AG8396" s="29"/>
    </row>
    <row r="8397" spans="2:33">
      <c r="B8397" s="29"/>
      <c r="D8397" s="29"/>
      <c r="E8397" s="20"/>
      <c r="F8397" s="20"/>
      <c r="AC8397" s="20"/>
      <c r="AG8397" s="29"/>
    </row>
    <row r="8398" spans="2:33">
      <c r="B8398" s="29"/>
      <c r="D8398" s="29"/>
      <c r="E8398" s="20"/>
      <c r="F8398" s="20"/>
      <c r="AC8398" s="20"/>
      <c r="AG8398" s="29"/>
    </row>
    <row r="8399" spans="2:33">
      <c r="B8399" s="29"/>
      <c r="D8399" s="29"/>
      <c r="E8399" s="20"/>
      <c r="F8399" s="20"/>
      <c r="AC8399" s="20"/>
      <c r="AG8399" s="29"/>
    </row>
    <row r="8400" spans="2:33">
      <c r="B8400" s="29"/>
      <c r="D8400" s="29"/>
      <c r="E8400" s="20"/>
      <c r="F8400" s="20"/>
      <c r="AC8400" s="20"/>
      <c r="AG8400" s="29"/>
    </row>
    <row r="8401" spans="2:33">
      <c r="B8401" s="29"/>
      <c r="D8401" s="29"/>
      <c r="E8401" s="20"/>
      <c r="F8401" s="20"/>
      <c r="AC8401" s="20"/>
      <c r="AG8401" s="29"/>
    </row>
    <row r="8402" spans="2:33">
      <c r="B8402" s="29"/>
      <c r="D8402" s="29"/>
      <c r="E8402" s="20"/>
      <c r="F8402" s="20"/>
      <c r="AC8402" s="20"/>
      <c r="AG8402" s="29"/>
    </row>
    <row r="8403" spans="2:33">
      <c r="B8403" s="29"/>
      <c r="D8403" s="29"/>
      <c r="E8403" s="20"/>
      <c r="F8403" s="20"/>
      <c r="AC8403" s="20"/>
      <c r="AG8403" s="29"/>
    </row>
    <row r="8404" spans="2:33">
      <c r="B8404" s="29"/>
      <c r="D8404" s="29"/>
      <c r="E8404" s="20"/>
      <c r="F8404" s="20"/>
      <c r="AC8404" s="20"/>
      <c r="AG8404" s="29"/>
    </row>
    <row r="8405" spans="2:33">
      <c r="B8405" s="29"/>
      <c r="D8405" s="29"/>
      <c r="E8405" s="20"/>
      <c r="F8405" s="20"/>
      <c r="AC8405" s="20"/>
      <c r="AG8405" s="29"/>
    </row>
    <row r="8406" spans="2:33">
      <c r="B8406" s="29"/>
      <c r="D8406" s="29"/>
      <c r="E8406" s="20"/>
      <c r="F8406" s="20"/>
      <c r="AC8406" s="20"/>
      <c r="AG8406" s="29"/>
    </row>
    <row r="8407" spans="2:33">
      <c r="B8407" s="29"/>
      <c r="D8407" s="29"/>
      <c r="E8407" s="20"/>
      <c r="F8407" s="20"/>
      <c r="AC8407" s="20"/>
      <c r="AG8407" s="29"/>
    </row>
    <row r="8408" spans="2:33">
      <c r="B8408" s="29"/>
      <c r="D8408" s="29"/>
      <c r="E8408" s="20"/>
      <c r="F8408" s="20"/>
      <c r="AC8408" s="20"/>
      <c r="AG8408" s="29"/>
    </row>
    <row r="8409" spans="2:33">
      <c r="B8409" s="29"/>
      <c r="D8409" s="29"/>
      <c r="E8409" s="20"/>
      <c r="F8409" s="20"/>
      <c r="AC8409" s="20"/>
      <c r="AG8409" s="29"/>
    </row>
    <row r="8410" spans="2:33">
      <c r="B8410" s="29"/>
      <c r="D8410" s="29"/>
      <c r="E8410" s="20"/>
      <c r="F8410" s="20"/>
      <c r="AC8410" s="20"/>
      <c r="AG8410" s="29"/>
    </row>
    <row r="8411" spans="2:33">
      <c r="B8411" s="29"/>
      <c r="D8411" s="29"/>
      <c r="E8411" s="20"/>
      <c r="F8411" s="20"/>
      <c r="AC8411" s="20"/>
      <c r="AG8411" s="29"/>
    </row>
    <row r="8412" spans="2:33">
      <c r="B8412" s="29"/>
      <c r="D8412" s="29"/>
      <c r="E8412" s="20"/>
      <c r="F8412" s="20"/>
      <c r="AC8412" s="20"/>
      <c r="AG8412" s="29"/>
    </row>
    <row r="8413" spans="2:33">
      <c r="B8413" s="29"/>
      <c r="D8413" s="29"/>
      <c r="E8413" s="20"/>
      <c r="F8413" s="20"/>
      <c r="AC8413" s="20"/>
      <c r="AG8413" s="29"/>
    </row>
    <row r="8414" spans="2:33">
      <c r="B8414" s="29"/>
      <c r="D8414" s="29"/>
      <c r="E8414" s="20"/>
      <c r="F8414" s="20"/>
      <c r="AC8414" s="20"/>
      <c r="AG8414" s="29"/>
    </row>
    <row r="8415" spans="2:33">
      <c r="B8415" s="29"/>
      <c r="D8415" s="29"/>
      <c r="E8415" s="20"/>
      <c r="F8415" s="20"/>
      <c r="AC8415" s="20"/>
      <c r="AG8415" s="29"/>
    </row>
    <row r="8416" spans="2:33">
      <c r="B8416" s="29"/>
      <c r="D8416" s="29"/>
      <c r="E8416" s="20"/>
      <c r="F8416" s="20"/>
      <c r="AC8416" s="20"/>
      <c r="AG8416" s="29"/>
    </row>
    <row r="8417" spans="2:33">
      <c r="B8417" s="29"/>
      <c r="D8417" s="29"/>
      <c r="E8417" s="20"/>
      <c r="F8417" s="20"/>
      <c r="AC8417" s="20"/>
      <c r="AG8417" s="29"/>
    </row>
    <row r="8418" spans="2:33">
      <c r="B8418" s="29"/>
      <c r="D8418" s="29"/>
      <c r="E8418" s="20"/>
      <c r="F8418" s="20"/>
      <c r="AC8418" s="20"/>
      <c r="AG8418" s="29"/>
    </row>
    <row r="8419" spans="2:33">
      <c r="B8419" s="29"/>
      <c r="D8419" s="29"/>
      <c r="E8419" s="20"/>
      <c r="F8419" s="20"/>
      <c r="AC8419" s="20"/>
      <c r="AG8419" s="29"/>
    </row>
    <row r="8420" spans="2:33">
      <c r="B8420" s="29"/>
      <c r="D8420" s="29"/>
      <c r="E8420" s="20"/>
      <c r="F8420" s="20"/>
      <c r="AC8420" s="20"/>
      <c r="AG8420" s="29"/>
    </row>
    <row r="8421" spans="2:33">
      <c r="B8421" s="29"/>
      <c r="D8421" s="29"/>
      <c r="E8421" s="20"/>
      <c r="F8421" s="20"/>
      <c r="AC8421" s="20"/>
      <c r="AG8421" s="29"/>
    </row>
    <row r="8422" spans="2:33">
      <c r="B8422" s="29"/>
      <c r="D8422" s="29"/>
      <c r="E8422" s="20"/>
      <c r="F8422" s="20"/>
      <c r="AC8422" s="20"/>
      <c r="AG8422" s="29"/>
    </row>
    <row r="8423" spans="2:33">
      <c r="B8423" s="29"/>
      <c r="D8423" s="29"/>
      <c r="E8423" s="20"/>
      <c r="F8423" s="20"/>
      <c r="AC8423" s="20"/>
      <c r="AG8423" s="29"/>
    </row>
    <row r="8424" spans="2:33">
      <c r="B8424" s="29"/>
      <c r="D8424" s="29"/>
      <c r="E8424" s="20"/>
      <c r="F8424" s="20"/>
      <c r="AC8424" s="20"/>
      <c r="AG8424" s="29"/>
    </row>
    <row r="8425" spans="2:33">
      <c r="B8425" s="29"/>
      <c r="D8425" s="29"/>
      <c r="E8425" s="20"/>
      <c r="F8425" s="20"/>
      <c r="AC8425" s="20"/>
      <c r="AG8425" s="29"/>
    </row>
    <row r="8426" spans="2:33">
      <c r="B8426" s="29"/>
      <c r="D8426" s="29"/>
      <c r="E8426" s="20"/>
      <c r="F8426" s="20"/>
      <c r="AC8426" s="20"/>
      <c r="AG8426" s="29"/>
    </row>
    <row r="8427" spans="2:33">
      <c r="B8427" s="29"/>
      <c r="D8427" s="29"/>
      <c r="E8427" s="20"/>
      <c r="F8427" s="20"/>
      <c r="AC8427" s="20"/>
      <c r="AG8427" s="29"/>
    </row>
    <row r="8428" spans="2:33">
      <c r="B8428" s="29"/>
      <c r="D8428" s="29"/>
      <c r="E8428" s="20"/>
      <c r="F8428" s="20"/>
      <c r="AC8428" s="20"/>
      <c r="AG8428" s="29"/>
    </row>
    <row r="8429" spans="2:33">
      <c r="B8429" s="29"/>
      <c r="D8429" s="29"/>
      <c r="E8429" s="20"/>
      <c r="F8429" s="20"/>
      <c r="AC8429" s="20"/>
      <c r="AG8429" s="29"/>
    </row>
    <row r="8430" spans="2:33">
      <c r="B8430" s="29"/>
      <c r="D8430" s="29"/>
      <c r="E8430" s="20"/>
      <c r="F8430" s="20"/>
      <c r="AC8430" s="20"/>
      <c r="AG8430" s="29"/>
    </row>
    <row r="8431" spans="2:33">
      <c r="B8431" s="29"/>
      <c r="D8431" s="29"/>
      <c r="E8431" s="20"/>
      <c r="F8431" s="20"/>
      <c r="AC8431" s="20"/>
      <c r="AG8431" s="29"/>
    </row>
    <row r="8432" spans="2:33">
      <c r="B8432" s="29"/>
      <c r="D8432" s="29"/>
      <c r="E8432" s="20"/>
      <c r="F8432" s="20"/>
      <c r="AC8432" s="20"/>
      <c r="AG8432" s="29"/>
    </row>
    <row r="8433" spans="2:33">
      <c r="B8433" s="29"/>
      <c r="D8433" s="29"/>
      <c r="E8433" s="20"/>
      <c r="F8433" s="20"/>
      <c r="AC8433" s="20"/>
      <c r="AG8433" s="29"/>
    </row>
    <row r="8434" spans="2:33">
      <c r="B8434" s="29"/>
      <c r="D8434" s="29"/>
      <c r="E8434" s="20"/>
      <c r="F8434" s="20"/>
      <c r="AC8434" s="20"/>
      <c r="AG8434" s="29"/>
    </row>
    <row r="8435" spans="2:33">
      <c r="B8435" s="29"/>
      <c r="D8435" s="29"/>
      <c r="E8435" s="20"/>
      <c r="F8435" s="20"/>
      <c r="AC8435" s="20"/>
      <c r="AG8435" s="29"/>
    </row>
    <row r="8436" spans="2:33">
      <c r="B8436" s="29"/>
      <c r="D8436" s="29"/>
      <c r="E8436" s="20"/>
      <c r="F8436" s="20"/>
      <c r="AC8436" s="20"/>
      <c r="AG8436" s="29"/>
    </row>
    <row r="8437" spans="2:33">
      <c r="B8437" s="29"/>
      <c r="D8437" s="29"/>
      <c r="E8437" s="20"/>
      <c r="F8437" s="20"/>
      <c r="AC8437" s="20"/>
      <c r="AG8437" s="29"/>
    </row>
    <row r="8438" spans="2:33">
      <c r="B8438" s="29"/>
      <c r="D8438" s="29"/>
      <c r="E8438" s="20"/>
      <c r="F8438" s="20"/>
      <c r="AC8438" s="20"/>
      <c r="AG8438" s="29"/>
    </row>
    <row r="8439" spans="2:33">
      <c r="B8439" s="29"/>
      <c r="D8439" s="29"/>
      <c r="E8439" s="20"/>
      <c r="F8439" s="20"/>
      <c r="AC8439" s="20"/>
      <c r="AG8439" s="29"/>
    </row>
    <row r="8440" spans="2:33">
      <c r="B8440" s="29"/>
      <c r="D8440" s="29"/>
      <c r="E8440" s="20"/>
      <c r="F8440" s="20"/>
      <c r="AC8440" s="20"/>
      <c r="AG8440" s="29"/>
    </row>
    <row r="8441" spans="2:33">
      <c r="B8441" s="29"/>
      <c r="D8441" s="29"/>
      <c r="E8441" s="20"/>
      <c r="F8441" s="20"/>
      <c r="AC8441" s="20"/>
      <c r="AG8441" s="29"/>
    </row>
    <row r="8442" spans="2:33">
      <c r="B8442" s="29"/>
      <c r="D8442" s="29"/>
      <c r="E8442" s="20"/>
      <c r="F8442" s="20"/>
      <c r="AC8442" s="20"/>
      <c r="AG8442" s="29"/>
    </row>
    <row r="8443" spans="2:33">
      <c r="B8443" s="29"/>
      <c r="D8443" s="29"/>
      <c r="E8443" s="20"/>
      <c r="F8443" s="20"/>
      <c r="AC8443" s="20"/>
      <c r="AG8443" s="29"/>
    </row>
    <row r="8444" spans="2:33">
      <c r="B8444" s="29"/>
      <c r="D8444" s="29"/>
      <c r="E8444" s="20"/>
      <c r="F8444" s="20"/>
      <c r="AC8444" s="20"/>
      <c r="AG8444" s="29"/>
    </row>
    <row r="8445" spans="2:33">
      <c r="B8445" s="29"/>
      <c r="D8445" s="29"/>
      <c r="E8445" s="20"/>
      <c r="F8445" s="20"/>
      <c r="AC8445" s="20"/>
      <c r="AG8445" s="29"/>
    </row>
    <row r="8446" spans="2:33">
      <c r="B8446" s="29"/>
      <c r="D8446" s="29"/>
      <c r="E8446" s="20"/>
      <c r="F8446" s="20"/>
      <c r="AC8446" s="20"/>
      <c r="AG8446" s="29"/>
    </row>
    <row r="8447" spans="2:33">
      <c r="B8447" s="29"/>
      <c r="D8447" s="29"/>
      <c r="E8447" s="20"/>
      <c r="F8447" s="20"/>
      <c r="AC8447" s="20"/>
      <c r="AG8447" s="29"/>
    </row>
    <row r="8448" spans="2:33">
      <c r="B8448" s="29"/>
      <c r="D8448" s="29"/>
      <c r="E8448" s="20"/>
      <c r="F8448" s="20"/>
      <c r="AC8448" s="20"/>
      <c r="AG8448" s="29"/>
    </row>
    <row r="8449" spans="2:33">
      <c r="B8449" s="29"/>
      <c r="D8449" s="29"/>
      <c r="E8449" s="20"/>
      <c r="F8449" s="20"/>
      <c r="AC8449" s="20"/>
      <c r="AG8449" s="29"/>
    </row>
    <row r="8450" spans="2:33">
      <c r="B8450" s="29"/>
      <c r="D8450" s="29"/>
      <c r="E8450" s="20"/>
      <c r="F8450" s="20"/>
      <c r="AC8450" s="20"/>
      <c r="AG8450" s="29"/>
    </row>
    <row r="8451" spans="2:33">
      <c r="B8451" s="29"/>
      <c r="D8451" s="29"/>
      <c r="E8451" s="20"/>
      <c r="F8451" s="20"/>
      <c r="AC8451" s="20"/>
      <c r="AG8451" s="29"/>
    </row>
    <row r="8452" spans="2:33">
      <c r="B8452" s="29"/>
      <c r="D8452" s="29"/>
      <c r="E8452" s="20"/>
      <c r="F8452" s="20"/>
      <c r="AC8452" s="20"/>
      <c r="AG8452" s="29"/>
    </row>
    <row r="8453" spans="2:33">
      <c r="B8453" s="29"/>
      <c r="D8453" s="29"/>
      <c r="E8453" s="20"/>
      <c r="F8453" s="20"/>
      <c r="AC8453" s="20"/>
      <c r="AG8453" s="29"/>
    </row>
    <row r="8454" spans="2:33">
      <c r="B8454" s="29"/>
      <c r="D8454" s="29"/>
      <c r="E8454" s="20"/>
      <c r="F8454" s="20"/>
      <c r="AC8454" s="20"/>
      <c r="AG8454" s="29"/>
    </row>
    <row r="8455" spans="2:33">
      <c r="B8455" s="29"/>
      <c r="D8455" s="29"/>
      <c r="E8455" s="20"/>
      <c r="F8455" s="20"/>
      <c r="AC8455" s="20"/>
      <c r="AG8455" s="29"/>
    </row>
    <row r="8456" spans="2:33">
      <c r="B8456" s="29"/>
      <c r="D8456" s="29"/>
      <c r="E8456" s="20"/>
      <c r="F8456" s="20"/>
      <c r="AC8456" s="20"/>
      <c r="AG8456" s="29"/>
    </row>
    <row r="8457" spans="2:33">
      <c r="B8457" s="29"/>
      <c r="D8457" s="29"/>
      <c r="E8457" s="20"/>
      <c r="F8457" s="20"/>
      <c r="AC8457" s="20"/>
      <c r="AG8457" s="29"/>
    </row>
    <row r="8458" spans="2:33">
      <c r="B8458" s="29"/>
      <c r="D8458" s="29"/>
      <c r="E8458" s="20"/>
      <c r="F8458" s="20"/>
      <c r="AC8458" s="20"/>
      <c r="AG8458" s="29"/>
    </row>
    <row r="8459" spans="2:33">
      <c r="B8459" s="29"/>
      <c r="D8459" s="29"/>
      <c r="E8459" s="20"/>
      <c r="F8459" s="20"/>
      <c r="AC8459" s="20"/>
      <c r="AG8459" s="29"/>
    </row>
    <row r="8460" spans="2:33">
      <c r="B8460" s="29"/>
      <c r="D8460" s="29"/>
      <c r="E8460" s="20"/>
      <c r="F8460" s="20"/>
      <c r="AC8460" s="20"/>
      <c r="AG8460" s="29"/>
    </row>
    <row r="8461" spans="2:33">
      <c r="B8461" s="29"/>
      <c r="D8461" s="29"/>
      <c r="E8461" s="20"/>
      <c r="F8461" s="20"/>
      <c r="AC8461" s="20"/>
      <c r="AG8461" s="29"/>
    </row>
    <row r="8462" spans="2:33">
      <c r="B8462" s="29"/>
      <c r="D8462" s="29"/>
      <c r="E8462" s="20"/>
      <c r="F8462" s="20"/>
      <c r="AC8462" s="20"/>
      <c r="AG8462" s="29"/>
    </row>
    <row r="8463" spans="2:33">
      <c r="B8463" s="29"/>
      <c r="D8463" s="29"/>
      <c r="E8463" s="20"/>
      <c r="F8463" s="20"/>
      <c r="AC8463" s="20"/>
      <c r="AG8463" s="29"/>
    </row>
    <row r="8464" spans="2:33">
      <c r="B8464" s="29"/>
      <c r="D8464" s="29"/>
      <c r="E8464" s="20"/>
      <c r="F8464" s="20"/>
      <c r="AC8464" s="20"/>
      <c r="AG8464" s="29"/>
    </row>
    <row r="8465" spans="2:33">
      <c r="B8465" s="29"/>
      <c r="D8465" s="29"/>
      <c r="E8465" s="20"/>
      <c r="F8465" s="20"/>
      <c r="AC8465" s="20"/>
      <c r="AG8465" s="29"/>
    </row>
    <row r="8466" spans="2:33">
      <c r="B8466" s="29"/>
      <c r="D8466" s="29"/>
      <c r="E8466" s="20"/>
      <c r="F8466" s="20"/>
      <c r="AC8466" s="20"/>
      <c r="AG8466" s="29"/>
    </row>
    <row r="8467" spans="2:33">
      <c r="B8467" s="29"/>
      <c r="D8467" s="29"/>
      <c r="E8467" s="20"/>
      <c r="F8467" s="20"/>
      <c r="AC8467" s="20"/>
      <c r="AG8467" s="29"/>
    </row>
    <row r="8468" spans="2:33">
      <c r="B8468" s="29"/>
      <c r="D8468" s="29"/>
      <c r="E8468" s="20"/>
      <c r="F8468" s="20"/>
      <c r="AC8468" s="20"/>
      <c r="AG8468" s="29"/>
    </row>
    <row r="8469" spans="2:33">
      <c r="B8469" s="29"/>
      <c r="D8469" s="29"/>
      <c r="E8469" s="20"/>
      <c r="F8469" s="20"/>
      <c r="AC8469" s="20"/>
      <c r="AG8469" s="29"/>
    </row>
    <row r="8470" spans="2:33">
      <c r="B8470" s="29"/>
      <c r="D8470" s="29"/>
      <c r="E8470" s="20"/>
      <c r="F8470" s="20"/>
      <c r="AC8470" s="20"/>
      <c r="AG8470" s="29"/>
    </row>
    <row r="8471" spans="2:33">
      <c r="B8471" s="29"/>
      <c r="D8471" s="29"/>
      <c r="E8471" s="20"/>
      <c r="F8471" s="20"/>
      <c r="AC8471" s="20"/>
      <c r="AG8471" s="29"/>
    </row>
    <row r="8472" spans="2:33">
      <c r="B8472" s="29"/>
      <c r="D8472" s="29"/>
      <c r="E8472" s="20"/>
      <c r="F8472" s="20"/>
      <c r="AC8472" s="20"/>
      <c r="AG8472" s="29"/>
    </row>
    <row r="8473" spans="2:33">
      <c r="B8473" s="29"/>
      <c r="D8473" s="29"/>
      <c r="E8473" s="20"/>
      <c r="F8473" s="20"/>
      <c r="AC8473" s="20"/>
      <c r="AG8473" s="29"/>
    </row>
    <row r="8474" spans="2:33">
      <c r="B8474" s="29"/>
      <c r="D8474" s="29"/>
      <c r="E8474" s="20"/>
      <c r="F8474" s="20"/>
      <c r="AC8474" s="20"/>
      <c r="AG8474" s="29"/>
    </row>
    <row r="8475" spans="2:33">
      <c r="B8475" s="29"/>
      <c r="D8475" s="29"/>
      <c r="E8475" s="20"/>
      <c r="F8475" s="20"/>
      <c r="AC8475" s="20"/>
      <c r="AG8475" s="29"/>
    </row>
    <row r="8476" spans="2:33">
      <c r="B8476" s="29"/>
      <c r="D8476" s="29"/>
      <c r="E8476" s="20"/>
      <c r="F8476" s="20"/>
      <c r="AC8476" s="20"/>
      <c r="AG8476" s="29"/>
    </row>
    <row r="8477" spans="2:33">
      <c r="B8477" s="29"/>
      <c r="D8477" s="29"/>
      <c r="E8477" s="20"/>
      <c r="F8477" s="20"/>
      <c r="AC8477" s="20"/>
      <c r="AG8477" s="29"/>
    </row>
    <row r="8478" spans="2:33">
      <c r="B8478" s="29"/>
      <c r="D8478" s="29"/>
      <c r="E8478" s="20"/>
      <c r="F8478" s="20"/>
      <c r="AC8478" s="20"/>
      <c r="AG8478" s="29"/>
    </row>
    <row r="8479" spans="2:33">
      <c r="B8479" s="29"/>
      <c r="D8479" s="29"/>
      <c r="E8479" s="20"/>
      <c r="F8479" s="20"/>
      <c r="AC8479" s="20"/>
      <c r="AG8479" s="29"/>
    </row>
    <row r="8480" spans="2:33">
      <c r="B8480" s="29"/>
      <c r="D8480" s="29"/>
      <c r="E8480" s="20"/>
      <c r="F8480" s="20"/>
      <c r="AC8480" s="20"/>
      <c r="AG8480" s="29"/>
    </row>
    <row r="8481" spans="2:33">
      <c r="B8481" s="29"/>
      <c r="D8481" s="29"/>
      <c r="E8481" s="20"/>
      <c r="F8481" s="20"/>
      <c r="AC8481" s="20"/>
      <c r="AG8481" s="29"/>
    </row>
    <row r="8482" spans="2:33">
      <c r="B8482" s="29"/>
      <c r="D8482" s="29"/>
      <c r="E8482" s="20"/>
      <c r="F8482" s="20"/>
      <c r="AC8482" s="20"/>
      <c r="AG8482" s="29"/>
    </row>
    <row r="8483" spans="2:33">
      <c r="B8483" s="29"/>
      <c r="D8483" s="29"/>
      <c r="E8483" s="20"/>
      <c r="F8483" s="20"/>
      <c r="AC8483" s="20"/>
      <c r="AG8483" s="29"/>
    </row>
    <row r="8484" spans="2:33">
      <c r="B8484" s="29"/>
      <c r="D8484" s="29"/>
      <c r="E8484" s="20"/>
      <c r="F8484" s="20"/>
      <c r="AC8484" s="20"/>
      <c r="AG8484" s="29"/>
    </row>
    <row r="8485" spans="2:33">
      <c r="B8485" s="29"/>
      <c r="D8485" s="29"/>
      <c r="E8485" s="20"/>
      <c r="F8485" s="20"/>
      <c r="AC8485" s="20"/>
      <c r="AG8485" s="29"/>
    </row>
    <row r="8486" spans="2:33">
      <c r="B8486" s="29"/>
      <c r="D8486" s="29"/>
      <c r="E8486" s="20"/>
      <c r="F8486" s="20"/>
      <c r="AC8486" s="20"/>
      <c r="AG8486" s="29"/>
    </row>
    <row r="8487" spans="2:33">
      <c r="B8487" s="29"/>
      <c r="D8487" s="29"/>
      <c r="E8487" s="20"/>
      <c r="F8487" s="20"/>
      <c r="AC8487" s="20"/>
      <c r="AG8487" s="29"/>
    </row>
    <row r="8488" spans="2:33">
      <c r="B8488" s="29"/>
      <c r="D8488" s="29"/>
      <c r="E8488" s="20"/>
      <c r="F8488" s="20"/>
      <c r="AC8488" s="20"/>
      <c r="AG8488" s="29"/>
    </row>
    <row r="8489" spans="2:33">
      <c r="B8489" s="29"/>
      <c r="D8489" s="29"/>
      <c r="E8489" s="20"/>
      <c r="F8489" s="20"/>
      <c r="AC8489" s="20"/>
      <c r="AG8489" s="29"/>
    </row>
    <row r="8490" spans="2:33">
      <c r="B8490" s="29"/>
      <c r="D8490" s="29"/>
      <c r="E8490" s="20"/>
      <c r="F8490" s="20"/>
      <c r="AC8490" s="20"/>
      <c r="AG8490" s="29"/>
    </row>
    <row r="8491" spans="2:33">
      <c r="B8491" s="29"/>
      <c r="D8491" s="29"/>
      <c r="E8491" s="20"/>
      <c r="F8491" s="20"/>
      <c r="AC8491" s="20"/>
      <c r="AG8491" s="29"/>
    </row>
    <row r="8492" spans="2:33">
      <c r="B8492" s="29"/>
      <c r="D8492" s="29"/>
      <c r="E8492" s="20"/>
      <c r="F8492" s="20"/>
      <c r="AC8492" s="20"/>
      <c r="AG8492" s="29"/>
    </row>
    <row r="8493" spans="2:33">
      <c r="B8493" s="29"/>
      <c r="D8493" s="29"/>
      <c r="E8493" s="20"/>
      <c r="F8493" s="20"/>
      <c r="AC8493" s="20"/>
      <c r="AG8493" s="29"/>
    </row>
    <row r="8494" spans="2:33">
      <c r="B8494" s="29"/>
      <c r="D8494" s="29"/>
      <c r="E8494" s="20"/>
      <c r="F8494" s="20"/>
      <c r="AC8494" s="20"/>
      <c r="AG8494" s="29"/>
    </row>
    <row r="8495" spans="2:33">
      <c r="B8495" s="29"/>
      <c r="D8495" s="29"/>
      <c r="E8495" s="20"/>
      <c r="F8495" s="20"/>
      <c r="AC8495" s="20"/>
      <c r="AG8495" s="29"/>
    </row>
    <row r="8496" spans="2:33">
      <c r="B8496" s="29"/>
      <c r="D8496" s="29"/>
      <c r="E8496" s="20"/>
      <c r="F8496" s="20"/>
      <c r="AC8496" s="20"/>
      <c r="AG8496" s="29"/>
    </row>
    <row r="8497" spans="2:33">
      <c r="B8497" s="29"/>
      <c r="D8497" s="29"/>
      <c r="E8497" s="20"/>
      <c r="F8497" s="20"/>
      <c r="AC8497" s="20"/>
      <c r="AG8497" s="29"/>
    </row>
    <row r="8498" spans="2:33">
      <c r="B8498" s="29"/>
      <c r="D8498" s="29"/>
      <c r="E8498" s="20"/>
      <c r="F8498" s="20"/>
      <c r="AC8498" s="20"/>
      <c r="AG8498" s="29"/>
    </row>
    <row r="8499" spans="2:33">
      <c r="B8499" s="29"/>
      <c r="D8499" s="29"/>
      <c r="E8499" s="20"/>
      <c r="F8499" s="20"/>
      <c r="AC8499" s="20"/>
      <c r="AG8499" s="29"/>
    </row>
    <row r="8500" spans="2:33">
      <c r="B8500" s="29"/>
      <c r="D8500" s="29"/>
      <c r="E8500" s="20"/>
      <c r="F8500" s="20"/>
      <c r="AC8500" s="20"/>
      <c r="AG8500" s="29"/>
    </row>
    <row r="8501" spans="2:33">
      <c r="B8501" s="29"/>
      <c r="D8501" s="29"/>
      <c r="E8501" s="20"/>
      <c r="F8501" s="20"/>
      <c r="AC8501" s="20"/>
      <c r="AG8501" s="29"/>
    </row>
    <row r="8502" spans="2:33">
      <c r="B8502" s="29"/>
      <c r="D8502" s="29"/>
      <c r="E8502" s="20"/>
      <c r="F8502" s="20"/>
      <c r="AC8502" s="20"/>
      <c r="AG8502" s="29"/>
    </row>
    <row r="8503" spans="2:33">
      <c r="B8503" s="29"/>
      <c r="D8503" s="29"/>
      <c r="E8503" s="20"/>
      <c r="F8503" s="20"/>
      <c r="AC8503" s="20"/>
      <c r="AG8503" s="29"/>
    </row>
    <row r="8504" spans="2:33">
      <c r="B8504" s="29"/>
      <c r="D8504" s="29"/>
      <c r="E8504" s="20"/>
      <c r="F8504" s="20"/>
      <c r="AC8504" s="20"/>
      <c r="AG8504" s="29"/>
    </row>
    <row r="8505" spans="2:33">
      <c r="B8505" s="29"/>
      <c r="D8505" s="29"/>
      <c r="E8505" s="20"/>
      <c r="F8505" s="20"/>
      <c r="AC8505" s="20"/>
      <c r="AG8505" s="29"/>
    </row>
    <row r="8506" spans="2:33">
      <c r="B8506" s="29"/>
      <c r="D8506" s="29"/>
      <c r="E8506" s="20"/>
      <c r="F8506" s="20"/>
      <c r="AC8506" s="20"/>
      <c r="AG8506" s="29"/>
    </row>
    <row r="8507" spans="2:33">
      <c r="B8507" s="29"/>
      <c r="D8507" s="29"/>
      <c r="E8507" s="20"/>
      <c r="F8507" s="20"/>
      <c r="AC8507" s="20"/>
      <c r="AG8507" s="29"/>
    </row>
    <row r="8508" spans="2:33">
      <c r="B8508" s="29"/>
      <c r="D8508" s="29"/>
      <c r="E8508" s="20"/>
      <c r="F8508" s="20"/>
      <c r="AC8508" s="20"/>
      <c r="AG8508" s="29"/>
    </row>
    <row r="8509" spans="2:33">
      <c r="B8509" s="29"/>
      <c r="D8509" s="29"/>
      <c r="E8509" s="20"/>
      <c r="F8509" s="20"/>
      <c r="AC8509" s="20"/>
      <c r="AG8509" s="29"/>
    </row>
    <row r="8510" spans="2:33">
      <c r="B8510" s="29"/>
      <c r="D8510" s="29"/>
      <c r="E8510" s="20"/>
      <c r="F8510" s="20"/>
      <c r="AC8510" s="20"/>
      <c r="AG8510" s="29"/>
    </row>
    <row r="8511" spans="2:33">
      <c r="B8511" s="29"/>
      <c r="D8511" s="29"/>
      <c r="E8511" s="20"/>
      <c r="F8511" s="20"/>
      <c r="AC8511" s="20"/>
      <c r="AG8511" s="29"/>
    </row>
    <row r="8512" spans="2:33">
      <c r="B8512" s="29"/>
      <c r="D8512" s="29"/>
      <c r="E8512" s="20"/>
      <c r="F8512" s="20"/>
      <c r="AC8512" s="20"/>
      <c r="AG8512" s="29"/>
    </row>
    <row r="8513" spans="2:33">
      <c r="B8513" s="29"/>
      <c r="D8513" s="29"/>
      <c r="E8513" s="20"/>
      <c r="F8513" s="20"/>
      <c r="AC8513" s="20"/>
      <c r="AG8513" s="29"/>
    </row>
    <row r="8514" spans="2:33">
      <c r="B8514" s="29"/>
      <c r="D8514" s="29"/>
      <c r="E8514" s="20"/>
      <c r="F8514" s="20"/>
      <c r="AC8514" s="20"/>
      <c r="AG8514" s="29"/>
    </row>
    <row r="8515" spans="2:33">
      <c r="B8515" s="29"/>
      <c r="D8515" s="29"/>
      <c r="E8515" s="20"/>
      <c r="F8515" s="20"/>
      <c r="AC8515" s="20"/>
      <c r="AG8515" s="29"/>
    </row>
    <row r="8516" spans="2:33">
      <c r="B8516" s="29"/>
      <c r="D8516" s="29"/>
      <c r="E8516" s="20"/>
      <c r="F8516" s="20"/>
      <c r="AC8516" s="20"/>
      <c r="AG8516" s="29"/>
    </row>
    <row r="8517" spans="2:33">
      <c r="B8517" s="29"/>
      <c r="D8517" s="29"/>
      <c r="E8517" s="20"/>
      <c r="F8517" s="20"/>
      <c r="AC8517" s="20"/>
      <c r="AG8517" s="29"/>
    </row>
    <row r="8518" spans="2:33">
      <c r="B8518" s="29"/>
      <c r="D8518" s="29"/>
      <c r="E8518" s="20"/>
      <c r="F8518" s="20"/>
      <c r="AC8518" s="20"/>
      <c r="AG8518" s="29"/>
    </row>
    <row r="8519" spans="2:33">
      <c r="B8519" s="29"/>
      <c r="D8519" s="29"/>
      <c r="E8519" s="20"/>
      <c r="F8519" s="20"/>
      <c r="AC8519" s="20"/>
      <c r="AG8519" s="29"/>
    </row>
    <row r="8520" spans="2:33">
      <c r="B8520" s="29"/>
      <c r="D8520" s="29"/>
      <c r="E8520" s="20"/>
      <c r="F8520" s="20"/>
      <c r="AC8520" s="20"/>
      <c r="AG8520" s="29"/>
    </row>
    <row r="8521" spans="2:33">
      <c r="B8521" s="29"/>
      <c r="D8521" s="29"/>
      <c r="E8521" s="20"/>
      <c r="F8521" s="20"/>
      <c r="AC8521" s="20"/>
      <c r="AG8521" s="29"/>
    </row>
    <row r="8522" spans="2:33">
      <c r="B8522" s="29"/>
      <c r="D8522" s="29"/>
      <c r="E8522" s="20"/>
      <c r="F8522" s="20"/>
      <c r="AC8522" s="20"/>
      <c r="AG8522" s="29"/>
    </row>
    <row r="8523" spans="2:33">
      <c r="B8523" s="29"/>
      <c r="D8523" s="29"/>
      <c r="E8523" s="20"/>
      <c r="F8523" s="20"/>
      <c r="AC8523" s="20"/>
      <c r="AG8523" s="29"/>
    </row>
    <row r="8524" spans="2:33">
      <c r="B8524" s="29"/>
      <c r="D8524" s="29"/>
      <c r="E8524" s="20"/>
      <c r="F8524" s="20"/>
      <c r="AC8524" s="20"/>
      <c r="AG8524" s="29"/>
    </row>
    <row r="8525" spans="2:33">
      <c r="B8525" s="29"/>
      <c r="D8525" s="29"/>
      <c r="E8525" s="20"/>
      <c r="F8525" s="20"/>
      <c r="AC8525" s="20"/>
      <c r="AG8525" s="29"/>
    </row>
    <row r="8526" spans="2:33">
      <c r="B8526" s="29"/>
      <c r="D8526" s="29"/>
      <c r="E8526" s="20"/>
      <c r="F8526" s="20"/>
      <c r="AC8526" s="20"/>
      <c r="AG8526" s="29"/>
    </row>
    <row r="8527" spans="2:33">
      <c r="B8527" s="29"/>
      <c r="D8527" s="29"/>
      <c r="E8527" s="20"/>
      <c r="F8527" s="20"/>
      <c r="AC8527" s="20"/>
      <c r="AG8527" s="29"/>
    </row>
    <row r="8528" spans="2:33">
      <c r="B8528" s="29"/>
      <c r="D8528" s="29"/>
      <c r="E8528" s="20"/>
      <c r="F8528" s="20"/>
      <c r="AC8528" s="20"/>
      <c r="AG8528" s="29"/>
    </row>
    <row r="8529" spans="2:33">
      <c r="B8529" s="29"/>
      <c r="D8529" s="29"/>
      <c r="E8529" s="20"/>
      <c r="F8529" s="20"/>
      <c r="AC8529" s="20"/>
      <c r="AG8529" s="29"/>
    </row>
    <row r="8530" spans="2:33">
      <c r="B8530" s="29"/>
      <c r="D8530" s="29"/>
      <c r="E8530" s="20"/>
      <c r="F8530" s="20"/>
      <c r="AC8530" s="20"/>
      <c r="AG8530" s="29"/>
    </row>
    <row r="8531" spans="2:33">
      <c r="B8531" s="29"/>
      <c r="D8531" s="29"/>
      <c r="E8531" s="20"/>
      <c r="F8531" s="20"/>
      <c r="AC8531" s="20"/>
      <c r="AG8531" s="29"/>
    </row>
    <row r="8532" spans="2:33">
      <c r="B8532" s="29"/>
      <c r="D8532" s="29"/>
      <c r="E8532" s="20"/>
      <c r="F8532" s="20"/>
      <c r="AC8532" s="20"/>
      <c r="AG8532" s="29"/>
    </row>
    <row r="8533" spans="2:33">
      <c r="B8533" s="29"/>
      <c r="D8533" s="29"/>
      <c r="E8533" s="20"/>
      <c r="F8533" s="20"/>
      <c r="AC8533" s="20"/>
      <c r="AG8533" s="29"/>
    </row>
    <row r="8534" spans="2:33">
      <c r="B8534" s="29"/>
      <c r="D8534" s="29"/>
      <c r="E8534" s="20"/>
      <c r="F8534" s="20"/>
      <c r="AC8534" s="20"/>
      <c r="AG8534" s="29"/>
    </row>
    <row r="8535" spans="2:33">
      <c r="B8535" s="29"/>
      <c r="D8535" s="29"/>
      <c r="E8535" s="20"/>
      <c r="F8535" s="20"/>
      <c r="AC8535" s="20"/>
      <c r="AG8535" s="29"/>
    </row>
    <row r="8536" spans="2:33">
      <c r="B8536" s="29"/>
      <c r="D8536" s="29"/>
      <c r="E8536" s="20"/>
      <c r="F8536" s="20"/>
      <c r="AC8536" s="20"/>
      <c r="AG8536" s="29"/>
    </row>
    <row r="8537" spans="2:33">
      <c r="B8537" s="29"/>
      <c r="D8537" s="29"/>
      <c r="E8537" s="20"/>
      <c r="F8537" s="20"/>
      <c r="AC8537" s="20"/>
      <c r="AG8537" s="29"/>
    </row>
    <row r="8538" spans="2:33">
      <c r="B8538" s="29"/>
      <c r="D8538" s="29"/>
      <c r="E8538" s="20"/>
      <c r="F8538" s="20"/>
      <c r="AC8538" s="20"/>
      <c r="AG8538" s="29"/>
    </row>
    <row r="8539" spans="2:33">
      <c r="B8539" s="29"/>
      <c r="D8539" s="29"/>
      <c r="E8539" s="20"/>
      <c r="F8539" s="20"/>
      <c r="AC8539" s="20"/>
      <c r="AG8539" s="29"/>
    </row>
    <row r="8540" spans="2:33">
      <c r="B8540" s="29"/>
      <c r="D8540" s="29"/>
      <c r="E8540" s="20"/>
      <c r="F8540" s="20"/>
      <c r="AC8540" s="20"/>
      <c r="AG8540" s="29"/>
    </row>
    <row r="8541" spans="2:33">
      <c r="B8541" s="29"/>
      <c r="D8541" s="29"/>
      <c r="E8541" s="20"/>
      <c r="F8541" s="20"/>
      <c r="AC8541" s="20"/>
      <c r="AG8541" s="29"/>
    </row>
    <row r="8542" spans="2:33">
      <c r="B8542" s="29"/>
      <c r="D8542" s="29"/>
      <c r="E8542" s="20"/>
      <c r="F8542" s="20"/>
      <c r="AC8542" s="20"/>
      <c r="AG8542" s="29"/>
    </row>
    <row r="8543" spans="2:33">
      <c r="B8543" s="29"/>
      <c r="D8543" s="29"/>
      <c r="E8543" s="20"/>
      <c r="F8543" s="20"/>
      <c r="AC8543" s="20"/>
      <c r="AG8543" s="29"/>
    </row>
    <row r="8544" spans="2:33">
      <c r="B8544" s="29"/>
      <c r="D8544" s="29"/>
      <c r="E8544" s="20"/>
      <c r="F8544" s="20"/>
      <c r="AC8544" s="20"/>
      <c r="AG8544" s="29"/>
    </row>
    <row r="8545" spans="2:33">
      <c r="B8545" s="29"/>
      <c r="D8545" s="29"/>
      <c r="E8545" s="20"/>
      <c r="F8545" s="20"/>
      <c r="AC8545" s="20"/>
      <c r="AG8545" s="29"/>
    </row>
    <row r="8546" spans="2:33">
      <c r="B8546" s="29"/>
      <c r="D8546" s="29"/>
      <c r="E8546" s="20"/>
      <c r="F8546" s="20"/>
      <c r="AC8546" s="20"/>
      <c r="AG8546" s="29"/>
    </row>
    <row r="8547" spans="2:33">
      <c r="B8547" s="29"/>
      <c r="D8547" s="29"/>
      <c r="E8547" s="20"/>
      <c r="F8547" s="20"/>
      <c r="AC8547" s="20"/>
      <c r="AG8547" s="29"/>
    </row>
    <row r="8548" spans="2:33">
      <c r="B8548" s="29"/>
      <c r="D8548" s="29"/>
      <c r="E8548" s="20"/>
      <c r="F8548" s="20"/>
      <c r="AC8548" s="20"/>
      <c r="AG8548" s="29"/>
    </row>
    <row r="8549" spans="2:33">
      <c r="B8549" s="29"/>
      <c r="D8549" s="29"/>
      <c r="E8549" s="20"/>
      <c r="F8549" s="20"/>
      <c r="AC8549" s="20"/>
      <c r="AG8549" s="29"/>
    </row>
    <row r="8550" spans="2:33">
      <c r="B8550" s="29"/>
      <c r="D8550" s="29"/>
      <c r="E8550" s="20"/>
      <c r="F8550" s="20"/>
      <c r="AC8550" s="20"/>
      <c r="AG8550" s="29"/>
    </row>
    <row r="8551" spans="2:33">
      <c r="B8551" s="29"/>
      <c r="D8551" s="29"/>
      <c r="E8551" s="20"/>
      <c r="F8551" s="20"/>
      <c r="AC8551" s="20"/>
      <c r="AG8551" s="29"/>
    </row>
    <row r="8552" spans="2:33">
      <c r="B8552" s="29"/>
      <c r="D8552" s="29"/>
      <c r="E8552" s="20"/>
      <c r="F8552" s="20"/>
      <c r="AC8552" s="20"/>
      <c r="AG8552" s="29"/>
    </row>
    <row r="8553" spans="2:33">
      <c r="B8553" s="29"/>
      <c r="D8553" s="29"/>
      <c r="E8553" s="20"/>
      <c r="F8553" s="20"/>
      <c r="AC8553" s="20"/>
      <c r="AG8553" s="29"/>
    </row>
    <row r="8554" spans="2:33">
      <c r="B8554" s="29"/>
      <c r="D8554" s="29"/>
      <c r="E8554" s="20"/>
      <c r="F8554" s="20"/>
      <c r="AC8554" s="20"/>
      <c r="AG8554" s="29"/>
    </row>
    <row r="8555" spans="2:33">
      <c r="B8555" s="29"/>
      <c r="D8555" s="29"/>
      <c r="E8555" s="20"/>
      <c r="F8555" s="20"/>
      <c r="AC8555" s="20"/>
      <c r="AG8555" s="29"/>
    </row>
    <row r="8556" spans="2:33">
      <c r="B8556" s="29"/>
      <c r="D8556" s="29"/>
      <c r="E8556" s="20"/>
      <c r="F8556" s="20"/>
      <c r="AC8556" s="20"/>
      <c r="AG8556" s="29"/>
    </row>
    <row r="8557" spans="2:33">
      <c r="B8557" s="29"/>
      <c r="D8557" s="29"/>
      <c r="E8557" s="20"/>
      <c r="F8557" s="20"/>
      <c r="AC8557" s="20"/>
      <c r="AG8557" s="29"/>
    </row>
    <row r="8558" spans="2:33">
      <c r="B8558" s="29"/>
      <c r="D8558" s="29"/>
      <c r="E8558" s="20"/>
      <c r="F8558" s="20"/>
      <c r="AC8558" s="20"/>
      <c r="AG8558" s="29"/>
    </row>
    <row r="8559" spans="2:33">
      <c r="B8559" s="29"/>
      <c r="D8559" s="29"/>
      <c r="E8559" s="20"/>
      <c r="F8559" s="20"/>
      <c r="AC8559" s="20"/>
      <c r="AG8559" s="29"/>
    </row>
    <row r="8560" spans="2:33">
      <c r="B8560" s="29"/>
      <c r="D8560" s="29"/>
      <c r="E8560" s="20"/>
      <c r="F8560" s="20"/>
      <c r="AC8560" s="20"/>
      <c r="AG8560" s="29"/>
    </row>
    <row r="8561" spans="2:33">
      <c r="B8561" s="29"/>
      <c r="D8561" s="29"/>
      <c r="E8561" s="20"/>
      <c r="F8561" s="20"/>
      <c r="AC8561" s="20"/>
      <c r="AG8561" s="29"/>
    </row>
    <row r="8562" spans="2:33">
      <c r="B8562" s="29"/>
      <c r="D8562" s="29"/>
      <c r="E8562" s="20"/>
      <c r="F8562" s="20"/>
      <c r="AC8562" s="20"/>
      <c r="AG8562" s="29"/>
    </row>
    <row r="8563" spans="2:33">
      <c r="B8563" s="29"/>
      <c r="D8563" s="29"/>
      <c r="E8563" s="20"/>
      <c r="F8563" s="20"/>
      <c r="AC8563" s="20"/>
      <c r="AG8563" s="29"/>
    </row>
    <row r="8564" spans="2:33">
      <c r="B8564" s="29"/>
      <c r="D8564" s="29"/>
      <c r="E8564" s="20"/>
      <c r="F8564" s="20"/>
      <c r="AC8564" s="20"/>
      <c r="AG8564" s="29"/>
    </row>
    <row r="8565" spans="2:33">
      <c r="B8565" s="29"/>
      <c r="D8565" s="29"/>
      <c r="E8565" s="20"/>
      <c r="F8565" s="20"/>
      <c r="AC8565" s="20"/>
      <c r="AG8565" s="29"/>
    </row>
    <row r="8566" spans="2:33">
      <c r="B8566" s="29"/>
      <c r="D8566" s="29"/>
      <c r="E8566" s="20"/>
      <c r="F8566" s="20"/>
      <c r="AC8566" s="20"/>
      <c r="AG8566" s="29"/>
    </row>
    <row r="8567" spans="2:33">
      <c r="B8567" s="29"/>
      <c r="D8567" s="29"/>
      <c r="E8567" s="20"/>
      <c r="F8567" s="20"/>
      <c r="AC8567" s="20"/>
      <c r="AG8567" s="29"/>
    </row>
    <row r="8568" spans="2:33">
      <c r="B8568" s="29"/>
      <c r="D8568" s="29"/>
      <c r="E8568" s="20"/>
      <c r="F8568" s="20"/>
      <c r="AC8568" s="20"/>
      <c r="AG8568" s="29"/>
    </row>
    <row r="8569" spans="2:33">
      <c r="B8569" s="29"/>
      <c r="D8569" s="29"/>
      <c r="E8569" s="20"/>
      <c r="F8569" s="20"/>
      <c r="AC8569" s="20"/>
      <c r="AG8569" s="29"/>
    </row>
    <row r="8570" spans="2:33">
      <c r="B8570" s="29"/>
      <c r="D8570" s="29"/>
      <c r="E8570" s="20"/>
      <c r="F8570" s="20"/>
      <c r="AC8570" s="20"/>
      <c r="AG8570" s="29"/>
    </row>
    <row r="8571" spans="2:33">
      <c r="B8571" s="29"/>
      <c r="D8571" s="29"/>
      <c r="E8571" s="20"/>
      <c r="F8571" s="20"/>
      <c r="AC8571" s="20"/>
      <c r="AG8571" s="29"/>
    </row>
    <row r="8572" spans="2:33">
      <c r="B8572" s="29"/>
      <c r="D8572" s="29"/>
      <c r="E8572" s="20"/>
      <c r="F8572" s="20"/>
      <c r="AC8572" s="20"/>
      <c r="AG8572" s="29"/>
    </row>
    <row r="8573" spans="2:33">
      <c r="B8573" s="29"/>
      <c r="D8573" s="29"/>
      <c r="E8573" s="20"/>
      <c r="F8573" s="20"/>
      <c r="AC8573" s="20"/>
      <c r="AG8573" s="29"/>
    </row>
    <row r="8574" spans="2:33">
      <c r="B8574" s="29"/>
      <c r="D8574" s="29"/>
      <c r="E8574" s="20"/>
      <c r="F8574" s="20"/>
      <c r="AC8574" s="20"/>
      <c r="AG8574" s="29"/>
    </row>
    <row r="8575" spans="2:33">
      <c r="B8575" s="29"/>
      <c r="D8575" s="29"/>
      <c r="E8575" s="20"/>
      <c r="F8575" s="20"/>
      <c r="AC8575" s="20"/>
      <c r="AG8575" s="29"/>
    </row>
    <row r="8576" spans="2:33">
      <c r="B8576" s="29"/>
      <c r="D8576" s="29"/>
      <c r="E8576" s="20"/>
      <c r="F8576" s="20"/>
      <c r="AC8576" s="20"/>
      <c r="AG8576" s="29"/>
    </row>
    <row r="8577" spans="2:33">
      <c r="B8577" s="29"/>
      <c r="D8577" s="29"/>
      <c r="E8577" s="20"/>
      <c r="F8577" s="20"/>
      <c r="AC8577" s="20"/>
      <c r="AG8577" s="29"/>
    </row>
    <row r="8578" spans="2:33">
      <c r="B8578" s="29"/>
      <c r="D8578" s="29"/>
      <c r="E8578" s="20"/>
      <c r="F8578" s="20"/>
      <c r="AC8578" s="20"/>
      <c r="AG8578" s="29"/>
    </row>
    <row r="8579" spans="2:33">
      <c r="B8579" s="29"/>
      <c r="D8579" s="29"/>
      <c r="E8579" s="20"/>
      <c r="F8579" s="20"/>
      <c r="AC8579" s="20"/>
      <c r="AG8579" s="29"/>
    </row>
    <row r="8580" spans="2:33">
      <c r="B8580" s="29"/>
      <c r="D8580" s="29"/>
      <c r="E8580" s="20"/>
      <c r="F8580" s="20"/>
      <c r="AC8580" s="20"/>
      <c r="AG8580" s="29"/>
    </row>
    <row r="8581" spans="2:33">
      <c r="B8581" s="29"/>
      <c r="D8581" s="29"/>
      <c r="E8581" s="20"/>
      <c r="F8581" s="20"/>
      <c r="AC8581" s="20"/>
      <c r="AG8581" s="29"/>
    </row>
    <row r="8582" spans="2:33">
      <c r="B8582" s="29"/>
      <c r="D8582" s="29"/>
      <c r="E8582" s="20"/>
      <c r="F8582" s="20"/>
      <c r="AC8582" s="20"/>
      <c r="AG8582" s="29"/>
    </row>
    <row r="8583" spans="2:33">
      <c r="B8583" s="29"/>
      <c r="D8583" s="29"/>
      <c r="E8583" s="20"/>
      <c r="F8583" s="20"/>
      <c r="AC8583" s="20"/>
      <c r="AG8583" s="29"/>
    </row>
    <row r="8584" spans="2:33">
      <c r="B8584" s="29"/>
      <c r="D8584" s="29"/>
      <c r="E8584" s="20"/>
      <c r="F8584" s="20"/>
      <c r="AC8584" s="20"/>
      <c r="AG8584" s="29"/>
    </row>
    <row r="8585" spans="2:33">
      <c r="B8585" s="29"/>
      <c r="D8585" s="29"/>
      <c r="E8585" s="20"/>
      <c r="F8585" s="20"/>
      <c r="AC8585" s="20"/>
      <c r="AG8585" s="29"/>
    </row>
    <row r="8586" spans="2:33">
      <c r="B8586" s="29"/>
      <c r="D8586" s="29"/>
      <c r="E8586" s="20"/>
      <c r="F8586" s="20"/>
      <c r="AC8586" s="20"/>
      <c r="AG8586" s="29"/>
    </row>
    <row r="8587" spans="2:33">
      <c r="B8587" s="29"/>
      <c r="D8587" s="29"/>
      <c r="E8587" s="20"/>
      <c r="F8587" s="20"/>
      <c r="AC8587" s="20"/>
      <c r="AG8587" s="29"/>
    </row>
    <row r="8588" spans="2:33">
      <c r="B8588" s="29"/>
      <c r="D8588" s="29"/>
      <c r="E8588" s="20"/>
      <c r="F8588" s="20"/>
      <c r="AC8588" s="20"/>
      <c r="AG8588" s="29"/>
    </row>
    <row r="8589" spans="2:33">
      <c r="B8589" s="29"/>
      <c r="D8589" s="29"/>
      <c r="E8589" s="20"/>
      <c r="F8589" s="20"/>
      <c r="AC8589" s="20"/>
      <c r="AG8589" s="29"/>
    </row>
    <row r="8590" spans="2:33">
      <c r="B8590" s="29"/>
      <c r="D8590" s="29"/>
      <c r="E8590" s="20"/>
      <c r="F8590" s="20"/>
      <c r="AC8590" s="20"/>
      <c r="AG8590" s="29"/>
    </row>
    <row r="8591" spans="2:33">
      <c r="B8591" s="29"/>
      <c r="D8591" s="29"/>
      <c r="E8591" s="20"/>
      <c r="F8591" s="20"/>
      <c r="AC8591" s="20"/>
      <c r="AG8591" s="29"/>
    </row>
    <row r="8592" spans="2:33">
      <c r="B8592" s="29"/>
      <c r="D8592" s="29"/>
      <c r="E8592" s="20"/>
      <c r="F8592" s="20"/>
      <c r="AC8592" s="20"/>
      <c r="AG8592" s="29"/>
    </row>
    <row r="8593" spans="2:33">
      <c r="B8593" s="29"/>
      <c r="D8593" s="29"/>
      <c r="E8593" s="20"/>
      <c r="F8593" s="20"/>
      <c r="AC8593" s="20"/>
      <c r="AG8593" s="29"/>
    </row>
    <row r="8594" spans="2:33">
      <c r="B8594" s="29"/>
      <c r="D8594" s="29"/>
      <c r="E8594" s="20"/>
      <c r="F8594" s="20"/>
      <c r="AC8594" s="20"/>
      <c r="AG8594" s="29"/>
    </row>
    <row r="8595" spans="2:33">
      <c r="B8595" s="29"/>
      <c r="D8595" s="29"/>
      <c r="E8595" s="20"/>
      <c r="F8595" s="20"/>
      <c r="AC8595" s="20"/>
      <c r="AG8595" s="29"/>
    </row>
    <row r="8596" spans="2:33">
      <c r="B8596" s="29"/>
      <c r="D8596" s="29"/>
      <c r="E8596" s="20"/>
      <c r="F8596" s="20"/>
      <c r="AC8596" s="20"/>
      <c r="AG8596" s="29"/>
    </row>
    <row r="8597" spans="2:33">
      <c r="B8597" s="29"/>
      <c r="D8597" s="29"/>
      <c r="E8597" s="20"/>
      <c r="F8597" s="20"/>
      <c r="AC8597" s="20"/>
      <c r="AG8597" s="29"/>
    </row>
    <row r="8598" spans="2:33">
      <c r="B8598" s="29"/>
      <c r="D8598" s="29"/>
      <c r="E8598" s="20"/>
      <c r="F8598" s="20"/>
      <c r="AC8598" s="20"/>
      <c r="AG8598" s="29"/>
    </row>
    <row r="8599" spans="2:33">
      <c r="B8599" s="29"/>
      <c r="D8599" s="29"/>
      <c r="E8599" s="20"/>
      <c r="F8599" s="20"/>
      <c r="AC8599" s="20"/>
      <c r="AG8599" s="29"/>
    </row>
    <row r="8600" spans="2:33">
      <c r="B8600" s="29"/>
      <c r="D8600" s="29"/>
      <c r="E8600" s="20"/>
      <c r="F8600" s="20"/>
      <c r="AC8600" s="20"/>
      <c r="AG8600" s="29"/>
    </row>
    <row r="8601" spans="2:33">
      <c r="B8601" s="29"/>
      <c r="D8601" s="29"/>
      <c r="E8601" s="20"/>
      <c r="F8601" s="20"/>
      <c r="AC8601" s="20"/>
      <c r="AG8601" s="29"/>
    </row>
    <row r="8602" spans="2:33">
      <c r="B8602" s="29"/>
      <c r="D8602" s="29"/>
      <c r="E8602" s="20"/>
      <c r="F8602" s="20"/>
      <c r="AC8602" s="20"/>
      <c r="AG8602" s="29"/>
    </row>
    <row r="8603" spans="2:33">
      <c r="B8603" s="29"/>
      <c r="D8603" s="29"/>
      <c r="E8603" s="20"/>
      <c r="F8603" s="20"/>
      <c r="AC8603" s="20"/>
      <c r="AG8603" s="29"/>
    </row>
    <row r="8604" spans="2:33">
      <c r="B8604" s="29"/>
      <c r="D8604" s="29"/>
      <c r="E8604" s="20"/>
      <c r="F8604" s="20"/>
      <c r="AC8604" s="20"/>
      <c r="AG8604" s="29"/>
    </row>
    <row r="8605" spans="2:33">
      <c r="B8605" s="29"/>
      <c r="D8605" s="29"/>
      <c r="E8605" s="20"/>
      <c r="F8605" s="20"/>
      <c r="AC8605" s="20"/>
      <c r="AG8605" s="29"/>
    </row>
    <row r="8606" spans="2:33">
      <c r="B8606" s="29"/>
      <c r="D8606" s="29"/>
      <c r="E8606" s="20"/>
      <c r="F8606" s="20"/>
      <c r="AC8606" s="20"/>
      <c r="AG8606" s="29"/>
    </row>
    <row r="8607" spans="2:33">
      <c r="B8607" s="29"/>
      <c r="D8607" s="29"/>
      <c r="E8607" s="20"/>
      <c r="F8607" s="20"/>
      <c r="AC8607" s="20"/>
      <c r="AG8607" s="29"/>
    </row>
    <row r="8608" spans="2:33">
      <c r="B8608" s="29"/>
      <c r="D8608" s="29"/>
      <c r="E8608" s="20"/>
      <c r="F8608" s="20"/>
      <c r="AC8608" s="20"/>
      <c r="AG8608" s="29"/>
    </row>
    <row r="8609" spans="2:33">
      <c r="B8609" s="29"/>
      <c r="D8609" s="29"/>
      <c r="E8609" s="20"/>
      <c r="F8609" s="20"/>
      <c r="AC8609" s="20"/>
      <c r="AG8609" s="29"/>
    </row>
    <row r="8610" spans="2:33">
      <c r="B8610" s="29"/>
      <c r="D8610" s="29"/>
      <c r="E8610" s="20"/>
      <c r="F8610" s="20"/>
      <c r="AC8610" s="20"/>
      <c r="AG8610" s="29"/>
    </row>
    <row r="8611" spans="2:33">
      <c r="B8611" s="29"/>
      <c r="D8611" s="29"/>
      <c r="E8611" s="20"/>
      <c r="F8611" s="20"/>
      <c r="AC8611" s="20"/>
      <c r="AG8611" s="29"/>
    </row>
    <row r="8612" spans="2:33">
      <c r="B8612" s="29"/>
      <c r="D8612" s="29"/>
      <c r="E8612" s="20"/>
      <c r="F8612" s="20"/>
      <c r="AC8612" s="20"/>
      <c r="AG8612" s="29"/>
    </row>
    <row r="8613" spans="2:33">
      <c r="B8613" s="29"/>
      <c r="D8613" s="29"/>
      <c r="E8613" s="20"/>
      <c r="F8613" s="20"/>
      <c r="AC8613" s="20"/>
      <c r="AG8613" s="29"/>
    </row>
    <row r="8614" spans="2:33">
      <c r="B8614" s="29"/>
      <c r="D8614" s="29"/>
      <c r="E8614" s="20"/>
      <c r="F8614" s="20"/>
      <c r="AC8614" s="20"/>
      <c r="AG8614" s="29"/>
    </row>
    <row r="8615" spans="2:33">
      <c r="B8615" s="29"/>
      <c r="D8615" s="29"/>
      <c r="E8615" s="20"/>
      <c r="F8615" s="20"/>
      <c r="AC8615" s="20"/>
      <c r="AG8615" s="29"/>
    </row>
    <row r="8616" spans="2:33">
      <c r="B8616" s="29"/>
      <c r="D8616" s="29"/>
      <c r="E8616" s="20"/>
      <c r="F8616" s="20"/>
      <c r="AC8616" s="20"/>
      <c r="AG8616" s="29"/>
    </row>
    <row r="8617" spans="2:33">
      <c r="B8617" s="29"/>
      <c r="D8617" s="29"/>
      <c r="E8617" s="20"/>
      <c r="F8617" s="20"/>
      <c r="AC8617" s="20"/>
      <c r="AG8617" s="29"/>
    </row>
    <row r="8618" spans="2:33">
      <c r="B8618" s="29"/>
      <c r="D8618" s="29"/>
      <c r="E8618" s="20"/>
      <c r="F8618" s="20"/>
      <c r="AC8618" s="20"/>
      <c r="AG8618" s="29"/>
    </row>
    <row r="8619" spans="2:33">
      <c r="B8619" s="29"/>
      <c r="D8619" s="29"/>
      <c r="E8619" s="20"/>
      <c r="F8619" s="20"/>
      <c r="AC8619" s="20"/>
      <c r="AG8619" s="29"/>
    </row>
    <row r="8620" spans="2:33">
      <c r="B8620" s="29"/>
      <c r="D8620" s="29"/>
      <c r="E8620" s="20"/>
      <c r="F8620" s="20"/>
      <c r="AC8620" s="20"/>
      <c r="AG8620" s="29"/>
    </row>
    <row r="8621" spans="2:33">
      <c r="B8621" s="29"/>
      <c r="D8621" s="29"/>
      <c r="E8621" s="20"/>
      <c r="F8621" s="20"/>
      <c r="AC8621" s="20"/>
      <c r="AG8621" s="29"/>
    </row>
    <row r="8622" spans="2:33">
      <c r="B8622" s="29"/>
      <c r="D8622" s="29"/>
      <c r="E8622" s="20"/>
      <c r="F8622" s="20"/>
      <c r="AC8622" s="20"/>
      <c r="AG8622" s="29"/>
    </row>
    <row r="8623" spans="2:33">
      <c r="B8623" s="29"/>
      <c r="D8623" s="29"/>
      <c r="E8623" s="20"/>
      <c r="F8623" s="20"/>
      <c r="AC8623" s="20"/>
      <c r="AG8623" s="29"/>
    </row>
    <row r="8624" spans="2:33">
      <c r="B8624" s="29"/>
      <c r="D8624" s="29"/>
      <c r="E8624" s="20"/>
      <c r="F8624" s="20"/>
      <c r="AC8624" s="20"/>
      <c r="AG8624" s="29"/>
    </row>
    <row r="8625" spans="2:33">
      <c r="B8625" s="29"/>
      <c r="D8625" s="29"/>
      <c r="E8625" s="20"/>
      <c r="F8625" s="20"/>
      <c r="AC8625" s="20"/>
      <c r="AG8625" s="29"/>
    </row>
    <row r="8626" spans="2:33">
      <c r="B8626" s="29"/>
      <c r="D8626" s="29"/>
      <c r="E8626" s="20"/>
      <c r="F8626" s="20"/>
      <c r="AC8626" s="20"/>
      <c r="AG8626" s="29"/>
    </row>
    <row r="8627" spans="2:33">
      <c r="B8627" s="29"/>
      <c r="D8627" s="29"/>
      <c r="E8627" s="20"/>
      <c r="F8627" s="20"/>
      <c r="AC8627" s="20"/>
      <c r="AG8627" s="29"/>
    </row>
    <row r="8628" spans="2:33">
      <c r="B8628" s="29"/>
      <c r="D8628" s="29"/>
      <c r="E8628" s="20"/>
      <c r="F8628" s="20"/>
      <c r="AC8628" s="20"/>
      <c r="AG8628" s="29"/>
    </row>
    <row r="8629" spans="2:33">
      <c r="B8629" s="29"/>
      <c r="D8629" s="29"/>
      <c r="E8629" s="20"/>
      <c r="F8629" s="20"/>
      <c r="AC8629" s="20"/>
      <c r="AG8629" s="29"/>
    </row>
    <row r="8630" spans="2:33">
      <c r="B8630" s="29"/>
      <c r="D8630" s="29"/>
      <c r="E8630" s="20"/>
      <c r="F8630" s="20"/>
      <c r="AC8630" s="20"/>
      <c r="AG8630" s="29"/>
    </row>
    <row r="8631" spans="2:33">
      <c r="B8631" s="29"/>
      <c r="D8631" s="29"/>
      <c r="E8631" s="20"/>
      <c r="F8631" s="20"/>
      <c r="AC8631" s="20"/>
      <c r="AG8631" s="29"/>
    </row>
    <row r="8632" spans="2:33">
      <c r="B8632" s="29"/>
      <c r="D8632" s="29"/>
      <c r="E8632" s="20"/>
      <c r="F8632" s="20"/>
      <c r="AC8632" s="20"/>
      <c r="AG8632" s="29"/>
    </row>
    <row r="8633" spans="2:33">
      <c r="B8633" s="29"/>
      <c r="D8633" s="29"/>
      <c r="E8633" s="20"/>
      <c r="F8633" s="20"/>
      <c r="AC8633" s="20"/>
      <c r="AG8633" s="29"/>
    </row>
    <row r="8634" spans="2:33">
      <c r="B8634" s="29"/>
      <c r="D8634" s="29"/>
      <c r="E8634" s="20"/>
      <c r="F8634" s="20"/>
      <c r="AC8634" s="20"/>
      <c r="AG8634" s="29"/>
    </row>
    <row r="8635" spans="2:33">
      <c r="B8635" s="29"/>
      <c r="D8635" s="29"/>
      <c r="E8635" s="20"/>
      <c r="F8635" s="20"/>
      <c r="AC8635" s="20"/>
      <c r="AG8635" s="29"/>
    </row>
    <row r="8636" spans="2:33">
      <c r="B8636" s="29"/>
      <c r="D8636" s="29"/>
      <c r="E8636" s="20"/>
      <c r="F8636" s="20"/>
      <c r="AC8636" s="20"/>
      <c r="AG8636" s="29"/>
    </row>
    <row r="8637" spans="2:33">
      <c r="B8637" s="29"/>
      <c r="D8637" s="29"/>
      <c r="E8637" s="20"/>
      <c r="F8637" s="20"/>
      <c r="AC8637" s="20"/>
      <c r="AG8637" s="29"/>
    </row>
    <row r="8638" spans="2:33">
      <c r="B8638" s="29"/>
      <c r="D8638" s="29"/>
      <c r="E8638" s="20"/>
      <c r="F8638" s="20"/>
      <c r="AC8638" s="20"/>
      <c r="AG8638" s="29"/>
    </row>
    <row r="8639" spans="2:33">
      <c r="B8639" s="29"/>
      <c r="D8639" s="29"/>
      <c r="E8639" s="20"/>
      <c r="F8639" s="20"/>
      <c r="AC8639" s="20"/>
      <c r="AG8639" s="29"/>
    </row>
    <row r="8640" spans="2:33">
      <c r="B8640" s="29"/>
      <c r="D8640" s="29"/>
      <c r="E8640" s="20"/>
      <c r="F8640" s="20"/>
      <c r="AC8640" s="20"/>
      <c r="AG8640" s="29"/>
    </row>
    <row r="8641" spans="2:33">
      <c r="B8641" s="29"/>
      <c r="D8641" s="29"/>
      <c r="E8641" s="20"/>
      <c r="F8641" s="20"/>
      <c r="AC8641" s="20"/>
      <c r="AG8641" s="29"/>
    </row>
    <row r="8642" spans="2:33">
      <c r="B8642" s="29"/>
      <c r="D8642" s="29"/>
      <c r="E8642" s="20"/>
      <c r="F8642" s="20"/>
      <c r="AC8642" s="20"/>
      <c r="AG8642" s="29"/>
    </row>
    <row r="8643" spans="2:33">
      <c r="B8643" s="29"/>
      <c r="D8643" s="29"/>
      <c r="E8643" s="20"/>
      <c r="F8643" s="20"/>
      <c r="AC8643" s="20"/>
      <c r="AG8643" s="29"/>
    </row>
    <row r="8644" spans="2:33">
      <c r="B8644" s="29"/>
      <c r="D8644" s="29"/>
      <c r="E8644" s="20"/>
      <c r="F8644" s="20"/>
      <c r="AC8644" s="20"/>
      <c r="AG8644" s="29"/>
    </row>
    <row r="8645" spans="2:33">
      <c r="B8645" s="29"/>
      <c r="D8645" s="29"/>
      <c r="E8645" s="20"/>
      <c r="F8645" s="20"/>
      <c r="AC8645" s="20"/>
      <c r="AG8645" s="29"/>
    </row>
    <row r="8646" spans="2:33">
      <c r="B8646" s="29"/>
      <c r="D8646" s="29"/>
      <c r="E8646" s="20"/>
      <c r="F8646" s="20"/>
      <c r="AC8646" s="20"/>
      <c r="AG8646" s="29"/>
    </row>
    <row r="8647" spans="2:33">
      <c r="B8647" s="29"/>
      <c r="D8647" s="29"/>
      <c r="E8647" s="20"/>
      <c r="F8647" s="20"/>
      <c r="AC8647" s="20"/>
      <c r="AG8647" s="29"/>
    </row>
    <row r="8648" spans="2:33">
      <c r="B8648" s="29"/>
      <c r="D8648" s="29"/>
      <c r="E8648" s="20"/>
      <c r="F8648" s="20"/>
      <c r="AC8648" s="20"/>
      <c r="AG8648" s="29"/>
    </row>
    <row r="8649" spans="2:33">
      <c r="B8649" s="29"/>
      <c r="D8649" s="29"/>
      <c r="E8649" s="20"/>
      <c r="F8649" s="20"/>
      <c r="AC8649" s="20"/>
      <c r="AG8649" s="29"/>
    </row>
    <row r="8650" spans="2:33">
      <c r="B8650" s="29"/>
      <c r="D8650" s="29"/>
      <c r="E8650" s="20"/>
      <c r="F8650" s="20"/>
      <c r="AC8650" s="20"/>
      <c r="AG8650" s="29"/>
    </row>
    <row r="8651" spans="2:33">
      <c r="B8651" s="29"/>
      <c r="D8651" s="29"/>
      <c r="E8651" s="20"/>
      <c r="F8651" s="20"/>
      <c r="AC8651" s="20"/>
      <c r="AG8651" s="29"/>
    </row>
    <row r="8652" spans="2:33">
      <c r="B8652" s="29"/>
      <c r="D8652" s="29"/>
      <c r="E8652" s="20"/>
      <c r="F8652" s="20"/>
      <c r="AC8652" s="20"/>
      <c r="AG8652" s="29"/>
    </row>
    <row r="8653" spans="2:33">
      <c r="B8653" s="29"/>
      <c r="D8653" s="29"/>
      <c r="E8653" s="20"/>
      <c r="F8653" s="20"/>
      <c r="AC8653" s="20"/>
      <c r="AG8653" s="29"/>
    </row>
    <row r="8654" spans="2:33">
      <c r="B8654" s="29"/>
      <c r="D8654" s="29"/>
      <c r="E8654" s="20"/>
      <c r="F8654" s="20"/>
      <c r="AC8654" s="20"/>
      <c r="AG8654" s="29"/>
    </row>
    <row r="8655" spans="2:33">
      <c r="B8655" s="29"/>
      <c r="D8655" s="29"/>
      <c r="E8655" s="20"/>
      <c r="F8655" s="20"/>
      <c r="AC8655" s="20"/>
      <c r="AG8655" s="29"/>
    </row>
    <row r="8656" spans="2:33">
      <c r="B8656" s="29"/>
      <c r="D8656" s="29"/>
      <c r="E8656" s="20"/>
      <c r="F8656" s="20"/>
      <c r="AC8656" s="20"/>
      <c r="AG8656" s="29"/>
    </row>
    <row r="8657" spans="2:33">
      <c r="B8657" s="29"/>
      <c r="D8657" s="29"/>
      <c r="E8657" s="20"/>
      <c r="F8657" s="20"/>
      <c r="AC8657" s="20"/>
      <c r="AG8657" s="29"/>
    </row>
    <row r="8658" spans="2:33">
      <c r="B8658" s="29"/>
      <c r="D8658" s="29"/>
      <c r="E8658" s="20"/>
      <c r="F8658" s="20"/>
      <c r="AC8658" s="20"/>
      <c r="AG8658" s="29"/>
    </row>
    <row r="8659" spans="2:33">
      <c r="B8659" s="29"/>
      <c r="D8659" s="29"/>
      <c r="E8659" s="20"/>
      <c r="F8659" s="20"/>
      <c r="AC8659" s="20"/>
      <c r="AG8659" s="29"/>
    </row>
    <row r="8660" spans="2:33">
      <c r="B8660" s="29"/>
      <c r="D8660" s="29"/>
      <c r="E8660" s="20"/>
      <c r="F8660" s="20"/>
      <c r="AC8660" s="20"/>
      <c r="AG8660" s="29"/>
    </row>
    <row r="8661" spans="2:33">
      <c r="B8661" s="29"/>
      <c r="D8661" s="29"/>
      <c r="E8661" s="20"/>
      <c r="F8661" s="20"/>
      <c r="AC8661" s="20"/>
      <c r="AG8661" s="29"/>
    </row>
    <row r="8662" spans="2:33">
      <c r="B8662" s="29"/>
      <c r="D8662" s="29"/>
      <c r="E8662" s="20"/>
      <c r="F8662" s="20"/>
      <c r="AC8662" s="20"/>
      <c r="AG8662" s="29"/>
    </row>
    <row r="8663" spans="2:33">
      <c r="B8663" s="29"/>
      <c r="D8663" s="29"/>
      <c r="E8663" s="20"/>
      <c r="F8663" s="20"/>
      <c r="AC8663" s="20"/>
      <c r="AG8663" s="29"/>
    </row>
    <row r="8664" spans="2:33">
      <c r="B8664" s="29"/>
      <c r="D8664" s="29"/>
      <c r="E8664" s="20"/>
      <c r="F8664" s="20"/>
      <c r="AC8664" s="20"/>
      <c r="AG8664" s="29"/>
    </row>
    <row r="8665" spans="2:33">
      <c r="B8665" s="29"/>
      <c r="D8665" s="29"/>
      <c r="E8665" s="20"/>
      <c r="F8665" s="20"/>
      <c r="AC8665" s="20"/>
      <c r="AG8665" s="29"/>
    </row>
    <row r="8666" spans="2:33">
      <c r="B8666" s="29"/>
      <c r="D8666" s="29"/>
      <c r="E8666" s="20"/>
      <c r="F8666" s="20"/>
      <c r="AC8666" s="20"/>
      <c r="AG8666" s="29"/>
    </row>
    <row r="8667" spans="2:33">
      <c r="B8667" s="29"/>
      <c r="D8667" s="29"/>
      <c r="E8667" s="20"/>
      <c r="F8667" s="20"/>
      <c r="AC8667" s="20"/>
      <c r="AG8667" s="29"/>
    </row>
    <row r="8668" spans="2:33">
      <c r="B8668" s="29"/>
      <c r="D8668" s="29"/>
      <c r="E8668" s="20"/>
      <c r="F8668" s="20"/>
      <c r="AC8668" s="20"/>
      <c r="AG8668" s="29"/>
    </row>
    <row r="8669" spans="2:33">
      <c r="B8669" s="29"/>
      <c r="D8669" s="29"/>
      <c r="E8669" s="20"/>
      <c r="F8669" s="20"/>
      <c r="AC8669" s="20"/>
      <c r="AG8669" s="29"/>
    </row>
    <row r="8670" spans="2:33">
      <c r="B8670" s="29"/>
      <c r="D8670" s="29"/>
      <c r="E8670" s="20"/>
      <c r="F8670" s="20"/>
      <c r="AC8670" s="20"/>
      <c r="AG8670" s="29"/>
    </row>
    <row r="8671" spans="2:33">
      <c r="B8671" s="29"/>
      <c r="D8671" s="29"/>
      <c r="E8671" s="20"/>
      <c r="F8671" s="20"/>
      <c r="AC8671" s="20"/>
      <c r="AG8671" s="29"/>
    </row>
    <row r="8672" spans="2:33">
      <c r="B8672" s="29"/>
      <c r="D8672" s="29"/>
      <c r="E8672" s="20"/>
      <c r="F8672" s="20"/>
      <c r="AC8672" s="20"/>
      <c r="AG8672" s="29"/>
    </row>
    <row r="8673" spans="2:33">
      <c r="B8673" s="29"/>
      <c r="D8673" s="29"/>
      <c r="E8673" s="20"/>
      <c r="F8673" s="20"/>
      <c r="AC8673" s="20"/>
      <c r="AG8673" s="29"/>
    </row>
    <row r="8674" spans="2:33">
      <c r="B8674" s="29"/>
      <c r="D8674" s="29"/>
      <c r="E8674" s="20"/>
      <c r="F8674" s="20"/>
      <c r="AC8674" s="20"/>
      <c r="AG8674" s="29"/>
    </row>
    <row r="8675" spans="2:33">
      <c r="B8675" s="29"/>
      <c r="D8675" s="29"/>
      <c r="E8675" s="20"/>
      <c r="F8675" s="20"/>
      <c r="AC8675" s="20"/>
      <c r="AG8675" s="29"/>
    </row>
    <row r="8676" spans="2:33">
      <c r="B8676" s="29"/>
      <c r="D8676" s="29"/>
      <c r="E8676" s="20"/>
      <c r="F8676" s="20"/>
      <c r="AC8676" s="20"/>
      <c r="AG8676" s="29"/>
    </row>
    <row r="8677" spans="2:33">
      <c r="B8677" s="29"/>
      <c r="D8677" s="29"/>
      <c r="E8677" s="20"/>
      <c r="F8677" s="20"/>
      <c r="AC8677" s="20"/>
      <c r="AG8677" s="29"/>
    </row>
    <row r="8678" spans="2:33">
      <c r="B8678" s="29"/>
      <c r="D8678" s="29"/>
      <c r="E8678" s="20"/>
      <c r="F8678" s="20"/>
      <c r="AC8678" s="20"/>
      <c r="AG8678" s="29"/>
    </row>
    <row r="8679" spans="2:33">
      <c r="B8679" s="29"/>
      <c r="D8679" s="29"/>
      <c r="E8679" s="20"/>
      <c r="F8679" s="20"/>
      <c r="AC8679" s="20"/>
      <c r="AG8679" s="29"/>
    </row>
    <row r="8680" spans="2:33">
      <c r="B8680" s="29"/>
      <c r="D8680" s="29"/>
      <c r="E8680" s="20"/>
      <c r="F8680" s="20"/>
      <c r="AC8680" s="20"/>
      <c r="AG8680" s="29"/>
    </row>
    <row r="8681" spans="2:33">
      <c r="B8681" s="29"/>
      <c r="D8681" s="29"/>
      <c r="E8681" s="20"/>
      <c r="F8681" s="20"/>
      <c r="AC8681" s="20"/>
      <c r="AG8681" s="29"/>
    </row>
    <row r="8682" spans="2:33">
      <c r="B8682" s="29"/>
      <c r="D8682" s="29"/>
      <c r="E8682" s="20"/>
      <c r="F8682" s="20"/>
      <c r="AC8682" s="20"/>
      <c r="AG8682" s="29"/>
    </row>
    <row r="8683" spans="2:33">
      <c r="B8683" s="29"/>
      <c r="D8683" s="29"/>
      <c r="E8683" s="20"/>
      <c r="F8683" s="20"/>
      <c r="AC8683" s="20"/>
      <c r="AG8683" s="29"/>
    </row>
    <row r="8684" spans="2:33">
      <c r="B8684" s="29"/>
      <c r="D8684" s="29"/>
      <c r="E8684" s="20"/>
      <c r="F8684" s="20"/>
      <c r="AC8684" s="20"/>
      <c r="AG8684" s="29"/>
    </row>
    <row r="8685" spans="2:33">
      <c r="B8685" s="29"/>
      <c r="D8685" s="29"/>
      <c r="E8685" s="20"/>
      <c r="F8685" s="20"/>
      <c r="AC8685" s="20"/>
      <c r="AG8685" s="29"/>
    </row>
    <row r="8686" spans="2:33">
      <c r="B8686" s="29"/>
      <c r="D8686" s="29"/>
      <c r="E8686" s="20"/>
      <c r="F8686" s="20"/>
      <c r="AC8686" s="20"/>
      <c r="AG8686" s="29"/>
    </row>
    <row r="8687" spans="2:33">
      <c r="B8687" s="29"/>
      <c r="D8687" s="29"/>
      <c r="E8687" s="20"/>
      <c r="F8687" s="20"/>
      <c r="AC8687" s="20"/>
      <c r="AG8687" s="29"/>
    </row>
    <row r="8688" spans="2:33">
      <c r="B8688" s="29"/>
      <c r="D8688" s="29"/>
      <c r="E8688" s="20"/>
      <c r="F8688" s="20"/>
      <c r="AC8688" s="20"/>
      <c r="AG8688" s="29"/>
    </row>
    <row r="8689" spans="2:33">
      <c r="B8689" s="29"/>
      <c r="D8689" s="29"/>
      <c r="E8689" s="20"/>
      <c r="F8689" s="20"/>
      <c r="AC8689" s="20"/>
      <c r="AG8689" s="29"/>
    </row>
    <row r="8690" spans="2:33">
      <c r="B8690" s="29"/>
      <c r="D8690" s="29"/>
      <c r="E8690" s="20"/>
      <c r="F8690" s="20"/>
      <c r="AC8690" s="20"/>
      <c r="AG8690" s="29"/>
    </row>
    <row r="8691" spans="2:33">
      <c r="B8691" s="29"/>
      <c r="D8691" s="29"/>
      <c r="E8691" s="20"/>
      <c r="F8691" s="20"/>
      <c r="AC8691" s="20"/>
      <c r="AG8691" s="29"/>
    </row>
    <row r="8692" spans="2:33">
      <c r="B8692" s="29"/>
      <c r="D8692" s="29"/>
      <c r="E8692" s="20"/>
      <c r="F8692" s="20"/>
      <c r="AC8692" s="20"/>
      <c r="AG8692" s="29"/>
    </row>
    <row r="8693" spans="2:33">
      <c r="B8693" s="29"/>
      <c r="D8693" s="29"/>
      <c r="E8693" s="20"/>
      <c r="F8693" s="20"/>
      <c r="AC8693" s="20"/>
      <c r="AG8693" s="29"/>
    </row>
    <row r="8694" spans="2:33">
      <c r="B8694" s="29"/>
      <c r="D8694" s="29"/>
      <c r="E8694" s="20"/>
      <c r="F8694" s="20"/>
      <c r="AC8694" s="20"/>
      <c r="AG8694" s="29"/>
    </row>
    <row r="8695" spans="2:33">
      <c r="B8695" s="29"/>
      <c r="D8695" s="29"/>
      <c r="E8695" s="20"/>
      <c r="F8695" s="20"/>
      <c r="AC8695" s="20"/>
      <c r="AG8695" s="29"/>
    </row>
    <row r="8696" spans="2:33">
      <c r="B8696" s="29"/>
      <c r="D8696" s="29"/>
      <c r="E8696" s="20"/>
      <c r="F8696" s="20"/>
      <c r="AC8696" s="20"/>
      <c r="AG8696" s="29"/>
    </row>
    <row r="8697" spans="2:33">
      <c r="B8697" s="29"/>
      <c r="D8697" s="29"/>
      <c r="E8697" s="20"/>
      <c r="F8697" s="20"/>
      <c r="AC8697" s="20"/>
      <c r="AG8697" s="29"/>
    </row>
    <row r="8698" spans="2:33">
      <c r="B8698" s="29"/>
      <c r="D8698" s="29"/>
      <c r="E8698" s="20"/>
      <c r="F8698" s="20"/>
      <c r="AC8698" s="20"/>
      <c r="AG8698" s="29"/>
    </row>
    <row r="8699" spans="2:33">
      <c r="B8699" s="29"/>
      <c r="D8699" s="29"/>
      <c r="E8699" s="20"/>
      <c r="F8699" s="20"/>
      <c r="AC8699" s="20"/>
      <c r="AG8699" s="29"/>
    </row>
    <row r="8700" spans="2:33">
      <c r="B8700" s="29"/>
      <c r="D8700" s="29"/>
      <c r="E8700" s="20"/>
      <c r="F8700" s="20"/>
      <c r="AC8700" s="20"/>
      <c r="AG8700" s="29"/>
    </row>
    <row r="8701" spans="2:33">
      <c r="B8701" s="29"/>
      <c r="D8701" s="29"/>
      <c r="E8701" s="20"/>
      <c r="F8701" s="20"/>
      <c r="AC8701" s="20"/>
      <c r="AG8701" s="29"/>
    </row>
    <row r="8702" spans="2:33">
      <c r="B8702" s="29"/>
      <c r="D8702" s="29"/>
      <c r="E8702" s="20"/>
      <c r="F8702" s="20"/>
      <c r="AC8702" s="20"/>
      <c r="AG8702" s="29"/>
    </row>
    <row r="8703" spans="2:33">
      <c r="B8703" s="29"/>
      <c r="D8703" s="29"/>
      <c r="E8703" s="20"/>
      <c r="F8703" s="20"/>
      <c r="AC8703" s="20"/>
      <c r="AG8703" s="29"/>
    </row>
    <row r="8704" spans="2:33">
      <c r="B8704" s="29"/>
      <c r="D8704" s="29"/>
      <c r="E8704" s="20"/>
      <c r="F8704" s="20"/>
      <c r="AC8704" s="20"/>
      <c r="AG8704" s="29"/>
    </row>
    <row r="8705" spans="2:33">
      <c r="B8705" s="29"/>
      <c r="D8705" s="29"/>
      <c r="E8705" s="20"/>
      <c r="F8705" s="20"/>
      <c r="AC8705" s="20"/>
      <c r="AG8705" s="29"/>
    </row>
    <row r="8706" spans="2:33">
      <c r="B8706" s="29"/>
      <c r="D8706" s="29"/>
      <c r="E8706" s="20"/>
      <c r="F8706" s="20"/>
      <c r="AC8706" s="20"/>
      <c r="AG8706" s="29"/>
    </row>
    <row r="8707" spans="2:33">
      <c r="B8707" s="29"/>
      <c r="D8707" s="29"/>
      <c r="E8707" s="20"/>
      <c r="F8707" s="20"/>
      <c r="AC8707" s="20"/>
      <c r="AG8707" s="29"/>
    </row>
    <row r="8708" spans="2:33">
      <c r="B8708" s="29"/>
      <c r="D8708" s="29"/>
      <c r="E8708" s="20"/>
      <c r="F8708" s="20"/>
      <c r="AC8708" s="20"/>
      <c r="AG8708" s="29"/>
    </row>
    <row r="8709" spans="2:33">
      <c r="B8709" s="29"/>
      <c r="D8709" s="29"/>
      <c r="E8709" s="20"/>
      <c r="F8709" s="20"/>
      <c r="AC8709" s="20"/>
      <c r="AG8709" s="29"/>
    </row>
    <row r="8710" spans="2:33">
      <c r="B8710" s="29"/>
      <c r="D8710" s="29"/>
      <c r="E8710" s="20"/>
      <c r="F8710" s="20"/>
      <c r="AC8710" s="20"/>
      <c r="AG8710" s="29"/>
    </row>
    <row r="8711" spans="2:33">
      <c r="B8711" s="29"/>
      <c r="D8711" s="29"/>
      <c r="E8711" s="20"/>
      <c r="F8711" s="20"/>
      <c r="AC8711" s="20"/>
      <c r="AG8711" s="29"/>
    </row>
    <row r="8712" spans="2:33">
      <c r="B8712" s="29"/>
      <c r="D8712" s="29"/>
      <c r="E8712" s="20"/>
      <c r="F8712" s="20"/>
      <c r="AC8712" s="20"/>
      <c r="AG8712" s="29"/>
    </row>
    <row r="8713" spans="2:33">
      <c r="B8713" s="29"/>
      <c r="D8713" s="29"/>
      <c r="E8713" s="20"/>
      <c r="F8713" s="20"/>
      <c r="AC8713" s="20"/>
      <c r="AG8713" s="29"/>
    </row>
    <row r="8714" spans="2:33">
      <c r="B8714" s="29"/>
      <c r="D8714" s="29"/>
      <c r="E8714" s="20"/>
      <c r="F8714" s="20"/>
      <c r="AC8714" s="20"/>
      <c r="AG8714" s="29"/>
    </row>
    <row r="8715" spans="2:33">
      <c r="B8715" s="29"/>
      <c r="D8715" s="29"/>
      <c r="E8715" s="20"/>
      <c r="F8715" s="20"/>
      <c r="AC8715" s="20"/>
      <c r="AG8715" s="29"/>
    </row>
    <row r="8716" spans="2:33">
      <c r="B8716" s="29"/>
      <c r="D8716" s="29"/>
      <c r="E8716" s="20"/>
      <c r="F8716" s="20"/>
      <c r="AC8716" s="20"/>
      <c r="AG8716" s="29"/>
    </row>
    <row r="8717" spans="2:33">
      <c r="B8717" s="29"/>
      <c r="D8717" s="29"/>
      <c r="E8717" s="20"/>
      <c r="F8717" s="20"/>
      <c r="AC8717" s="20"/>
      <c r="AG8717" s="29"/>
    </row>
    <row r="8718" spans="2:33">
      <c r="B8718" s="29"/>
      <c r="D8718" s="29"/>
      <c r="E8718" s="20"/>
      <c r="F8718" s="20"/>
      <c r="AC8718" s="20"/>
      <c r="AG8718" s="29"/>
    </row>
    <row r="8719" spans="2:33">
      <c r="B8719" s="29"/>
      <c r="D8719" s="29"/>
      <c r="E8719" s="20"/>
      <c r="F8719" s="20"/>
      <c r="AC8719" s="20"/>
      <c r="AG8719" s="29"/>
    </row>
    <row r="8720" spans="2:33">
      <c r="B8720" s="29"/>
      <c r="D8720" s="29"/>
      <c r="E8720" s="20"/>
      <c r="F8720" s="20"/>
      <c r="AC8720" s="20"/>
      <c r="AG8720" s="29"/>
    </row>
    <row r="8721" spans="2:33">
      <c r="B8721" s="29"/>
      <c r="D8721" s="29"/>
      <c r="E8721" s="20"/>
      <c r="F8721" s="20"/>
      <c r="AC8721" s="20"/>
      <c r="AG8721" s="29"/>
    </row>
    <row r="8722" spans="2:33">
      <c r="B8722" s="29"/>
      <c r="D8722" s="29"/>
      <c r="E8722" s="20"/>
      <c r="F8722" s="20"/>
      <c r="AC8722" s="20"/>
      <c r="AG8722" s="29"/>
    </row>
    <row r="8723" spans="2:33">
      <c r="B8723" s="29"/>
      <c r="D8723" s="29"/>
      <c r="E8723" s="20"/>
      <c r="F8723" s="20"/>
      <c r="AC8723" s="20"/>
      <c r="AG8723" s="29"/>
    </row>
    <row r="8724" spans="2:33">
      <c r="B8724" s="29"/>
      <c r="D8724" s="29"/>
      <c r="E8724" s="20"/>
      <c r="F8724" s="20"/>
      <c r="AC8724" s="20"/>
      <c r="AG8724" s="29"/>
    </row>
    <row r="8725" spans="2:33">
      <c r="B8725" s="29"/>
      <c r="D8725" s="29"/>
      <c r="E8725" s="20"/>
      <c r="F8725" s="20"/>
      <c r="AC8725" s="20"/>
      <c r="AG8725" s="29"/>
    </row>
    <row r="8726" spans="2:33">
      <c r="B8726" s="29"/>
      <c r="D8726" s="29"/>
      <c r="E8726" s="20"/>
      <c r="F8726" s="20"/>
      <c r="AC8726" s="20"/>
      <c r="AG8726" s="29"/>
    </row>
    <row r="8727" spans="2:33">
      <c r="B8727" s="29"/>
      <c r="D8727" s="29"/>
      <c r="E8727" s="20"/>
      <c r="F8727" s="20"/>
      <c r="AC8727" s="20"/>
      <c r="AG8727" s="29"/>
    </row>
    <row r="8728" spans="2:33">
      <c r="B8728" s="29"/>
      <c r="D8728" s="29"/>
      <c r="E8728" s="20"/>
      <c r="F8728" s="20"/>
      <c r="AC8728" s="20"/>
      <c r="AG8728" s="29"/>
    </row>
    <row r="8729" spans="2:33">
      <c r="B8729" s="29"/>
      <c r="D8729" s="29"/>
      <c r="E8729" s="20"/>
      <c r="F8729" s="20"/>
      <c r="AC8729" s="20"/>
      <c r="AG8729" s="29"/>
    </row>
    <row r="8730" spans="2:33">
      <c r="B8730" s="29"/>
      <c r="D8730" s="29"/>
      <c r="E8730" s="20"/>
      <c r="F8730" s="20"/>
      <c r="AC8730" s="20"/>
      <c r="AG8730" s="29"/>
    </row>
    <row r="8731" spans="2:33">
      <c r="B8731" s="29"/>
      <c r="D8731" s="29"/>
      <c r="E8731" s="20"/>
      <c r="F8731" s="20"/>
      <c r="AC8731" s="20"/>
      <c r="AG8731" s="29"/>
    </row>
    <row r="8732" spans="2:33">
      <c r="B8732" s="29"/>
      <c r="D8732" s="29"/>
      <c r="E8732" s="20"/>
      <c r="F8732" s="20"/>
      <c r="AC8732" s="20"/>
      <c r="AG8732" s="29"/>
    </row>
    <row r="8733" spans="2:33">
      <c r="B8733" s="29"/>
      <c r="D8733" s="29"/>
      <c r="E8733" s="20"/>
      <c r="F8733" s="20"/>
      <c r="AC8733" s="20"/>
      <c r="AG8733" s="29"/>
    </row>
    <row r="8734" spans="2:33">
      <c r="B8734" s="29"/>
      <c r="D8734" s="29"/>
      <c r="E8734" s="20"/>
      <c r="F8734" s="20"/>
      <c r="AC8734" s="20"/>
      <c r="AG8734" s="29"/>
    </row>
    <row r="8735" spans="2:33">
      <c r="B8735" s="29"/>
      <c r="D8735" s="29"/>
      <c r="E8735" s="20"/>
      <c r="F8735" s="20"/>
      <c r="AC8735" s="20"/>
      <c r="AG8735" s="29"/>
    </row>
    <row r="8736" spans="2:33">
      <c r="B8736" s="29"/>
      <c r="D8736" s="29"/>
      <c r="E8736" s="20"/>
      <c r="F8736" s="20"/>
      <c r="AC8736" s="20"/>
      <c r="AG8736" s="29"/>
    </row>
    <row r="8737" spans="2:33">
      <c r="B8737" s="29"/>
      <c r="D8737" s="29"/>
      <c r="E8737" s="20"/>
      <c r="F8737" s="20"/>
      <c r="AC8737" s="20"/>
      <c r="AG8737" s="29"/>
    </row>
    <row r="8738" spans="2:33">
      <c r="B8738" s="29"/>
      <c r="D8738" s="29"/>
      <c r="E8738" s="20"/>
      <c r="F8738" s="20"/>
      <c r="AC8738" s="20"/>
      <c r="AG8738" s="29"/>
    </row>
    <row r="8739" spans="2:33">
      <c r="B8739" s="29"/>
      <c r="D8739" s="29"/>
      <c r="E8739" s="20"/>
      <c r="F8739" s="20"/>
      <c r="AC8739" s="20"/>
      <c r="AG8739" s="29"/>
    </row>
    <row r="8740" spans="2:33">
      <c r="B8740" s="29"/>
      <c r="D8740" s="29"/>
      <c r="E8740" s="20"/>
      <c r="F8740" s="20"/>
      <c r="AC8740" s="20"/>
      <c r="AG8740" s="29"/>
    </row>
    <row r="8741" spans="2:33">
      <c r="B8741" s="29"/>
      <c r="D8741" s="29"/>
      <c r="E8741" s="20"/>
      <c r="F8741" s="20"/>
      <c r="AC8741" s="20"/>
      <c r="AG8741" s="29"/>
    </row>
    <row r="8742" spans="2:33">
      <c r="B8742" s="29"/>
      <c r="D8742" s="29"/>
      <c r="E8742" s="20"/>
      <c r="F8742" s="20"/>
      <c r="AC8742" s="20"/>
      <c r="AG8742" s="29"/>
    </row>
    <row r="8743" spans="2:33">
      <c r="B8743" s="29"/>
      <c r="D8743" s="29"/>
      <c r="E8743" s="20"/>
      <c r="F8743" s="20"/>
      <c r="AC8743" s="20"/>
      <c r="AG8743" s="29"/>
    </row>
    <row r="8744" spans="2:33">
      <c r="B8744" s="29"/>
      <c r="D8744" s="29"/>
      <c r="E8744" s="20"/>
      <c r="F8744" s="20"/>
      <c r="AC8744" s="20"/>
      <c r="AG8744" s="29"/>
    </row>
    <row r="8745" spans="2:33">
      <c r="B8745" s="29"/>
      <c r="D8745" s="29"/>
      <c r="E8745" s="20"/>
      <c r="F8745" s="20"/>
      <c r="AC8745" s="20"/>
      <c r="AG8745" s="29"/>
    </row>
    <row r="8746" spans="2:33">
      <c r="B8746" s="29"/>
      <c r="D8746" s="29"/>
      <c r="E8746" s="20"/>
      <c r="F8746" s="20"/>
      <c r="AC8746" s="20"/>
      <c r="AG8746" s="29"/>
    </row>
    <row r="8747" spans="2:33">
      <c r="B8747" s="29"/>
      <c r="D8747" s="29"/>
      <c r="E8747" s="20"/>
      <c r="F8747" s="20"/>
      <c r="AC8747" s="20"/>
      <c r="AG8747" s="29"/>
    </row>
    <row r="8748" spans="2:33">
      <c r="B8748" s="29"/>
      <c r="D8748" s="29"/>
      <c r="E8748" s="20"/>
      <c r="F8748" s="20"/>
      <c r="AC8748" s="20"/>
      <c r="AG8748" s="29"/>
    </row>
    <row r="8749" spans="2:33">
      <c r="B8749" s="29"/>
      <c r="D8749" s="29"/>
      <c r="E8749" s="20"/>
      <c r="F8749" s="20"/>
      <c r="AC8749" s="20"/>
      <c r="AG8749" s="29"/>
    </row>
    <row r="8750" spans="2:33">
      <c r="B8750" s="29"/>
      <c r="D8750" s="29"/>
      <c r="E8750" s="20"/>
      <c r="F8750" s="20"/>
      <c r="AC8750" s="20"/>
      <c r="AG8750" s="29"/>
    </row>
    <row r="8751" spans="2:33">
      <c r="B8751" s="29"/>
      <c r="D8751" s="29"/>
      <c r="E8751" s="20"/>
      <c r="F8751" s="20"/>
      <c r="AC8751" s="20"/>
      <c r="AG8751" s="29"/>
    </row>
    <row r="8752" spans="2:33">
      <c r="B8752" s="29"/>
      <c r="D8752" s="29"/>
      <c r="E8752" s="20"/>
      <c r="F8752" s="20"/>
      <c r="AC8752" s="20"/>
      <c r="AG8752" s="29"/>
    </row>
    <row r="8753" spans="2:33">
      <c r="B8753" s="29"/>
      <c r="D8753" s="29"/>
      <c r="E8753" s="20"/>
      <c r="F8753" s="20"/>
      <c r="AC8753" s="20"/>
      <c r="AG8753" s="29"/>
    </row>
    <row r="8754" spans="2:33">
      <c r="B8754" s="29"/>
      <c r="D8754" s="29"/>
      <c r="E8754" s="20"/>
      <c r="F8754" s="20"/>
      <c r="AC8754" s="20"/>
      <c r="AG8754" s="29"/>
    </row>
    <row r="8755" spans="2:33">
      <c r="B8755" s="29"/>
      <c r="D8755" s="29"/>
      <c r="E8755" s="20"/>
      <c r="F8755" s="20"/>
      <c r="AC8755" s="20"/>
      <c r="AG8755" s="29"/>
    </row>
    <row r="8756" spans="2:33">
      <c r="B8756" s="29"/>
      <c r="D8756" s="29"/>
      <c r="E8756" s="20"/>
      <c r="F8756" s="20"/>
      <c r="AC8756" s="20"/>
      <c r="AG8756" s="29"/>
    </row>
    <row r="8757" spans="2:33">
      <c r="B8757" s="29"/>
      <c r="D8757" s="29"/>
      <c r="E8757" s="20"/>
      <c r="F8757" s="20"/>
      <c r="AC8757" s="20"/>
      <c r="AG8757" s="29"/>
    </row>
    <row r="8758" spans="2:33">
      <c r="B8758" s="29"/>
      <c r="D8758" s="29"/>
      <c r="E8758" s="20"/>
      <c r="F8758" s="20"/>
      <c r="AC8758" s="20"/>
      <c r="AG8758" s="29"/>
    </row>
    <row r="8759" spans="2:33">
      <c r="B8759" s="29"/>
      <c r="D8759" s="29"/>
      <c r="E8759" s="20"/>
      <c r="F8759" s="20"/>
      <c r="AC8759" s="20"/>
      <c r="AG8759" s="29"/>
    </row>
    <row r="8760" spans="2:33">
      <c r="B8760" s="29"/>
      <c r="D8760" s="29"/>
      <c r="E8760" s="20"/>
      <c r="F8760" s="20"/>
      <c r="AC8760" s="20"/>
      <c r="AG8760" s="29"/>
    </row>
    <row r="8761" spans="2:33">
      <c r="B8761" s="29"/>
      <c r="D8761" s="29"/>
      <c r="E8761" s="20"/>
      <c r="F8761" s="20"/>
      <c r="AC8761" s="20"/>
      <c r="AG8761" s="29"/>
    </row>
    <row r="8762" spans="2:33">
      <c r="B8762" s="29"/>
      <c r="D8762" s="29"/>
      <c r="E8762" s="20"/>
      <c r="F8762" s="20"/>
      <c r="AC8762" s="20"/>
      <c r="AG8762" s="29"/>
    </row>
    <row r="8763" spans="2:33">
      <c r="B8763" s="29"/>
      <c r="D8763" s="29"/>
      <c r="E8763" s="20"/>
      <c r="F8763" s="20"/>
      <c r="AC8763" s="20"/>
      <c r="AG8763" s="29"/>
    </row>
    <row r="8764" spans="2:33">
      <c r="B8764" s="29"/>
      <c r="D8764" s="29"/>
      <c r="E8764" s="20"/>
      <c r="F8764" s="20"/>
      <c r="AC8764" s="20"/>
      <c r="AG8764" s="29"/>
    </row>
    <row r="8765" spans="2:33">
      <c r="B8765" s="29"/>
      <c r="D8765" s="29"/>
      <c r="E8765" s="20"/>
      <c r="F8765" s="20"/>
      <c r="AC8765" s="20"/>
      <c r="AG8765" s="29"/>
    </row>
    <row r="8766" spans="2:33">
      <c r="B8766" s="29"/>
      <c r="D8766" s="29"/>
      <c r="E8766" s="20"/>
      <c r="F8766" s="20"/>
      <c r="AC8766" s="20"/>
      <c r="AG8766" s="29"/>
    </row>
    <row r="8767" spans="2:33">
      <c r="B8767" s="29"/>
      <c r="D8767" s="29"/>
      <c r="E8767" s="20"/>
      <c r="F8767" s="20"/>
      <c r="AC8767" s="20"/>
      <c r="AG8767" s="29"/>
    </row>
    <row r="8768" spans="2:33">
      <c r="B8768" s="29"/>
      <c r="D8768" s="29"/>
      <c r="E8768" s="20"/>
      <c r="F8768" s="20"/>
      <c r="AC8768" s="20"/>
      <c r="AG8768" s="29"/>
    </row>
    <row r="8769" spans="2:33">
      <c r="B8769" s="29"/>
      <c r="D8769" s="29"/>
      <c r="E8769" s="20"/>
      <c r="F8769" s="20"/>
      <c r="AC8769" s="20"/>
      <c r="AG8769" s="29"/>
    </row>
    <row r="8770" spans="2:33">
      <c r="B8770" s="29"/>
      <c r="D8770" s="29"/>
      <c r="E8770" s="20"/>
      <c r="F8770" s="20"/>
      <c r="AC8770" s="20"/>
      <c r="AG8770" s="29"/>
    </row>
    <row r="8771" spans="2:33">
      <c r="B8771" s="29"/>
      <c r="D8771" s="29"/>
      <c r="E8771" s="20"/>
      <c r="F8771" s="20"/>
      <c r="AC8771" s="20"/>
      <c r="AG8771" s="29"/>
    </row>
    <row r="8772" spans="2:33">
      <c r="B8772" s="29"/>
      <c r="D8772" s="29"/>
      <c r="E8772" s="20"/>
      <c r="F8772" s="20"/>
      <c r="AC8772" s="20"/>
      <c r="AG8772" s="29"/>
    </row>
    <row r="8773" spans="2:33">
      <c r="B8773" s="29"/>
      <c r="D8773" s="29"/>
      <c r="E8773" s="20"/>
      <c r="F8773" s="20"/>
      <c r="AC8773" s="20"/>
      <c r="AG8773" s="29"/>
    </row>
    <row r="8774" spans="2:33">
      <c r="B8774" s="29"/>
      <c r="D8774" s="29"/>
      <c r="E8774" s="20"/>
      <c r="F8774" s="20"/>
      <c r="AC8774" s="20"/>
      <c r="AG8774" s="29"/>
    </row>
    <row r="8775" spans="2:33">
      <c r="B8775" s="29"/>
      <c r="D8775" s="29"/>
      <c r="E8775" s="20"/>
      <c r="F8775" s="20"/>
      <c r="AC8775" s="20"/>
      <c r="AG8775" s="29"/>
    </row>
    <row r="8776" spans="2:33">
      <c r="B8776" s="29"/>
      <c r="D8776" s="29"/>
      <c r="E8776" s="20"/>
      <c r="F8776" s="20"/>
      <c r="AC8776" s="20"/>
      <c r="AG8776" s="29"/>
    </row>
    <row r="8777" spans="2:33">
      <c r="B8777" s="29"/>
      <c r="D8777" s="29"/>
      <c r="E8777" s="20"/>
      <c r="F8777" s="20"/>
      <c r="AC8777" s="20"/>
      <c r="AG8777" s="29"/>
    </row>
    <row r="8778" spans="2:33">
      <c r="B8778" s="29"/>
      <c r="D8778" s="29"/>
      <c r="E8778" s="20"/>
      <c r="F8778" s="20"/>
      <c r="AC8778" s="20"/>
      <c r="AG8778" s="29"/>
    </row>
    <row r="8779" spans="2:33">
      <c r="B8779" s="29"/>
      <c r="D8779" s="29"/>
      <c r="E8779" s="20"/>
      <c r="F8779" s="20"/>
      <c r="AC8779" s="20"/>
      <c r="AG8779" s="29"/>
    </row>
    <row r="8780" spans="2:33">
      <c r="B8780" s="29"/>
      <c r="D8780" s="29"/>
      <c r="E8780" s="20"/>
      <c r="F8780" s="20"/>
      <c r="AC8780" s="20"/>
      <c r="AG8780" s="29"/>
    </row>
    <row r="8781" spans="2:33">
      <c r="B8781" s="29"/>
      <c r="D8781" s="29"/>
      <c r="E8781" s="20"/>
      <c r="F8781" s="20"/>
      <c r="AC8781" s="20"/>
      <c r="AG8781" s="29"/>
    </row>
    <row r="8782" spans="2:33">
      <c r="B8782" s="29"/>
      <c r="D8782" s="29"/>
      <c r="E8782" s="20"/>
      <c r="F8782" s="20"/>
      <c r="AC8782" s="20"/>
      <c r="AG8782" s="29"/>
    </row>
    <row r="8783" spans="2:33">
      <c r="B8783" s="29"/>
      <c r="D8783" s="29"/>
      <c r="E8783" s="20"/>
      <c r="F8783" s="20"/>
      <c r="AC8783" s="20"/>
      <c r="AG8783" s="29"/>
    </row>
    <row r="8784" spans="2:33">
      <c r="B8784" s="29"/>
      <c r="D8784" s="29"/>
      <c r="E8784" s="20"/>
      <c r="F8784" s="20"/>
      <c r="AC8784" s="20"/>
      <c r="AG8784" s="29"/>
    </row>
    <row r="8785" spans="2:33">
      <c r="B8785" s="29"/>
      <c r="D8785" s="29"/>
      <c r="E8785" s="20"/>
      <c r="F8785" s="20"/>
      <c r="AC8785" s="20"/>
      <c r="AG8785" s="29"/>
    </row>
    <row r="8786" spans="2:33">
      <c r="B8786" s="29"/>
      <c r="D8786" s="29"/>
      <c r="E8786" s="20"/>
      <c r="F8786" s="20"/>
      <c r="AC8786" s="20"/>
      <c r="AG8786" s="29"/>
    </row>
    <row r="8787" spans="2:33">
      <c r="B8787" s="29"/>
      <c r="D8787" s="29"/>
      <c r="E8787" s="20"/>
      <c r="F8787" s="20"/>
      <c r="AC8787" s="20"/>
      <c r="AG8787" s="29"/>
    </row>
    <row r="8788" spans="2:33">
      <c r="B8788" s="29"/>
      <c r="D8788" s="29"/>
      <c r="E8788" s="20"/>
      <c r="F8788" s="20"/>
      <c r="AC8788" s="20"/>
      <c r="AG8788" s="29"/>
    </row>
    <row r="8789" spans="2:33">
      <c r="B8789" s="29"/>
      <c r="D8789" s="29"/>
      <c r="E8789" s="20"/>
      <c r="F8789" s="20"/>
      <c r="AC8789" s="20"/>
      <c r="AG8789" s="29"/>
    </row>
    <row r="8790" spans="2:33">
      <c r="B8790" s="29"/>
      <c r="D8790" s="29"/>
      <c r="E8790" s="20"/>
      <c r="F8790" s="20"/>
      <c r="AC8790" s="20"/>
      <c r="AG8790" s="29"/>
    </row>
    <row r="8791" spans="2:33">
      <c r="B8791" s="29"/>
      <c r="D8791" s="29"/>
      <c r="E8791" s="20"/>
      <c r="F8791" s="20"/>
      <c r="AC8791" s="20"/>
      <c r="AG8791" s="29"/>
    </row>
    <row r="8792" spans="2:33">
      <c r="B8792" s="29"/>
      <c r="D8792" s="29"/>
      <c r="E8792" s="20"/>
      <c r="F8792" s="20"/>
      <c r="AC8792" s="20"/>
      <c r="AG8792" s="29"/>
    </row>
    <row r="8793" spans="2:33">
      <c r="B8793" s="29"/>
      <c r="D8793" s="29"/>
      <c r="E8793" s="20"/>
      <c r="F8793" s="20"/>
      <c r="AC8793" s="20"/>
      <c r="AG8793" s="29"/>
    </row>
    <row r="8794" spans="2:33">
      <c r="B8794" s="29"/>
      <c r="D8794" s="29"/>
      <c r="E8794" s="20"/>
      <c r="F8794" s="20"/>
      <c r="AC8794" s="20"/>
      <c r="AG8794" s="29"/>
    </row>
    <row r="8795" spans="2:33">
      <c r="B8795" s="29"/>
      <c r="D8795" s="29"/>
      <c r="E8795" s="20"/>
      <c r="F8795" s="20"/>
      <c r="AC8795" s="20"/>
      <c r="AG8795" s="29"/>
    </row>
    <row r="8796" spans="2:33">
      <c r="B8796" s="29"/>
      <c r="D8796" s="29"/>
      <c r="E8796" s="20"/>
      <c r="F8796" s="20"/>
      <c r="AC8796" s="20"/>
      <c r="AG8796" s="29"/>
    </row>
    <row r="8797" spans="2:33">
      <c r="B8797" s="29"/>
      <c r="D8797" s="29"/>
      <c r="E8797" s="20"/>
      <c r="F8797" s="20"/>
      <c r="AC8797" s="20"/>
      <c r="AG8797" s="29"/>
    </row>
    <row r="8798" spans="2:33">
      <c r="B8798" s="29"/>
      <c r="D8798" s="29"/>
      <c r="E8798" s="20"/>
      <c r="F8798" s="20"/>
      <c r="AC8798" s="20"/>
      <c r="AG8798" s="29"/>
    </row>
    <row r="8799" spans="2:33">
      <c r="B8799" s="29"/>
      <c r="D8799" s="29"/>
      <c r="E8799" s="20"/>
      <c r="F8799" s="20"/>
      <c r="AC8799" s="20"/>
      <c r="AG8799" s="29"/>
    </row>
    <row r="8800" spans="2:33">
      <c r="B8800" s="29"/>
      <c r="D8800" s="29"/>
      <c r="E8800" s="20"/>
      <c r="F8800" s="20"/>
      <c r="AC8800" s="20"/>
      <c r="AG8800" s="29"/>
    </row>
    <row r="8801" spans="2:33">
      <c r="B8801" s="29"/>
      <c r="D8801" s="29"/>
      <c r="E8801" s="20"/>
      <c r="F8801" s="20"/>
      <c r="AC8801" s="20"/>
      <c r="AG8801" s="29"/>
    </row>
    <row r="8802" spans="2:33">
      <c r="B8802" s="29"/>
      <c r="D8802" s="29"/>
      <c r="E8802" s="20"/>
      <c r="F8802" s="20"/>
      <c r="AC8802" s="20"/>
      <c r="AG8802" s="29"/>
    </row>
    <row r="8803" spans="2:33">
      <c r="B8803" s="29"/>
      <c r="D8803" s="29"/>
      <c r="E8803" s="20"/>
      <c r="F8803" s="20"/>
      <c r="AC8803" s="20"/>
      <c r="AG8803" s="29"/>
    </row>
    <row r="8804" spans="2:33">
      <c r="B8804" s="29"/>
      <c r="D8804" s="29"/>
      <c r="E8804" s="20"/>
      <c r="F8804" s="20"/>
      <c r="AC8804" s="20"/>
      <c r="AG8804" s="29"/>
    </row>
    <row r="8805" spans="2:33">
      <c r="B8805" s="29"/>
      <c r="D8805" s="29"/>
      <c r="E8805" s="20"/>
      <c r="F8805" s="20"/>
      <c r="AC8805" s="20"/>
      <c r="AG8805" s="29"/>
    </row>
    <row r="8806" spans="2:33">
      <c r="B8806" s="29"/>
      <c r="D8806" s="29"/>
      <c r="E8806" s="20"/>
      <c r="F8806" s="20"/>
      <c r="AC8806" s="20"/>
      <c r="AG8806" s="29"/>
    </row>
    <row r="8807" spans="2:33">
      <c r="B8807" s="29"/>
      <c r="D8807" s="29"/>
      <c r="E8807" s="20"/>
      <c r="F8807" s="20"/>
      <c r="AC8807" s="20"/>
      <c r="AG8807" s="29"/>
    </row>
    <row r="8808" spans="2:33">
      <c r="B8808" s="29"/>
      <c r="D8808" s="29"/>
      <c r="E8808" s="20"/>
      <c r="F8808" s="20"/>
      <c r="AC8808" s="20"/>
      <c r="AG8808" s="29"/>
    </row>
    <row r="8809" spans="2:33">
      <c r="B8809" s="29"/>
      <c r="D8809" s="29"/>
      <c r="E8809" s="20"/>
      <c r="F8809" s="20"/>
      <c r="AC8809" s="20"/>
      <c r="AG8809" s="29"/>
    </row>
    <row r="8810" spans="2:33">
      <c r="B8810" s="29"/>
      <c r="D8810" s="29"/>
      <c r="E8810" s="20"/>
      <c r="F8810" s="20"/>
      <c r="AC8810" s="20"/>
      <c r="AG8810" s="29"/>
    </row>
    <row r="8811" spans="2:33">
      <c r="B8811" s="29"/>
      <c r="D8811" s="29"/>
      <c r="E8811" s="20"/>
      <c r="F8811" s="20"/>
      <c r="AC8811" s="20"/>
      <c r="AG8811" s="29"/>
    </row>
    <row r="8812" spans="2:33">
      <c r="B8812" s="29"/>
      <c r="D8812" s="29"/>
      <c r="E8812" s="20"/>
      <c r="F8812" s="20"/>
      <c r="AC8812" s="20"/>
      <c r="AG8812" s="29"/>
    </row>
    <row r="8813" spans="2:33">
      <c r="B8813" s="29"/>
      <c r="D8813" s="29"/>
      <c r="E8813" s="20"/>
      <c r="F8813" s="20"/>
      <c r="AC8813" s="20"/>
      <c r="AG8813" s="29"/>
    </row>
    <row r="8814" spans="2:33">
      <c r="B8814" s="29"/>
      <c r="D8814" s="29"/>
      <c r="E8814" s="20"/>
      <c r="F8814" s="20"/>
      <c r="AC8814" s="20"/>
      <c r="AG8814" s="29"/>
    </row>
    <row r="8815" spans="2:33">
      <c r="B8815" s="29"/>
      <c r="D8815" s="29"/>
      <c r="E8815" s="20"/>
      <c r="F8815" s="20"/>
      <c r="AC8815" s="20"/>
      <c r="AG8815" s="29"/>
    </row>
    <row r="8816" spans="2:33">
      <c r="B8816" s="29"/>
      <c r="D8816" s="29"/>
      <c r="E8816" s="20"/>
      <c r="F8816" s="20"/>
      <c r="AC8816" s="20"/>
      <c r="AG8816" s="29"/>
    </row>
    <row r="8817" spans="2:33">
      <c r="B8817" s="29"/>
      <c r="D8817" s="29"/>
      <c r="E8817" s="20"/>
      <c r="F8817" s="20"/>
      <c r="AC8817" s="20"/>
      <c r="AG8817" s="29"/>
    </row>
    <row r="8818" spans="2:33">
      <c r="B8818" s="29"/>
      <c r="D8818" s="29"/>
      <c r="E8818" s="20"/>
      <c r="F8818" s="20"/>
      <c r="AC8818" s="20"/>
      <c r="AG8818" s="29"/>
    </row>
    <row r="8819" spans="2:33">
      <c r="B8819" s="29"/>
      <c r="D8819" s="29"/>
      <c r="E8819" s="20"/>
      <c r="F8819" s="20"/>
      <c r="AC8819" s="20"/>
      <c r="AG8819" s="29"/>
    </row>
    <row r="8820" spans="2:33">
      <c r="B8820" s="29"/>
      <c r="D8820" s="29"/>
      <c r="E8820" s="20"/>
      <c r="F8820" s="20"/>
      <c r="AC8820" s="20"/>
      <c r="AG8820" s="29"/>
    </row>
    <row r="8821" spans="2:33">
      <c r="B8821" s="29"/>
      <c r="D8821" s="29"/>
      <c r="E8821" s="20"/>
      <c r="F8821" s="20"/>
      <c r="AC8821" s="20"/>
      <c r="AG8821" s="29"/>
    </row>
    <row r="8822" spans="2:33">
      <c r="B8822" s="29"/>
      <c r="D8822" s="29"/>
      <c r="E8822" s="20"/>
      <c r="F8822" s="20"/>
      <c r="AC8822" s="20"/>
      <c r="AG8822" s="29"/>
    </row>
    <row r="8823" spans="2:33">
      <c r="B8823" s="29"/>
      <c r="D8823" s="29"/>
      <c r="E8823" s="20"/>
      <c r="F8823" s="20"/>
      <c r="AC8823" s="20"/>
      <c r="AG8823" s="29"/>
    </row>
    <row r="8824" spans="2:33">
      <c r="B8824" s="29"/>
      <c r="D8824" s="29"/>
      <c r="E8824" s="20"/>
      <c r="F8824" s="20"/>
      <c r="AC8824" s="20"/>
      <c r="AG8824" s="29"/>
    </row>
    <row r="8825" spans="2:33">
      <c r="B8825" s="29"/>
      <c r="D8825" s="29"/>
      <c r="E8825" s="20"/>
      <c r="F8825" s="20"/>
      <c r="AC8825" s="20"/>
      <c r="AG8825" s="29"/>
    </row>
    <row r="8826" spans="2:33">
      <c r="B8826" s="29"/>
      <c r="D8826" s="29"/>
      <c r="E8826" s="20"/>
      <c r="F8826" s="20"/>
      <c r="AC8826" s="20"/>
      <c r="AG8826" s="29"/>
    </row>
    <row r="8827" spans="2:33">
      <c r="B8827" s="29"/>
      <c r="D8827" s="29"/>
      <c r="E8827" s="20"/>
      <c r="F8827" s="20"/>
      <c r="AC8827" s="20"/>
      <c r="AG8827" s="29"/>
    </row>
    <row r="8828" spans="2:33">
      <c r="B8828" s="29"/>
      <c r="D8828" s="29"/>
      <c r="E8828" s="20"/>
      <c r="F8828" s="20"/>
      <c r="AC8828" s="20"/>
      <c r="AG8828" s="29"/>
    </row>
    <row r="8829" spans="2:33">
      <c r="B8829" s="29"/>
      <c r="D8829" s="29"/>
      <c r="E8829" s="20"/>
      <c r="F8829" s="20"/>
      <c r="AC8829" s="20"/>
      <c r="AG8829" s="29"/>
    </row>
    <row r="8830" spans="2:33">
      <c r="B8830" s="29"/>
      <c r="D8830" s="29"/>
      <c r="E8830" s="20"/>
      <c r="F8830" s="20"/>
      <c r="AC8830" s="20"/>
      <c r="AG8830" s="29"/>
    </row>
    <row r="8831" spans="2:33">
      <c r="B8831" s="29"/>
      <c r="D8831" s="29"/>
      <c r="E8831" s="20"/>
      <c r="F8831" s="20"/>
      <c r="AC8831" s="20"/>
      <c r="AG8831" s="29"/>
    </row>
    <row r="8832" spans="2:33">
      <c r="B8832" s="29"/>
      <c r="D8832" s="29"/>
      <c r="E8832" s="20"/>
      <c r="F8832" s="20"/>
      <c r="AC8832" s="20"/>
      <c r="AG8832" s="29"/>
    </row>
    <row r="8833" spans="2:33">
      <c r="B8833" s="29"/>
      <c r="D8833" s="29"/>
      <c r="E8833" s="20"/>
      <c r="F8833" s="20"/>
      <c r="AC8833" s="20"/>
      <c r="AG8833" s="29"/>
    </row>
    <row r="8834" spans="2:33">
      <c r="B8834" s="29"/>
      <c r="D8834" s="29"/>
      <c r="E8834" s="20"/>
      <c r="F8834" s="20"/>
      <c r="AC8834" s="20"/>
      <c r="AG8834" s="29"/>
    </row>
    <row r="8835" spans="2:33">
      <c r="B8835" s="29"/>
      <c r="D8835" s="29"/>
      <c r="E8835" s="20"/>
      <c r="F8835" s="20"/>
      <c r="AC8835" s="20"/>
      <c r="AG8835" s="29"/>
    </row>
    <row r="8836" spans="2:33">
      <c r="B8836" s="29"/>
      <c r="D8836" s="29"/>
      <c r="E8836" s="20"/>
      <c r="F8836" s="20"/>
      <c r="AC8836" s="20"/>
      <c r="AG8836" s="29"/>
    </row>
    <row r="8837" spans="2:33">
      <c r="B8837" s="29"/>
      <c r="D8837" s="29"/>
      <c r="E8837" s="20"/>
      <c r="F8837" s="20"/>
      <c r="AC8837" s="20"/>
      <c r="AG8837" s="29"/>
    </row>
    <row r="8838" spans="2:33">
      <c r="B8838" s="29"/>
      <c r="D8838" s="29"/>
      <c r="E8838" s="20"/>
      <c r="F8838" s="20"/>
      <c r="AC8838" s="20"/>
      <c r="AG8838" s="29"/>
    </row>
    <row r="8839" spans="2:33">
      <c r="B8839" s="29"/>
      <c r="D8839" s="29"/>
      <c r="E8839" s="20"/>
      <c r="F8839" s="20"/>
      <c r="AC8839" s="20"/>
      <c r="AG8839" s="29"/>
    </row>
    <row r="8840" spans="2:33">
      <c r="B8840" s="29"/>
      <c r="D8840" s="29"/>
      <c r="E8840" s="20"/>
      <c r="F8840" s="20"/>
      <c r="AC8840" s="20"/>
      <c r="AG8840" s="29"/>
    </row>
    <row r="8841" spans="2:33">
      <c r="B8841" s="29"/>
      <c r="D8841" s="29"/>
      <c r="E8841" s="20"/>
      <c r="F8841" s="20"/>
      <c r="AC8841" s="20"/>
      <c r="AG8841" s="29"/>
    </row>
    <row r="8842" spans="2:33">
      <c r="B8842" s="29"/>
      <c r="D8842" s="29"/>
      <c r="E8842" s="20"/>
      <c r="F8842" s="20"/>
      <c r="AC8842" s="20"/>
      <c r="AG8842" s="29"/>
    </row>
    <row r="8843" spans="2:33">
      <c r="B8843" s="29"/>
      <c r="D8843" s="29"/>
      <c r="E8843" s="20"/>
      <c r="F8843" s="20"/>
      <c r="AC8843" s="20"/>
      <c r="AG8843" s="29"/>
    </row>
    <row r="8844" spans="2:33">
      <c r="B8844" s="29"/>
      <c r="D8844" s="29"/>
      <c r="E8844" s="20"/>
      <c r="F8844" s="20"/>
      <c r="AC8844" s="20"/>
      <c r="AG8844" s="29"/>
    </row>
    <row r="8845" spans="2:33">
      <c r="B8845" s="29"/>
      <c r="D8845" s="29"/>
      <c r="E8845" s="20"/>
      <c r="F8845" s="20"/>
      <c r="AC8845" s="20"/>
      <c r="AG8845" s="29"/>
    </row>
    <row r="8846" spans="2:33">
      <c r="B8846" s="29"/>
      <c r="D8846" s="29"/>
      <c r="E8846" s="20"/>
      <c r="F8846" s="20"/>
      <c r="AC8846" s="20"/>
      <c r="AG8846" s="29"/>
    </row>
    <row r="8847" spans="2:33">
      <c r="B8847" s="29"/>
      <c r="D8847" s="29"/>
      <c r="E8847" s="20"/>
      <c r="F8847" s="20"/>
      <c r="AC8847" s="20"/>
      <c r="AG8847" s="29"/>
    </row>
    <row r="8848" spans="2:33">
      <c r="B8848" s="29"/>
      <c r="D8848" s="29"/>
      <c r="E8848" s="20"/>
      <c r="F8848" s="20"/>
      <c r="AC8848" s="20"/>
      <c r="AG8848" s="29"/>
    </row>
    <row r="8849" spans="2:33">
      <c r="B8849" s="29"/>
      <c r="D8849" s="29"/>
      <c r="E8849" s="20"/>
      <c r="F8849" s="20"/>
      <c r="AC8849" s="20"/>
      <c r="AG8849" s="29"/>
    </row>
    <row r="8850" spans="2:33">
      <c r="B8850" s="29"/>
      <c r="D8850" s="29"/>
      <c r="E8850" s="20"/>
      <c r="F8850" s="20"/>
      <c r="AC8850" s="20"/>
      <c r="AG8850" s="29"/>
    </row>
    <row r="8851" spans="2:33">
      <c r="B8851" s="29"/>
      <c r="D8851" s="29"/>
      <c r="E8851" s="20"/>
      <c r="F8851" s="20"/>
      <c r="AC8851" s="20"/>
      <c r="AG8851" s="29"/>
    </row>
    <row r="8852" spans="2:33">
      <c r="B8852" s="29"/>
      <c r="D8852" s="29"/>
      <c r="E8852" s="20"/>
      <c r="F8852" s="20"/>
      <c r="AC8852" s="20"/>
      <c r="AG8852" s="29"/>
    </row>
    <row r="8853" spans="2:33">
      <c r="B8853" s="29"/>
      <c r="D8853" s="29"/>
      <c r="E8853" s="20"/>
      <c r="F8853" s="20"/>
      <c r="AC8853" s="20"/>
      <c r="AG8853" s="29"/>
    </row>
    <row r="8854" spans="2:33">
      <c r="B8854" s="29"/>
      <c r="D8854" s="29"/>
      <c r="E8854" s="20"/>
      <c r="F8854" s="20"/>
      <c r="AC8854" s="20"/>
      <c r="AG8854" s="29"/>
    </row>
    <row r="8855" spans="2:33">
      <c r="B8855" s="29"/>
      <c r="D8855" s="29"/>
      <c r="E8855" s="20"/>
      <c r="F8855" s="20"/>
      <c r="AC8855" s="20"/>
      <c r="AG8855" s="29"/>
    </row>
    <row r="8856" spans="2:33">
      <c r="B8856" s="29"/>
      <c r="D8856" s="29"/>
      <c r="E8856" s="20"/>
      <c r="F8856" s="20"/>
      <c r="AC8856" s="20"/>
      <c r="AG8856" s="29"/>
    </row>
    <row r="8857" spans="2:33">
      <c r="B8857" s="29"/>
      <c r="D8857" s="29"/>
      <c r="E8857" s="20"/>
      <c r="F8857" s="20"/>
      <c r="AC8857" s="20"/>
      <c r="AG8857" s="29"/>
    </row>
    <row r="8858" spans="2:33">
      <c r="B8858" s="29"/>
      <c r="D8858" s="29"/>
      <c r="E8858" s="20"/>
      <c r="F8858" s="20"/>
      <c r="AC8858" s="20"/>
      <c r="AG8858" s="29"/>
    </row>
    <row r="8859" spans="2:33">
      <c r="B8859" s="29"/>
      <c r="D8859" s="29"/>
      <c r="E8859" s="20"/>
      <c r="F8859" s="20"/>
      <c r="AC8859" s="20"/>
      <c r="AG8859" s="29"/>
    </row>
    <row r="8860" spans="2:33">
      <c r="B8860" s="29"/>
      <c r="D8860" s="29"/>
      <c r="E8860" s="20"/>
      <c r="F8860" s="20"/>
      <c r="AC8860" s="20"/>
      <c r="AG8860" s="29"/>
    </row>
    <row r="8861" spans="2:33">
      <c r="B8861" s="29"/>
      <c r="D8861" s="29"/>
      <c r="E8861" s="20"/>
      <c r="F8861" s="20"/>
      <c r="AC8861" s="20"/>
      <c r="AG8861" s="29"/>
    </row>
    <row r="8862" spans="2:33">
      <c r="B8862" s="29"/>
      <c r="D8862" s="29"/>
      <c r="E8862" s="20"/>
      <c r="F8862" s="20"/>
      <c r="AC8862" s="20"/>
      <c r="AG8862" s="29"/>
    </row>
    <row r="8863" spans="2:33">
      <c r="B8863" s="29"/>
      <c r="D8863" s="29"/>
      <c r="E8863" s="20"/>
      <c r="F8863" s="20"/>
      <c r="AC8863" s="20"/>
      <c r="AG8863" s="29"/>
    </row>
    <row r="8864" spans="2:33">
      <c r="B8864" s="29"/>
      <c r="D8864" s="29"/>
      <c r="E8864" s="20"/>
      <c r="F8864" s="20"/>
      <c r="AC8864" s="20"/>
      <c r="AG8864" s="29"/>
    </row>
    <row r="8865" spans="2:33">
      <c r="B8865" s="29"/>
      <c r="D8865" s="29"/>
      <c r="E8865" s="20"/>
      <c r="F8865" s="20"/>
      <c r="AC8865" s="20"/>
      <c r="AG8865" s="29"/>
    </row>
    <row r="8866" spans="2:33">
      <c r="B8866" s="29"/>
      <c r="D8866" s="29"/>
      <c r="E8866" s="20"/>
      <c r="F8866" s="20"/>
      <c r="AC8866" s="20"/>
      <c r="AG8866" s="29"/>
    </row>
    <row r="8867" spans="2:33">
      <c r="B8867" s="29"/>
      <c r="D8867" s="29"/>
      <c r="E8867" s="20"/>
      <c r="F8867" s="20"/>
      <c r="AC8867" s="20"/>
      <c r="AG8867" s="29"/>
    </row>
    <row r="8868" spans="2:33">
      <c r="B8868" s="29"/>
      <c r="D8868" s="29"/>
      <c r="E8868" s="20"/>
      <c r="F8868" s="20"/>
      <c r="AC8868" s="20"/>
      <c r="AG8868" s="29"/>
    </row>
    <row r="8869" spans="2:33">
      <c r="B8869" s="29"/>
      <c r="D8869" s="29"/>
      <c r="E8869" s="20"/>
      <c r="F8869" s="20"/>
      <c r="AC8869" s="20"/>
      <c r="AG8869" s="29"/>
    </row>
    <row r="8870" spans="2:33">
      <c r="B8870" s="29"/>
      <c r="D8870" s="29"/>
      <c r="E8870" s="20"/>
      <c r="F8870" s="20"/>
      <c r="AC8870" s="20"/>
      <c r="AG8870" s="29"/>
    </row>
    <row r="8871" spans="2:33">
      <c r="B8871" s="29"/>
      <c r="D8871" s="29"/>
      <c r="E8871" s="20"/>
      <c r="F8871" s="20"/>
      <c r="AC8871" s="20"/>
      <c r="AG8871" s="29"/>
    </row>
    <row r="8872" spans="2:33">
      <c r="B8872" s="29"/>
      <c r="D8872" s="29"/>
      <c r="E8872" s="20"/>
      <c r="F8872" s="20"/>
      <c r="AC8872" s="20"/>
      <c r="AG8872" s="29"/>
    </row>
    <row r="8873" spans="2:33">
      <c r="B8873" s="29"/>
      <c r="D8873" s="29"/>
      <c r="E8873" s="20"/>
      <c r="F8873" s="20"/>
      <c r="AC8873" s="20"/>
      <c r="AG8873" s="29"/>
    </row>
    <row r="8874" spans="2:33">
      <c r="B8874" s="29"/>
      <c r="D8874" s="29"/>
      <c r="E8874" s="20"/>
      <c r="F8874" s="20"/>
      <c r="AC8874" s="20"/>
      <c r="AG8874" s="29"/>
    </row>
    <row r="8875" spans="2:33">
      <c r="B8875" s="29"/>
      <c r="D8875" s="29"/>
      <c r="E8875" s="20"/>
      <c r="F8875" s="20"/>
      <c r="AC8875" s="20"/>
      <c r="AG8875" s="29"/>
    </row>
    <row r="8876" spans="2:33">
      <c r="B8876" s="29"/>
      <c r="D8876" s="29"/>
      <c r="E8876" s="20"/>
      <c r="F8876" s="20"/>
      <c r="AC8876" s="20"/>
      <c r="AG8876" s="29"/>
    </row>
    <row r="8877" spans="2:33">
      <c r="B8877" s="29"/>
      <c r="D8877" s="29"/>
      <c r="E8877" s="20"/>
      <c r="F8877" s="20"/>
      <c r="AC8877" s="20"/>
      <c r="AG8877" s="29"/>
    </row>
    <row r="8878" spans="2:33">
      <c r="B8878" s="29"/>
      <c r="D8878" s="29"/>
      <c r="E8878" s="20"/>
      <c r="F8878" s="20"/>
      <c r="AC8878" s="20"/>
      <c r="AG8878" s="29"/>
    </row>
    <row r="8879" spans="2:33">
      <c r="B8879" s="29"/>
      <c r="D8879" s="29"/>
      <c r="E8879" s="20"/>
      <c r="F8879" s="20"/>
      <c r="AC8879" s="20"/>
      <c r="AG8879" s="29"/>
    </row>
    <row r="8880" spans="2:33">
      <c r="B8880" s="29"/>
      <c r="D8880" s="29"/>
      <c r="E8880" s="20"/>
      <c r="F8880" s="20"/>
      <c r="AC8880" s="20"/>
      <c r="AG8880" s="29"/>
    </row>
    <row r="8881" spans="2:33">
      <c r="B8881" s="29"/>
      <c r="D8881" s="29"/>
      <c r="E8881" s="20"/>
      <c r="F8881" s="20"/>
      <c r="AC8881" s="20"/>
      <c r="AG8881" s="29"/>
    </row>
    <row r="8882" spans="2:33">
      <c r="B8882" s="29"/>
      <c r="D8882" s="29"/>
      <c r="E8882" s="20"/>
      <c r="F8882" s="20"/>
      <c r="AC8882" s="20"/>
      <c r="AG8882" s="29"/>
    </row>
    <row r="8883" spans="2:33">
      <c r="B8883" s="29"/>
      <c r="D8883" s="29"/>
      <c r="E8883" s="20"/>
      <c r="F8883" s="20"/>
      <c r="AC8883" s="20"/>
      <c r="AG8883" s="29"/>
    </row>
    <row r="8884" spans="2:33">
      <c r="B8884" s="29"/>
      <c r="D8884" s="29"/>
      <c r="E8884" s="20"/>
      <c r="F8884" s="20"/>
      <c r="AC8884" s="20"/>
      <c r="AG8884" s="29"/>
    </row>
    <row r="8885" spans="2:33">
      <c r="B8885" s="29"/>
      <c r="D8885" s="29"/>
      <c r="E8885" s="20"/>
      <c r="F8885" s="20"/>
      <c r="AC8885" s="20"/>
      <c r="AG8885" s="29"/>
    </row>
    <row r="8886" spans="2:33">
      <c r="B8886" s="29"/>
      <c r="D8886" s="29"/>
      <c r="E8886" s="20"/>
      <c r="F8886" s="20"/>
      <c r="AC8886" s="20"/>
      <c r="AG8886" s="29"/>
    </row>
    <row r="8887" spans="2:33">
      <c r="B8887" s="29"/>
      <c r="D8887" s="29"/>
      <c r="E8887" s="20"/>
      <c r="F8887" s="20"/>
      <c r="AC8887" s="20"/>
      <c r="AG8887" s="29"/>
    </row>
    <row r="8888" spans="2:33">
      <c r="B8888" s="29"/>
      <c r="D8888" s="29"/>
      <c r="E8888" s="20"/>
      <c r="F8888" s="20"/>
      <c r="AC8888" s="20"/>
      <c r="AG8888" s="29"/>
    </row>
    <row r="8889" spans="2:33">
      <c r="B8889" s="29"/>
      <c r="D8889" s="29"/>
      <c r="E8889" s="20"/>
      <c r="F8889" s="20"/>
      <c r="AC8889" s="20"/>
      <c r="AG8889" s="29"/>
    </row>
    <row r="8890" spans="2:33">
      <c r="B8890" s="29"/>
      <c r="D8890" s="29"/>
      <c r="E8890" s="20"/>
      <c r="F8890" s="20"/>
      <c r="AC8890" s="20"/>
      <c r="AG8890" s="29"/>
    </row>
    <row r="8891" spans="2:33">
      <c r="B8891" s="29"/>
      <c r="D8891" s="29"/>
      <c r="E8891" s="20"/>
      <c r="F8891" s="20"/>
      <c r="AC8891" s="20"/>
      <c r="AG8891" s="29"/>
    </row>
    <row r="8892" spans="2:33">
      <c r="B8892" s="29"/>
      <c r="D8892" s="29"/>
      <c r="E8892" s="20"/>
      <c r="F8892" s="20"/>
      <c r="AC8892" s="20"/>
      <c r="AG8892" s="29"/>
    </row>
    <row r="8893" spans="2:33">
      <c r="B8893" s="29"/>
      <c r="D8893" s="29"/>
      <c r="E8893" s="20"/>
      <c r="F8893" s="20"/>
      <c r="AC8893" s="20"/>
      <c r="AG8893" s="29"/>
    </row>
    <row r="8894" spans="2:33">
      <c r="B8894" s="29"/>
      <c r="D8894" s="29"/>
      <c r="E8894" s="20"/>
      <c r="F8894" s="20"/>
      <c r="AC8894" s="20"/>
      <c r="AG8894" s="29"/>
    </row>
    <row r="8895" spans="2:33">
      <c r="B8895" s="29"/>
      <c r="D8895" s="29"/>
      <c r="E8895" s="20"/>
      <c r="F8895" s="20"/>
      <c r="AC8895" s="20"/>
      <c r="AG8895" s="29"/>
    </row>
    <row r="8896" spans="2:33">
      <c r="B8896" s="29"/>
      <c r="D8896" s="29"/>
      <c r="E8896" s="20"/>
      <c r="F8896" s="20"/>
      <c r="AC8896" s="20"/>
      <c r="AG8896" s="29"/>
    </row>
    <row r="8897" spans="2:33">
      <c r="B8897" s="29"/>
      <c r="D8897" s="29"/>
      <c r="E8897" s="20"/>
      <c r="F8897" s="20"/>
      <c r="AC8897" s="20"/>
      <c r="AG8897" s="29"/>
    </row>
    <row r="8898" spans="2:33">
      <c r="B8898" s="29"/>
      <c r="D8898" s="29"/>
      <c r="E8898" s="20"/>
      <c r="F8898" s="20"/>
      <c r="AC8898" s="20"/>
      <c r="AG8898" s="29"/>
    </row>
    <row r="8899" spans="2:33">
      <c r="B8899" s="29"/>
      <c r="D8899" s="29"/>
      <c r="E8899" s="20"/>
      <c r="F8899" s="20"/>
      <c r="AC8899" s="20"/>
      <c r="AG8899" s="29"/>
    </row>
    <row r="8900" spans="2:33">
      <c r="B8900" s="29"/>
      <c r="D8900" s="29"/>
      <c r="E8900" s="20"/>
      <c r="F8900" s="20"/>
      <c r="AC8900" s="20"/>
      <c r="AG8900" s="29"/>
    </row>
    <row r="8901" spans="2:33">
      <c r="B8901" s="29"/>
      <c r="D8901" s="29"/>
      <c r="E8901" s="20"/>
      <c r="F8901" s="20"/>
      <c r="AC8901" s="20"/>
      <c r="AG8901" s="29"/>
    </row>
    <row r="8902" spans="2:33">
      <c r="B8902" s="29"/>
      <c r="D8902" s="29"/>
      <c r="E8902" s="20"/>
      <c r="F8902" s="20"/>
      <c r="AC8902" s="20"/>
      <c r="AG8902" s="29"/>
    </row>
    <row r="8903" spans="2:33">
      <c r="B8903" s="29"/>
      <c r="D8903" s="29"/>
      <c r="E8903" s="20"/>
      <c r="F8903" s="20"/>
      <c r="AC8903" s="20"/>
      <c r="AG8903" s="29"/>
    </row>
    <row r="8904" spans="2:33">
      <c r="B8904" s="29"/>
      <c r="D8904" s="29"/>
      <c r="E8904" s="20"/>
      <c r="F8904" s="20"/>
      <c r="AC8904" s="20"/>
      <c r="AG8904" s="29"/>
    </row>
    <row r="8905" spans="2:33">
      <c r="B8905" s="29"/>
      <c r="D8905" s="29"/>
      <c r="E8905" s="20"/>
      <c r="F8905" s="20"/>
      <c r="AC8905" s="20"/>
      <c r="AG8905" s="29"/>
    </row>
    <row r="8906" spans="2:33">
      <c r="B8906" s="29"/>
      <c r="D8906" s="29"/>
      <c r="E8906" s="20"/>
      <c r="F8906" s="20"/>
      <c r="AC8906" s="20"/>
      <c r="AG8906" s="29"/>
    </row>
    <row r="8907" spans="2:33">
      <c r="B8907" s="29"/>
      <c r="D8907" s="29"/>
      <c r="E8907" s="20"/>
      <c r="F8907" s="20"/>
      <c r="AC8907" s="20"/>
      <c r="AG8907" s="29"/>
    </row>
    <row r="8908" spans="2:33">
      <c r="B8908" s="29"/>
      <c r="D8908" s="29"/>
      <c r="E8908" s="20"/>
      <c r="F8908" s="20"/>
      <c r="AC8908" s="20"/>
      <c r="AG8908" s="29"/>
    </row>
    <row r="8909" spans="2:33">
      <c r="B8909" s="29"/>
      <c r="D8909" s="29"/>
      <c r="E8909" s="20"/>
      <c r="F8909" s="20"/>
      <c r="AC8909" s="20"/>
      <c r="AG8909" s="29"/>
    </row>
    <row r="8910" spans="2:33">
      <c r="B8910" s="29"/>
      <c r="D8910" s="29"/>
      <c r="E8910" s="20"/>
      <c r="F8910" s="20"/>
      <c r="AC8910" s="20"/>
      <c r="AG8910" s="29"/>
    </row>
    <row r="8911" spans="2:33">
      <c r="B8911" s="29"/>
      <c r="D8911" s="29"/>
      <c r="E8911" s="20"/>
      <c r="F8911" s="20"/>
      <c r="AC8911" s="20"/>
      <c r="AG8911" s="29"/>
    </row>
    <row r="8912" spans="2:33">
      <c r="B8912" s="29"/>
      <c r="D8912" s="29"/>
      <c r="E8912" s="20"/>
      <c r="F8912" s="20"/>
      <c r="AC8912" s="20"/>
      <c r="AG8912" s="29"/>
    </row>
    <row r="8913" spans="2:33">
      <c r="B8913" s="29"/>
      <c r="D8913" s="29"/>
      <c r="E8913" s="20"/>
      <c r="F8913" s="20"/>
      <c r="AC8913" s="20"/>
      <c r="AG8913" s="29"/>
    </row>
    <row r="8914" spans="2:33">
      <c r="B8914" s="29"/>
      <c r="D8914" s="29"/>
      <c r="E8914" s="20"/>
      <c r="F8914" s="20"/>
      <c r="AC8914" s="20"/>
      <c r="AG8914" s="29"/>
    </row>
    <row r="8915" spans="2:33">
      <c r="B8915" s="29"/>
      <c r="D8915" s="29"/>
      <c r="E8915" s="20"/>
      <c r="F8915" s="20"/>
      <c r="AC8915" s="20"/>
      <c r="AG8915" s="29"/>
    </row>
    <row r="8916" spans="2:33">
      <c r="B8916" s="29"/>
      <c r="D8916" s="29"/>
      <c r="E8916" s="20"/>
      <c r="F8916" s="20"/>
      <c r="AC8916" s="20"/>
      <c r="AG8916" s="29"/>
    </row>
    <row r="8917" spans="2:33">
      <c r="B8917" s="29"/>
      <c r="D8917" s="29"/>
      <c r="E8917" s="20"/>
      <c r="F8917" s="20"/>
      <c r="AC8917" s="20"/>
      <c r="AG8917" s="29"/>
    </row>
    <row r="8918" spans="2:33">
      <c r="B8918" s="29"/>
      <c r="D8918" s="29"/>
      <c r="E8918" s="20"/>
      <c r="F8918" s="20"/>
      <c r="AC8918" s="20"/>
      <c r="AG8918" s="29"/>
    </row>
    <row r="8919" spans="2:33">
      <c r="B8919" s="29"/>
      <c r="D8919" s="29"/>
      <c r="E8919" s="20"/>
      <c r="F8919" s="20"/>
      <c r="AC8919" s="20"/>
      <c r="AG8919" s="29"/>
    </row>
    <row r="8920" spans="2:33">
      <c r="B8920" s="29"/>
      <c r="D8920" s="29"/>
      <c r="E8920" s="20"/>
      <c r="F8920" s="20"/>
      <c r="AC8920" s="20"/>
      <c r="AG8920" s="29"/>
    </row>
    <row r="8921" spans="2:33">
      <c r="B8921" s="29"/>
      <c r="D8921" s="29"/>
      <c r="E8921" s="20"/>
      <c r="F8921" s="20"/>
      <c r="AC8921" s="20"/>
      <c r="AG8921" s="29"/>
    </row>
    <row r="8922" spans="2:33">
      <c r="B8922" s="29"/>
      <c r="D8922" s="29"/>
      <c r="E8922" s="20"/>
      <c r="F8922" s="20"/>
      <c r="AC8922" s="20"/>
      <c r="AG8922" s="29"/>
    </row>
    <row r="8923" spans="2:33">
      <c r="B8923" s="29"/>
      <c r="D8923" s="29"/>
      <c r="E8923" s="20"/>
      <c r="F8923" s="20"/>
      <c r="AC8923" s="20"/>
      <c r="AG8923" s="29"/>
    </row>
    <row r="8924" spans="2:33">
      <c r="B8924" s="29"/>
      <c r="D8924" s="29"/>
      <c r="E8924" s="20"/>
      <c r="F8924" s="20"/>
      <c r="AC8924" s="20"/>
      <c r="AG8924" s="29"/>
    </row>
    <row r="8925" spans="2:33">
      <c r="B8925" s="29"/>
      <c r="D8925" s="29"/>
      <c r="E8925" s="20"/>
      <c r="F8925" s="20"/>
      <c r="AC8925" s="20"/>
      <c r="AG8925" s="29"/>
    </row>
    <row r="8926" spans="2:33">
      <c r="B8926" s="29"/>
      <c r="D8926" s="29"/>
      <c r="E8926" s="20"/>
      <c r="F8926" s="20"/>
      <c r="AC8926" s="20"/>
      <c r="AG8926" s="29"/>
    </row>
    <row r="8927" spans="2:33">
      <c r="B8927" s="29"/>
      <c r="D8927" s="29"/>
      <c r="E8927" s="20"/>
      <c r="F8927" s="20"/>
      <c r="AC8927" s="20"/>
      <c r="AG8927" s="29"/>
    </row>
    <row r="8928" spans="2:33">
      <c r="B8928" s="29"/>
      <c r="D8928" s="29"/>
      <c r="E8928" s="20"/>
      <c r="F8928" s="20"/>
      <c r="AC8928" s="20"/>
      <c r="AG8928" s="29"/>
    </row>
    <row r="8929" spans="2:33">
      <c r="B8929" s="29"/>
      <c r="D8929" s="29"/>
      <c r="E8929" s="20"/>
      <c r="F8929" s="20"/>
      <c r="AC8929" s="20"/>
      <c r="AG8929" s="29"/>
    </row>
    <row r="8930" spans="2:33">
      <c r="B8930" s="29"/>
      <c r="D8930" s="29"/>
      <c r="E8930" s="20"/>
      <c r="F8930" s="20"/>
      <c r="AC8930" s="20"/>
      <c r="AG8930" s="29"/>
    </row>
    <row r="8931" spans="2:33">
      <c r="B8931" s="29"/>
      <c r="D8931" s="29"/>
      <c r="E8931" s="20"/>
      <c r="F8931" s="20"/>
      <c r="AC8931" s="20"/>
      <c r="AG8931" s="29"/>
    </row>
    <row r="8932" spans="2:33">
      <c r="B8932" s="29"/>
      <c r="D8932" s="29"/>
      <c r="E8932" s="20"/>
      <c r="F8932" s="20"/>
      <c r="AC8932" s="20"/>
      <c r="AG8932" s="29"/>
    </row>
    <row r="8933" spans="2:33">
      <c r="B8933" s="29"/>
      <c r="D8933" s="29"/>
      <c r="E8933" s="20"/>
      <c r="F8933" s="20"/>
      <c r="AC8933" s="20"/>
      <c r="AG8933" s="29"/>
    </row>
    <row r="8934" spans="2:33">
      <c r="B8934" s="29"/>
      <c r="D8934" s="29"/>
      <c r="E8934" s="20"/>
      <c r="F8934" s="20"/>
      <c r="AC8934" s="20"/>
      <c r="AG8934" s="29"/>
    </row>
    <row r="8935" spans="2:33">
      <c r="B8935" s="29"/>
      <c r="D8935" s="29"/>
      <c r="E8935" s="20"/>
      <c r="F8935" s="20"/>
      <c r="AC8935" s="20"/>
      <c r="AG8935" s="29"/>
    </row>
    <row r="8936" spans="2:33">
      <c r="B8936" s="29"/>
      <c r="D8936" s="29"/>
      <c r="E8936" s="20"/>
      <c r="F8936" s="20"/>
      <c r="AC8936" s="20"/>
      <c r="AG8936" s="29"/>
    </row>
    <row r="8937" spans="2:33">
      <c r="B8937" s="29"/>
      <c r="D8937" s="29"/>
      <c r="E8937" s="20"/>
      <c r="F8937" s="20"/>
      <c r="AC8937" s="20"/>
      <c r="AG8937" s="29"/>
    </row>
    <row r="8938" spans="2:33">
      <c r="B8938" s="29"/>
      <c r="D8938" s="29"/>
      <c r="E8938" s="20"/>
      <c r="F8938" s="20"/>
      <c r="AC8938" s="20"/>
      <c r="AG8938" s="29"/>
    </row>
    <row r="8939" spans="2:33">
      <c r="B8939" s="29"/>
      <c r="D8939" s="29"/>
      <c r="E8939" s="20"/>
      <c r="F8939" s="20"/>
      <c r="AC8939" s="20"/>
      <c r="AG8939" s="29"/>
    </row>
    <row r="8940" spans="2:33">
      <c r="B8940" s="29"/>
      <c r="D8940" s="29"/>
      <c r="E8940" s="20"/>
      <c r="F8940" s="20"/>
      <c r="AC8940" s="20"/>
      <c r="AG8940" s="29"/>
    </row>
    <row r="8941" spans="2:33">
      <c r="B8941" s="29"/>
      <c r="D8941" s="29"/>
      <c r="E8941" s="20"/>
      <c r="F8941" s="20"/>
      <c r="AC8941" s="20"/>
      <c r="AG8941" s="29"/>
    </row>
    <row r="8942" spans="2:33">
      <c r="B8942" s="29"/>
      <c r="D8942" s="29"/>
      <c r="E8942" s="20"/>
      <c r="F8942" s="20"/>
      <c r="AC8942" s="20"/>
      <c r="AG8942" s="29"/>
    </row>
    <row r="8943" spans="2:33">
      <c r="B8943" s="29"/>
      <c r="D8943" s="29"/>
      <c r="E8943" s="20"/>
      <c r="F8943" s="20"/>
      <c r="AC8943" s="20"/>
      <c r="AG8943" s="29"/>
    </row>
    <row r="8944" spans="2:33">
      <c r="B8944" s="29"/>
      <c r="D8944" s="29"/>
      <c r="E8944" s="20"/>
      <c r="F8944" s="20"/>
      <c r="AC8944" s="20"/>
      <c r="AG8944" s="29"/>
    </row>
    <row r="8945" spans="2:33">
      <c r="B8945" s="29"/>
      <c r="D8945" s="29"/>
      <c r="E8945" s="20"/>
      <c r="F8945" s="20"/>
      <c r="AC8945" s="20"/>
      <c r="AG8945" s="29"/>
    </row>
    <row r="8946" spans="2:33">
      <c r="B8946" s="29"/>
      <c r="D8946" s="29"/>
      <c r="E8946" s="20"/>
      <c r="F8946" s="20"/>
      <c r="AC8946" s="20"/>
      <c r="AG8946" s="29"/>
    </row>
    <row r="8947" spans="2:33">
      <c r="B8947" s="29"/>
      <c r="D8947" s="29"/>
      <c r="E8947" s="20"/>
      <c r="F8947" s="20"/>
      <c r="AC8947" s="20"/>
      <c r="AG8947" s="29"/>
    </row>
    <row r="8948" spans="2:33">
      <c r="B8948" s="29"/>
      <c r="D8948" s="29"/>
      <c r="E8948" s="20"/>
      <c r="F8948" s="20"/>
      <c r="AC8948" s="20"/>
      <c r="AG8948" s="29"/>
    </row>
    <row r="8949" spans="2:33">
      <c r="B8949" s="29"/>
      <c r="D8949" s="29"/>
      <c r="E8949" s="20"/>
      <c r="F8949" s="20"/>
      <c r="AC8949" s="20"/>
      <c r="AG8949" s="29"/>
    </row>
    <row r="8950" spans="2:33">
      <c r="B8950" s="29"/>
      <c r="D8950" s="29"/>
      <c r="E8950" s="20"/>
      <c r="F8950" s="20"/>
      <c r="AC8950" s="20"/>
      <c r="AG8950" s="29"/>
    </row>
    <row r="8951" spans="2:33">
      <c r="B8951" s="29"/>
      <c r="D8951" s="29"/>
      <c r="E8951" s="20"/>
      <c r="F8951" s="20"/>
      <c r="AC8951" s="20"/>
      <c r="AG8951" s="29"/>
    </row>
    <row r="8952" spans="2:33">
      <c r="B8952" s="29"/>
      <c r="D8952" s="29"/>
      <c r="E8952" s="20"/>
      <c r="F8952" s="20"/>
      <c r="AC8952" s="20"/>
      <c r="AG8952" s="29"/>
    </row>
    <row r="8953" spans="2:33">
      <c r="B8953" s="29"/>
      <c r="D8953" s="29"/>
      <c r="E8953" s="20"/>
      <c r="F8953" s="20"/>
      <c r="AC8953" s="20"/>
      <c r="AG8953" s="29"/>
    </row>
    <row r="8954" spans="2:33">
      <c r="B8954" s="29"/>
      <c r="D8954" s="29"/>
      <c r="E8954" s="20"/>
      <c r="F8954" s="20"/>
      <c r="AC8954" s="20"/>
      <c r="AG8954" s="29"/>
    </row>
    <row r="8955" spans="2:33">
      <c r="B8955" s="29"/>
      <c r="D8955" s="29"/>
      <c r="E8955" s="20"/>
      <c r="F8955" s="20"/>
      <c r="AC8955" s="20"/>
      <c r="AG8955" s="29"/>
    </row>
    <row r="8956" spans="2:33">
      <c r="B8956" s="29"/>
      <c r="D8956" s="29"/>
      <c r="E8956" s="20"/>
      <c r="F8956" s="20"/>
      <c r="AC8956" s="20"/>
      <c r="AG8956" s="29"/>
    </row>
    <row r="8957" spans="2:33">
      <c r="B8957" s="29"/>
      <c r="D8957" s="29"/>
      <c r="E8957" s="20"/>
      <c r="F8957" s="20"/>
      <c r="AC8957" s="20"/>
      <c r="AG8957" s="29"/>
    </row>
    <row r="8958" spans="2:33">
      <c r="B8958" s="29"/>
      <c r="D8958" s="29"/>
      <c r="E8958" s="20"/>
      <c r="F8958" s="20"/>
      <c r="AC8958" s="20"/>
      <c r="AG8958" s="29"/>
    </row>
    <row r="8959" spans="2:33">
      <c r="B8959" s="29"/>
      <c r="D8959" s="29"/>
      <c r="E8959" s="20"/>
      <c r="F8959" s="20"/>
      <c r="AC8959" s="20"/>
      <c r="AG8959" s="29"/>
    </row>
    <row r="8960" spans="2:33">
      <c r="B8960" s="29"/>
      <c r="D8960" s="29"/>
      <c r="E8960" s="20"/>
      <c r="F8960" s="20"/>
      <c r="AC8960" s="20"/>
      <c r="AG8960" s="29"/>
    </row>
    <row r="8961" spans="2:33">
      <c r="B8961" s="29"/>
      <c r="D8961" s="29"/>
      <c r="E8961" s="20"/>
      <c r="F8961" s="20"/>
      <c r="AC8961" s="20"/>
      <c r="AG8961" s="29"/>
    </row>
    <row r="8962" spans="2:33">
      <c r="B8962" s="29"/>
      <c r="D8962" s="29"/>
      <c r="E8962" s="20"/>
      <c r="F8962" s="20"/>
      <c r="AC8962" s="20"/>
      <c r="AG8962" s="29"/>
    </row>
    <row r="8963" spans="2:33">
      <c r="B8963" s="29"/>
      <c r="D8963" s="29"/>
      <c r="E8963" s="20"/>
      <c r="F8963" s="20"/>
      <c r="AC8963" s="20"/>
      <c r="AG8963" s="29"/>
    </row>
    <row r="8964" spans="2:33">
      <c r="B8964" s="29"/>
      <c r="D8964" s="29"/>
      <c r="E8964" s="20"/>
      <c r="F8964" s="20"/>
      <c r="AC8964" s="20"/>
      <c r="AG8964" s="29"/>
    </row>
    <row r="8965" spans="2:33">
      <c r="B8965" s="29"/>
      <c r="D8965" s="29"/>
      <c r="E8965" s="20"/>
      <c r="F8965" s="20"/>
      <c r="AC8965" s="20"/>
      <c r="AG8965" s="29"/>
    </row>
    <row r="8966" spans="2:33">
      <c r="B8966" s="29"/>
      <c r="D8966" s="29"/>
      <c r="E8966" s="20"/>
      <c r="F8966" s="20"/>
      <c r="AC8966" s="20"/>
      <c r="AG8966" s="29"/>
    </row>
    <row r="8967" spans="2:33">
      <c r="B8967" s="29"/>
      <c r="D8967" s="29"/>
      <c r="E8967" s="20"/>
      <c r="F8967" s="20"/>
      <c r="AC8967" s="20"/>
      <c r="AG8967" s="29"/>
    </row>
    <row r="8968" spans="2:33">
      <c r="B8968" s="29"/>
      <c r="D8968" s="29"/>
      <c r="E8968" s="20"/>
      <c r="F8968" s="20"/>
      <c r="AC8968" s="20"/>
      <c r="AG8968" s="29"/>
    </row>
    <row r="8969" spans="2:33">
      <c r="B8969" s="29"/>
      <c r="D8969" s="29"/>
      <c r="E8969" s="20"/>
      <c r="F8969" s="20"/>
      <c r="AC8969" s="20"/>
      <c r="AG8969" s="29"/>
    </row>
    <row r="8970" spans="2:33">
      <c r="B8970" s="29"/>
      <c r="D8970" s="29"/>
      <c r="E8970" s="20"/>
      <c r="F8970" s="20"/>
      <c r="AC8970" s="20"/>
      <c r="AG8970" s="29"/>
    </row>
    <row r="8971" spans="2:33">
      <c r="B8971" s="29"/>
      <c r="D8971" s="29"/>
      <c r="E8971" s="20"/>
      <c r="F8971" s="20"/>
      <c r="AC8971" s="20"/>
      <c r="AG8971" s="29"/>
    </row>
    <row r="8972" spans="2:33">
      <c r="B8972" s="29"/>
      <c r="D8972" s="29"/>
      <c r="E8972" s="20"/>
      <c r="F8972" s="20"/>
      <c r="AC8972" s="20"/>
      <c r="AG8972" s="29"/>
    </row>
    <row r="8973" spans="2:33">
      <c r="B8973" s="29"/>
      <c r="D8973" s="29"/>
      <c r="E8973" s="20"/>
      <c r="F8973" s="20"/>
      <c r="AC8973" s="20"/>
      <c r="AG8973" s="29"/>
    </row>
    <row r="8974" spans="2:33">
      <c r="B8974" s="29"/>
      <c r="D8974" s="29"/>
      <c r="E8974" s="20"/>
      <c r="F8974" s="20"/>
      <c r="AC8974" s="20"/>
      <c r="AG8974" s="29"/>
    </row>
    <row r="8975" spans="2:33">
      <c r="B8975" s="29"/>
      <c r="D8975" s="29"/>
      <c r="E8975" s="20"/>
      <c r="F8975" s="20"/>
      <c r="AC8975" s="20"/>
      <c r="AG8975" s="29"/>
    </row>
    <row r="8976" spans="2:33">
      <c r="B8976" s="29"/>
      <c r="D8976" s="29"/>
      <c r="E8976" s="20"/>
      <c r="F8976" s="20"/>
      <c r="AC8976" s="20"/>
      <c r="AG8976" s="29"/>
    </row>
    <row r="8977" spans="2:33">
      <c r="B8977" s="29"/>
      <c r="D8977" s="29"/>
      <c r="E8977" s="20"/>
      <c r="F8977" s="20"/>
      <c r="AC8977" s="20"/>
      <c r="AG8977" s="29"/>
    </row>
    <row r="8978" spans="2:33">
      <c r="B8978" s="29"/>
      <c r="D8978" s="29"/>
      <c r="E8978" s="20"/>
      <c r="F8978" s="20"/>
      <c r="AC8978" s="20"/>
      <c r="AG8978" s="29"/>
    </row>
    <row r="8979" spans="2:33">
      <c r="B8979" s="29"/>
      <c r="D8979" s="29"/>
      <c r="E8979" s="20"/>
      <c r="F8979" s="20"/>
      <c r="AC8979" s="20"/>
      <c r="AG8979" s="29"/>
    </row>
    <row r="8980" spans="2:33">
      <c r="B8980" s="29"/>
      <c r="D8980" s="29"/>
      <c r="E8980" s="20"/>
      <c r="F8980" s="20"/>
      <c r="AC8980" s="20"/>
      <c r="AG8980" s="29"/>
    </row>
    <row r="8981" spans="2:33">
      <c r="B8981" s="29"/>
      <c r="D8981" s="29"/>
      <c r="E8981" s="20"/>
      <c r="F8981" s="20"/>
      <c r="AC8981" s="20"/>
      <c r="AG8981" s="29"/>
    </row>
    <row r="8982" spans="2:33">
      <c r="B8982" s="29"/>
      <c r="D8982" s="29"/>
      <c r="E8982" s="20"/>
      <c r="F8982" s="20"/>
      <c r="AC8982" s="20"/>
      <c r="AG8982" s="29"/>
    </row>
    <row r="8983" spans="2:33">
      <c r="B8983" s="29"/>
      <c r="D8983" s="29"/>
      <c r="E8983" s="20"/>
      <c r="F8983" s="20"/>
      <c r="AC8983" s="20"/>
      <c r="AG8983" s="29"/>
    </row>
    <row r="8984" spans="2:33">
      <c r="B8984" s="29"/>
      <c r="D8984" s="29"/>
      <c r="E8984" s="20"/>
      <c r="F8984" s="20"/>
      <c r="AC8984" s="20"/>
      <c r="AG8984" s="29"/>
    </row>
    <row r="8985" spans="2:33">
      <c r="B8985" s="29"/>
      <c r="D8985" s="29"/>
      <c r="E8985" s="20"/>
      <c r="F8985" s="20"/>
      <c r="AC8985" s="20"/>
      <c r="AG8985" s="29"/>
    </row>
    <row r="8986" spans="2:33">
      <c r="B8986" s="29"/>
      <c r="D8986" s="29"/>
      <c r="E8986" s="20"/>
      <c r="F8986" s="20"/>
      <c r="AC8986" s="20"/>
      <c r="AG8986" s="29"/>
    </row>
    <row r="8987" spans="2:33">
      <c r="B8987" s="29"/>
      <c r="D8987" s="29"/>
      <c r="E8987" s="20"/>
      <c r="F8987" s="20"/>
      <c r="AC8987" s="20"/>
      <c r="AG8987" s="29"/>
    </row>
    <row r="8988" spans="2:33">
      <c r="B8988" s="29"/>
      <c r="D8988" s="29"/>
      <c r="E8988" s="20"/>
      <c r="F8988" s="20"/>
      <c r="AC8988" s="20"/>
      <c r="AG8988" s="29"/>
    </row>
    <row r="8989" spans="2:33">
      <c r="B8989" s="29"/>
      <c r="D8989" s="29"/>
      <c r="E8989" s="20"/>
      <c r="F8989" s="20"/>
      <c r="AC8989" s="20"/>
      <c r="AG8989" s="29"/>
    </row>
    <row r="8990" spans="2:33">
      <c r="B8990" s="29"/>
      <c r="D8990" s="29"/>
      <c r="E8990" s="20"/>
      <c r="F8990" s="20"/>
      <c r="AC8990" s="20"/>
      <c r="AG8990" s="29"/>
    </row>
    <row r="8991" spans="2:33">
      <c r="B8991" s="29"/>
      <c r="D8991" s="29"/>
      <c r="E8991" s="20"/>
      <c r="F8991" s="20"/>
      <c r="AC8991" s="20"/>
      <c r="AG8991" s="29"/>
    </row>
    <row r="8992" spans="2:33">
      <c r="B8992" s="29"/>
      <c r="D8992" s="29"/>
      <c r="E8992" s="20"/>
      <c r="F8992" s="20"/>
      <c r="AC8992" s="20"/>
      <c r="AG8992" s="29"/>
    </row>
    <row r="8993" spans="2:33">
      <c r="B8993" s="29"/>
      <c r="D8993" s="29"/>
      <c r="E8993" s="20"/>
      <c r="F8993" s="20"/>
      <c r="AC8993" s="20"/>
      <c r="AG8993" s="29"/>
    </row>
    <row r="8994" spans="2:33">
      <c r="B8994" s="29"/>
      <c r="D8994" s="29"/>
      <c r="E8994" s="20"/>
      <c r="F8994" s="20"/>
      <c r="AC8994" s="20"/>
      <c r="AG8994" s="29"/>
    </row>
    <row r="8995" spans="2:33">
      <c r="B8995" s="29"/>
      <c r="D8995" s="29"/>
      <c r="E8995" s="20"/>
      <c r="F8995" s="20"/>
      <c r="AC8995" s="20"/>
      <c r="AG8995" s="29"/>
    </row>
    <row r="8996" spans="2:33">
      <c r="B8996" s="29"/>
      <c r="D8996" s="29"/>
      <c r="E8996" s="20"/>
      <c r="F8996" s="20"/>
      <c r="AC8996" s="20"/>
      <c r="AG8996" s="29"/>
    </row>
    <row r="8997" spans="2:33">
      <c r="B8997" s="29"/>
      <c r="D8997" s="29"/>
      <c r="E8997" s="20"/>
      <c r="F8997" s="20"/>
      <c r="AC8997" s="20"/>
      <c r="AG8997" s="29"/>
    </row>
    <row r="8998" spans="2:33">
      <c r="B8998" s="29"/>
      <c r="D8998" s="29"/>
      <c r="E8998" s="20"/>
      <c r="F8998" s="20"/>
      <c r="AC8998" s="20"/>
      <c r="AG8998" s="29"/>
    </row>
    <row r="8999" spans="2:33">
      <c r="B8999" s="29"/>
      <c r="D8999" s="29"/>
      <c r="E8999" s="20"/>
      <c r="F8999" s="20"/>
      <c r="AC8999" s="20"/>
      <c r="AG8999" s="29"/>
    </row>
    <row r="9000" spans="2:33">
      <c r="B9000" s="29"/>
      <c r="D9000" s="29"/>
      <c r="E9000" s="20"/>
      <c r="F9000" s="20"/>
      <c r="AC9000" s="20"/>
      <c r="AG9000" s="29"/>
    </row>
    <row r="9001" spans="2:33">
      <c r="B9001" s="29"/>
      <c r="D9001" s="29"/>
      <c r="E9001" s="20"/>
      <c r="F9001" s="20"/>
      <c r="AC9001" s="20"/>
      <c r="AG9001" s="29"/>
    </row>
    <row r="9002" spans="2:33">
      <c r="B9002" s="29"/>
      <c r="D9002" s="29"/>
      <c r="E9002" s="20"/>
      <c r="F9002" s="20"/>
      <c r="AC9002" s="20"/>
      <c r="AG9002" s="29"/>
    </row>
    <row r="9003" spans="2:33">
      <c r="B9003" s="29"/>
      <c r="D9003" s="29"/>
      <c r="E9003" s="20"/>
      <c r="F9003" s="20"/>
      <c r="AC9003" s="20"/>
      <c r="AG9003" s="29"/>
    </row>
    <row r="9004" spans="2:33">
      <c r="B9004" s="29"/>
      <c r="D9004" s="29"/>
      <c r="E9004" s="20"/>
      <c r="F9004" s="20"/>
      <c r="AC9004" s="20"/>
      <c r="AG9004" s="29"/>
    </row>
    <row r="9005" spans="2:33">
      <c r="B9005" s="29"/>
      <c r="D9005" s="29"/>
      <c r="E9005" s="20"/>
      <c r="F9005" s="20"/>
      <c r="AC9005" s="20"/>
      <c r="AG9005" s="29"/>
    </row>
    <row r="9006" spans="2:33">
      <c r="B9006" s="29"/>
      <c r="D9006" s="29"/>
      <c r="E9006" s="20"/>
      <c r="F9006" s="20"/>
      <c r="AC9006" s="20"/>
      <c r="AG9006" s="29"/>
    </row>
    <row r="9007" spans="2:33">
      <c r="B9007" s="29"/>
      <c r="D9007" s="29"/>
      <c r="E9007" s="20"/>
      <c r="F9007" s="20"/>
      <c r="AC9007" s="20"/>
      <c r="AG9007" s="29"/>
    </row>
    <row r="9008" spans="2:33">
      <c r="B9008" s="29"/>
      <c r="D9008" s="29"/>
      <c r="E9008" s="20"/>
      <c r="F9008" s="20"/>
      <c r="AC9008" s="20"/>
      <c r="AG9008" s="29"/>
    </row>
    <row r="9009" spans="2:33">
      <c r="B9009" s="29"/>
      <c r="D9009" s="29"/>
      <c r="E9009" s="20"/>
      <c r="F9009" s="20"/>
      <c r="AC9009" s="20"/>
      <c r="AG9009" s="29"/>
    </row>
    <row r="9010" spans="2:33">
      <c r="B9010" s="29"/>
      <c r="D9010" s="29"/>
      <c r="E9010" s="20"/>
      <c r="F9010" s="20"/>
      <c r="AC9010" s="20"/>
      <c r="AG9010" s="29"/>
    </row>
    <row r="9011" spans="2:33">
      <c r="B9011" s="29"/>
      <c r="D9011" s="29"/>
      <c r="E9011" s="20"/>
      <c r="F9011" s="20"/>
      <c r="AC9011" s="20"/>
      <c r="AG9011" s="29"/>
    </row>
    <row r="9012" spans="2:33">
      <c r="B9012" s="29"/>
      <c r="D9012" s="29"/>
      <c r="E9012" s="20"/>
      <c r="F9012" s="20"/>
      <c r="AC9012" s="20"/>
      <c r="AG9012" s="29"/>
    </row>
    <row r="9013" spans="2:33">
      <c r="B9013" s="29"/>
      <c r="D9013" s="29"/>
      <c r="E9013" s="20"/>
      <c r="F9013" s="20"/>
      <c r="AC9013" s="20"/>
      <c r="AG9013" s="29"/>
    </row>
    <row r="9014" spans="2:33">
      <c r="B9014" s="29"/>
      <c r="D9014" s="29"/>
      <c r="E9014" s="20"/>
      <c r="F9014" s="20"/>
      <c r="AC9014" s="20"/>
      <c r="AG9014" s="29"/>
    </row>
    <row r="9015" spans="2:33">
      <c r="B9015" s="29"/>
      <c r="D9015" s="29"/>
      <c r="E9015" s="20"/>
      <c r="F9015" s="20"/>
      <c r="AC9015" s="20"/>
      <c r="AG9015" s="29"/>
    </row>
    <row r="9016" spans="2:33">
      <c r="B9016" s="29"/>
      <c r="D9016" s="29"/>
      <c r="E9016" s="20"/>
      <c r="F9016" s="20"/>
      <c r="AC9016" s="20"/>
      <c r="AG9016" s="29"/>
    </row>
    <row r="9017" spans="2:33">
      <c r="B9017" s="29"/>
      <c r="D9017" s="29"/>
      <c r="E9017" s="20"/>
      <c r="F9017" s="20"/>
      <c r="AC9017" s="20"/>
      <c r="AG9017" s="29"/>
    </row>
    <row r="9018" spans="2:33">
      <c r="B9018" s="29"/>
      <c r="D9018" s="29"/>
      <c r="E9018" s="20"/>
      <c r="F9018" s="20"/>
      <c r="AC9018" s="20"/>
      <c r="AG9018" s="29"/>
    </row>
    <row r="9019" spans="2:33">
      <c r="B9019" s="29"/>
      <c r="D9019" s="29"/>
      <c r="E9019" s="20"/>
      <c r="F9019" s="20"/>
      <c r="AC9019" s="20"/>
      <c r="AG9019" s="29"/>
    </row>
    <row r="9020" spans="2:33">
      <c r="B9020" s="29"/>
      <c r="D9020" s="29"/>
      <c r="E9020" s="20"/>
      <c r="F9020" s="20"/>
      <c r="AC9020" s="20"/>
      <c r="AG9020" s="29"/>
    </row>
    <row r="9021" spans="2:33">
      <c r="B9021" s="29"/>
      <c r="D9021" s="29"/>
      <c r="E9021" s="20"/>
      <c r="F9021" s="20"/>
      <c r="AC9021" s="20"/>
      <c r="AG9021" s="29"/>
    </row>
    <row r="9022" spans="2:33">
      <c r="B9022" s="29"/>
      <c r="D9022" s="29"/>
      <c r="E9022" s="20"/>
      <c r="F9022" s="20"/>
      <c r="AC9022" s="20"/>
      <c r="AG9022" s="29"/>
    </row>
    <row r="9023" spans="2:33">
      <c r="B9023" s="29"/>
      <c r="D9023" s="29"/>
      <c r="E9023" s="20"/>
      <c r="F9023" s="20"/>
      <c r="AC9023" s="20"/>
      <c r="AG9023" s="29"/>
    </row>
    <row r="9024" spans="2:33">
      <c r="B9024" s="29"/>
      <c r="D9024" s="29"/>
      <c r="E9024" s="20"/>
      <c r="F9024" s="20"/>
      <c r="AC9024" s="20"/>
      <c r="AG9024" s="29"/>
    </row>
    <row r="9025" spans="2:33">
      <c r="B9025" s="29"/>
      <c r="D9025" s="29"/>
      <c r="E9025" s="20"/>
      <c r="F9025" s="20"/>
      <c r="AC9025" s="20"/>
      <c r="AG9025" s="29"/>
    </row>
    <row r="9026" spans="2:33">
      <c r="B9026" s="29"/>
      <c r="D9026" s="29"/>
      <c r="E9026" s="20"/>
      <c r="F9026" s="20"/>
      <c r="AC9026" s="20"/>
      <c r="AG9026" s="29"/>
    </row>
    <row r="9027" spans="2:33">
      <c r="B9027" s="29"/>
      <c r="D9027" s="29"/>
      <c r="E9027" s="20"/>
      <c r="F9027" s="20"/>
      <c r="AC9027" s="20"/>
      <c r="AG9027" s="29"/>
    </row>
    <row r="9028" spans="2:33">
      <c r="B9028" s="29"/>
      <c r="D9028" s="29"/>
      <c r="E9028" s="20"/>
      <c r="F9028" s="20"/>
      <c r="AC9028" s="20"/>
      <c r="AG9028" s="29"/>
    </row>
    <row r="9029" spans="2:33">
      <c r="B9029" s="29"/>
      <c r="D9029" s="29"/>
      <c r="E9029" s="20"/>
      <c r="F9029" s="20"/>
      <c r="AC9029" s="20"/>
      <c r="AG9029" s="29"/>
    </row>
    <row r="9030" spans="2:33">
      <c r="B9030" s="29"/>
      <c r="D9030" s="29"/>
      <c r="E9030" s="20"/>
      <c r="F9030" s="20"/>
      <c r="AC9030" s="20"/>
      <c r="AG9030" s="29"/>
    </row>
    <row r="9031" spans="2:33">
      <c r="B9031" s="29"/>
      <c r="D9031" s="29"/>
      <c r="E9031" s="20"/>
      <c r="F9031" s="20"/>
      <c r="AC9031" s="20"/>
      <c r="AG9031" s="29"/>
    </row>
    <row r="9032" spans="2:33">
      <c r="B9032" s="29"/>
      <c r="D9032" s="29"/>
      <c r="E9032" s="20"/>
      <c r="F9032" s="20"/>
      <c r="AC9032" s="20"/>
      <c r="AG9032" s="29"/>
    </row>
    <row r="9033" spans="2:33">
      <c r="B9033" s="29"/>
      <c r="D9033" s="29"/>
      <c r="E9033" s="20"/>
      <c r="F9033" s="20"/>
      <c r="AC9033" s="20"/>
      <c r="AG9033" s="29"/>
    </row>
    <row r="9034" spans="2:33">
      <c r="B9034" s="29"/>
      <c r="D9034" s="29"/>
      <c r="E9034" s="20"/>
      <c r="F9034" s="20"/>
      <c r="AC9034" s="20"/>
      <c r="AG9034" s="29"/>
    </row>
    <row r="9035" spans="2:33">
      <c r="B9035" s="29"/>
      <c r="D9035" s="29"/>
      <c r="E9035" s="20"/>
      <c r="F9035" s="20"/>
      <c r="AC9035" s="20"/>
      <c r="AG9035" s="29"/>
    </row>
    <row r="9036" spans="2:33">
      <c r="B9036" s="29"/>
      <c r="D9036" s="29"/>
      <c r="E9036" s="20"/>
      <c r="F9036" s="20"/>
      <c r="AC9036" s="20"/>
      <c r="AG9036" s="29"/>
    </row>
    <row r="9037" spans="2:33">
      <c r="B9037" s="29"/>
      <c r="D9037" s="29"/>
      <c r="E9037" s="20"/>
      <c r="F9037" s="20"/>
      <c r="AC9037" s="20"/>
      <c r="AG9037" s="29"/>
    </row>
    <row r="9038" spans="2:33">
      <c r="B9038" s="29"/>
      <c r="D9038" s="29"/>
      <c r="E9038" s="20"/>
      <c r="F9038" s="20"/>
      <c r="AC9038" s="20"/>
      <c r="AG9038" s="29"/>
    </row>
    <row r="9039" spans="2:33">
      <c r="B9039" s="29"/>
      <c r="D9039" s="29"/>
      <c r="E9039" s="20"/>
      <c r="F9039" s="20"/>
      <c r="AC9039" s="20"/>
      <c r="AG9039" s="29"/>
    </row>
    <row r="9040" spans="2:33">
      <c r="B9040" s="29"/>
      <c r="D9040" s="29"/>
      <c r="E9040" s="20"/>
      <c r="F9040" s="20"/>
      <c r="AC9040" s="20"/>
      <c r="AG9040" s="29"/>
    </row>
    <row r="9041" spans="2:33">
      <c r="B9041" s="29"/>
      <c r="D9041" s="29"/>
      <c r="E9041" s="20"/>
      <c r="F9041" s="20"/>
      <c r="AC9041" s="20"/>
      <c r="AG9041" s="29"/>
    </row>
    <row r="9042" spans="2:33">
      <c r="B9042" s="29"/>
      <c r="D9042" s="29"/>
      <c r="E9042" s="20"/>
      <c r="F9042" s="20"/>
      <c r="AC9042" s="20"/>
      <c r="AG9042" s="29"/>
    </row>
    <row r="9043" spans="2:33">
      <c r="B9043" s="29"/>
      <c r="D9043" s="29"/>
      <c r="E9043" s="20"/>
      <c r="F9043" s="20"/>
      <c r="AC9043" s="20"/>
      <c r="AG9043" s="29"/>
    </row>
    <row r="9044" spans="2:33">
      <c r="B9044" s="29"/>
      <c r="D9044" s="29"/>
      <c r="E9044" s="20"/>
      <c r="F9044" s="20"/>
      <c r="AC9044" s="20"/>
      <c r="AG9044" s="29"/>
    </row>
    <row r="9045" spans="2:33">
      <c r="B9045" s="29"/>
      <c r="D9045" s="29"/>
      <c r="E9045" s="20"/>
      <c r="F9045" s="20"/>
      <c r="AC9045" s="20"/>
      <c r="AG9045" s="29"/>
    </row>
    <row r="9046" spans="2:33">
      <c r="B9046" s="29"/>
      <c r="D9046" s="29"/>
      <c r="E9046" s="20"/>
      <c r="F9046" s="20"/>
      <c r="AC9046" s="20"/>
      <c r="AG9046" s="29"/>
    </row>
    <row r="9047" spans="2:33">
      <c r="B9047" s="29"/>
      <c r="D9047" s="29"/>
      <c r="E9047" s="20"/>
      <c r="F9047" s="20"/>
      <c r="AC9047" s="20"/>
      <c r="AG9047" s="29"/>
    </row>
    <row r="9048" spans="2:33">
      <c r="B9048" s="29"/>
      <c r="D9048" s="29"/>
      <c r="E9048" s="20"/>
      <c r="F9048" s="20"/>
      <c r="AC9048" s="20"/>
      <c r="AG9048" s="29"/>
    </row>
    <row r="9049" spans="2:33">
      <c r="B9049" s="29"/>
      <c r="D9049" s="29"/>
      <c r="E9049" s="20"/>
      <c r="F9049" s="20"/>
      <c r="AC9049" s="20"/>
      <c r="AG9049" s="29"/>
    </row>
    <row r="9050" spans="2:33">
      <c r="B9050" s="29"/>
      <c r="D9050" s="29"/>
      <c r="E9050" s="20"/>
      <c r="F9050" s="20"/>
      <c r="AC9050" s="20"/>
      <c r="AG9050" s="29"/>
    </row>
    <row r="9051" spans="2:33">
      <c r="B9051" s="29"/>
      <c r="D9051" s="29"/>
      <c r="E9051" s="20"/>
      <c r="F9051" s="20"/>
      <c r="AC9051" s="20"/>
      <c r="AG9051" s="29"/>
    </row>
    <row r="9052" spans="2:33">
      <c r="B9052" s="29"/>
      <c r="D9052" s="29"/>
      <c r="E9052" s="20"/>
      <c r="F9052" s="20"/>
      <c r="AC9052" s="20"/>
      <c r="AG9052" s="29"/>
    </row>
    <row r="9053" spans="2:33">
      <c r="B9053" s="29"/>
      <c r="D9053" s="29"/>
      <c r="E9053" s="20"/>
      <c r="F9053" s="20"/>
      <c r="AC9053" s="20"/>
      <c r="AG9053" s="29"/>
    </row>
    <row r="9054" spans="2:33">
      <c r="B9054" s="29"/>
      <c r="D9054" s="29"/>
      <c r="E9054" s="20"/>
      <c r="F9054" s="20"/>
      <c r="AC9054" s="20"/>
      <c r="AG9054" s="29"/>
    </row>
    <row r="9055" spans="2:33">
      <c r="B9055" s="29"/>
      <c r="D9055" s="29"/>
      <c r="E9055" s="20"/>
      <c r="F9055" s="20"/>
      <c r="AC9055" s="20"/>
      <c r="AG9055" s="29"/>
    </row>
    <row r="9056" spans="2:33">
      <c r="B9056" s="29"/>
      <c r="D9056" s="29"/>
      <c r="E9056" s="20"/>
      <c r="F9056" s="20"/>
      <c r="AC9056" s="20"/>
      <c r="AG9056" s="29"/>
    </row>
    <row r="9057" spans="2:33">
      <c r="B9057" s="29"/>
      <c r="D9057" s="29"/>
      <c r="E9057" s="20"/>
      <c r="F9057" s="20"/>
      <c r="AC9057" s="20"/>
      <c r="AG9057" s="29"/>
    </row>
    <row r="9058" spans="2:33">
      <c r="B9058" s="29"/>
      <c r="D9058" s="29"/>
      <c r="E9058" s="20"/>
      <c r="F9058" s="20"/>
      <c r="AC9058" s="20"/>
      <c r="AG9058" s="29"/>
    </row>
    <row r="9059" spans="2:33">
      <c r="B9059" s="29"/>
      <c r="D9059" s="29"/>
      <c r="E9059" s="20"/>
      <c r="F9059" s="20"/>
      <c r="AC9059" s="20"/>
      <c r="AG9059" s="29"/>
    </row>
    <row r="9060" spans="2:33">
      <c r="B9060" s="29"/>
      <c r="D9060" s="29"/>
      <c r="E9060" s="20"/>
      <c r="F9060" s="20"/>
      <c r="AC9060" s="20"/>
      <c r="AG9060" s="29"/>
    </row>
    <row r="9061" spans="2:33">
      <c r="B9061" s="29"/>
      <c r="D9061" s="29"/>
      <c r="E9061" s="20"/>
      <c r="F9061" s="20"/>
      <c r="AC9061" s="20"/>
      <c r="AG9061" s="29"/>
    </row>
    <row r="9062" spans="2:33">
      <c r="B9062" s="29"/>
      <c r="D9062" s="29"/>
      <c r="E9062" s="20"/>
      <c r="F9062" s="20"/>
      <c r="AC9062" s="20"/>
      <c r="AG9062" s="29"/>
    </row>
    <row r="9063" spans="2:33">
      <c r="B9063" s="29"/>
      <c r="D9063" s="29"/>
      <c r="E9063" s="20"/>
      <c r="F9063" s="20"/>
      <c r="AC9063" s="20"/>
      <c r="AG9063" s="29"/>
    </row>
    <row r="9064" spans="2:33">
      <c r="B9064" s="29"/>
      <c r="D9064" s="29"/>
      <c r="E9064" s="20"/>
      <c r="F9064" s="20"/>
      <c r="AC9064" s="20"/>
      <c r="AG9064" s="29"/>
    </row>
    <row r="9065" spans="2:33">
      <c r="B9065" s="29"/>
      <c r="D9065" s="29"/>
      <c r="E9065" s="20"/>
      <c r="F9065" s="20"/>
      <c r="AC9065" s="20"/>
      <c r="AG9065" s="29"/>
    </row>
    <row r="9066" spans="2:33">
      <c r="B9066" s="29"/>
      <c r="D9066" s="29"/>
      <c r="E9066" s="20"/>
      <c r="F9066" s="20"/>
      <c r="AC9066" s="20"/>
      <c r="AG9066" s="29"/>
    </row>
    <row r="9067" spans="2:33">
      <c r="B9067" s="29"/>
      <c r="D9067" s="29"/>
      <c r="E9067" s="20"/>
      <c r="F9067" s="20"/>
      <c r="AC9067" s="20"/>
      <c r="AG9067" s="29"/>
    </row>
    <row r="9068" spans="2:33">
      <c r="B9068" s="29"/>
      <c r="D9068" s="29"/>
      <c r="E9068" s="20"/>
      <c r="F9068" s="20"/>
      <c r="AC9068" s="20"/>
      <c r="AG9068" s="29"/>
    </row>
    <row r="9069" spans="2:33">
      <c r="B9069" s="29"/>
      <c r="D9069" s="29"/>
      <c r="E9069" s="20"/>
      <c r="F9069" s="20"/>
      <c r="AC9069" s="20"/>
      <c r="AG9069" s="29"/>
    </row>
    <row r="9070" spans="2:33">
      <c r="B9070" s="29"/>
      <c r="D9070" s="29"/>
      <c r="E9070" s="20"/>
      <c r="F9070" s="20"/>
      <c r="AC9070" s="20"/>
      <c r="AG9070" s="29"/>
    </row>
    <row r="9071" spans="2:33">
      <c r="B9071" s="29"/>
      <c r="D9071" s="29"/>
      <c r="E9071" s="20"/>
      <c r="F9071" s="20"/>
      <c r="AC9071" s="20"/>
      <c r="AG9071" s="29"/>
    </row>
    <row r="9072" spans="2:33">
      <c r="B9072" s="29"/>
      <c r="D9072" s="29"/>
      <c r="E9072" s="20"/>
      <c r="F9072" s="20"/>
      <c r="AC9072" s="20"/>
      <c r="AG9072" s="29"/>
    </row>
    <row r="9073" spans="2:33">
      <c r="B9073" s="29"/>
      <c r="D9073" s="29"/>
      <c r="E9073" s="20"/>
      <c r="F9073" s="20"/>
      <c r="AC9073" s="20"/>
      <c r="AG9073" s="29"/>
    </row>
    <row r="9074" spans="2:33">
      <c r="B9074" s="29"/>
      <c r="D9074" s="29"/>
      <c r="E9074" s="20"/>
      <c r="F9074" s="20"/>
      <c r="AC9074" s="20"/>
      <c r="AG9074" s="29"/>
    </row>
    <row r="9075" spans="2:33">
      <c r="B9075" s="29"/>
      <c r="D9075" s="29"/>
      <c r="E9075" s="20"/>
      <c r="F9075" s="20"/>
      <c r="AC9075" s="20"/>
      <c r="AG9075" s="29"/>
    </row>
    <row r="9076" spans="2:33">
      <c r="B9076" s="29"/>
      <c r="D9076" s="29"/>
      <c r="E9076" s="20"/>
      <c r="F9076" s="20"/>
      <c r="AC9076" s="20"/>
      <c r="AG9076" s="29"/>
    </row>
    <row r="9077" spans="2:33">
      <c r="B9077" s="29"/>
      <c r="D9077" s="29"/>
      <c r="E9077" s="20"/>
      <c r="F9077" s="20"/>
      <c r="AC9077" s="20"/>
      <c r="AG9077" s="29"/>
    </row>
    <row r="9078" spans="2:33">
      <c r="B9078" s="29"/>
      <c r="D9078" s="29"/>
      <c r="E9078" s="20"/>
      <c r="F9078" s="20"/>
      <c r="AC9078" s="20"/>
      <c r="AG9078" s="29"/>
    </row>
    <row r="9079" spans="2:33">
      <c r="B9079" s="29"/>
      <c r="D9079" s="29"/>
      <c r="E9079" s="20"/>
      <c r="F9079" s="20"/>
      <c r="AC9079" s="20"/>
      <c r="AG9079" s="29"/>
    </row>
    <row r="9080" spans="2:33">
      <c r="B9080" s="29"/>
      <c r="D9080" s="29"/>
      <c r="E9080" s="20"/>
      <c r="F9080" s="20"/>
      <c r="AC9080" s="20"/>
      <c r="AG9080" s="29"/>
    </row>
    <row r="9081" spans="2:33">
      <c r="B9081" s="29"/>
      <c r="D9081" s="29"/>
      <c r="E9081" s="20"/>
      <c r="F9081" s="20"/>
      <c r="AC9081" s="20"/>
      <c r="AG9081" s="29"/>
    </row>
    <row r="9082" spans="2:33">
      <c r="B9082" s="29"/>
      <c r="D9082" s="29"/>
      <c r="E9082" s="20"/>
      <c r="F9082" s="20"/>
      <c r="AC9082" s="20"/>
      <c r="AG9082" s="29"/>
    </row>
    <row r="9083" spans="2:33">
      <c r="B9083" s="29"/>
      <c r="D9083" s="29"/>
      <c r="E9083" s="20"/>
      <c r="F9083" s="20"/>
      <c r="AC9083" s="20"/>
      <c r="AG9083" s="29"/>
    </row>
    <row r="9084" spans="2:33">
      <c r="B9084" s="29"/>
      <c r="D9084" s="29"/>
      <c r="E9084" s="20"/>
      <c r="F9084" s="20"/>
      <c r="AC9084" s="20"/>
      <c r="AG9084" s="29"/>
    </row>
    <row r="9085" spans="2:33">
      <c r="B9085" s="29"/>
      <c r="D9085" s="29"/>
      <c r="E9085" s="20"/>
      <c r="F9085" s="20"/>
      <c r="AC9085" s="20"/>
      <c r="AG9085" s="29"/>
    </row>
    <row r="9086" spans="2:33">
      <c r="B9086" s="29"/>
      <c r="D9086" s="29"/>
      <c r="E9086" s="20"/>
      <c r="F9086" s="20"/>
      <c r="AC9086" s="20"/>
      <c r="AG9086" s="29"/>
    </row>
    <row r="9087" spans="2:33">
      <c r="B9087" s="29"/>
      <c r="D9087" s="29"/>
      <c r="E9087" s="20"/>
      <c r="F9087" s="20"/>
      <c r="AC9087" s="20"/>
      <c r="AG9087" s="29"/>
    </row>
    <row r="9088" spans="2:33">
      <c r="B9088" s="29"/>
      <c r="D9088" s="29"/>
      <c r="E9088" s="20"/>
      <c r="F9088" s="20"/>
      <c r="AC9088" s="20"/>
      <c r="AG9088" s="29"/>
    </row>
    <row r="9089" spans="2:33">
      <c r="B9089" s="29"/>
      <c r="D9089" s="29"/>
      <c r="E9089" s="20"/>
      <c r="F9089" s="20"/>
      <c r="AC9089" s="20"/>
      <c r="AG9089" s="29"/>
    </row>
    <row r="9090" spans="2:33">
      <c r="B9090" s="29"/>
      <c r="D9090" s="29"/>
      <c r="E9090" s="20"/>
      <c r="F9090" s="20"/>
      <c r="AC9090" s="20"/>
      <c r="AG9090" s="29"/>
    </row>
    <row r="9091" spans="2:33">
      <c r="B9091" s="29"/>
      <c r="D9091" s="29"/>
      <c r="E9091" s="20"/>
      <c r="F9091" s="20"/>
      <c r="AC9091" s="20"/>
      <c r="AG9091" s="29"/>
    </row>
    <row r="9092" spans="2:33">
      <c r="B9092" s="29"/>
      <c r="D9092" s="29"/>
      <c r="E9092" s="20"/>
      <c r="F9092" s="20"/>
      <c r="AC9092" s="20"/>
      <c r="AG9092" s="29"/>
    </row>
    <row r="9093" spans="2:33">
      <c r="B9093" s="29"/>
      <c r="D9093" s="29"/>
      <c r="E9093" s="20"/>
      <c r="F9093" s="20"/>
      <c r="AC9093" s="20"/>
      <c r="AG9093" s="29"/>
    </row>
    <row r="9094" spans="2:33">
      <c r="B9094" s="29"/>
      <c r="D9094" s="29"/>
      <c r="E9094" s="20"/>
      <c r="F9094" s="20"/>
      <c r="AC9094" s="20"/>
      <c r="AG9094" s="29"/>
    </row>
    <row r="9095" spans="2:33">
      <c r="B9095" s="29"/>
      <c r="D9095" s="29"/>
      <c r="E9095" s="20"/>
      <c r="F9095" s="20"/>
      <c r="AC9095" s="20"/>
      <c r="AG9095" s="29"/>
    </row>
    <row r="9096" spans="2:33">
      <c r="B9096" s="29"/>
      <c r="D9096" s="29"/>
      <c r="E9096" s="20"/>
      <c r="F9096" s="20"/>
      <c r="AC9096" s="20"/>
      <c r="AG9096" s="29"/>
    </row>
    <row r="9097" spans="2:33">
      <c r="B9097" s="29"/>
      <c r="D9097" s="29"/>
      <c r="E9097" s="20"/>
      <c r="F9097" s="20"/>
      <c r="AC9097" s="20"/>
      <c r="AG9097" s="29"/>
    </row>
    <row r="9098" spans="2:33">
      <c r="B9098" s="29"/>
      <c r="D9098" s="29"/>
      <c r="E9098" s="20"/>
      <c r="F9098" s="20"/>
      <c r="AC9098" s="20"/>
      <c r="AG9098" s="29"/>
    </row>
    <row r="9099" spans="2:33">
      <c r="B9099" s="29"/>
      <c r="D9099" s="29"/>
      <c r="E9099" s="20"/>
      <c r="F9099" s="20"/>
      <c r="AC9099" s="20"/>
      <c r="AG9099" s="29"/>
    </row>
    <row r="9100" spans="2:33">
      <c r="B9100" s="29"/>
      <c r="D9100" s="29"/>
      <c r="E9100" s="20"/>
      <c r="F9100" s="20"/>
      <c r="AC9100" s="20"/>
      <c r="AG9100" s="29"/>
    </row>
    <row r="9101" spans="2:33">
      <c r="B9101" s="29"/>
      <c r="D9101" s="29"/>
      <c r="E9101" s="20"/>
      <c r="F9101" s="20"/>
      <c r="AC9101" s="20"/>
      <c r="AG9101" s="29"/>
    </row>
    <row r="9102" spans="2:33">
      <c r="B9102" s="29"/>
      <c r="D9102" s="29"/>
      <c r="E9102" s="20"/>
      <c r="F9102" s="20"/>
      <c r="AC9102" s="20"/>
      <c r="AG9102" s="29"/>
    </row>
    <row r="9103" spans="2:33">
      <c r="B9103" s="29"/>
      <c r="D9103" s="29"/>
      <c r="E9103" s="20"/>
      <c r="F9103" s="20"/>
      <c r="AC9103" s="20"/>
      <c r="AG9103" s="29"/>
    </row>
    <row r="9104" spans="2:33">
      <c r="B9104" s="29"/>
      <c r="D9104" s="29"/>
      <c r="E9104" s="20"/>
      <c r="F9104" s="20"/>
      <c r="AC9104" s="20"/>
      <c r="AG9104" s="29"/>
    </row>
    <row r="9105" spans="2:33">
      <c r="B9105" s="29"/>
      <c r="D9105" s="29"/>
      <c r="E9105" s="20"/>
      <c r="F9105" s="20"/>
      <c r="AC9105" s="20"/>
      <c r="AG9105" s="29"/>
    </row>
    <row r="9106" spans="2:33">
      <c r="B9106" s="29"/>
      <c r="D9106" s="29"/>
      <c r="E9106" s="20"/>
      <c r="F9106" s="20"/>
      <c r="AC9106" s="20"/>
      <c r="AG9106" s="29"/>
    </row>
    <row r="9107" spans="2:33">
      <c r="B9107" s="29"/>
      <c r="D9107" s="29"/>
      <c r="E9107" s="20"/>
      <c r="F9107" s="20"/>
      <c r="AC9107" s="20"/>
      <c r="AG9107" s="29"/>
    </row>
    <row r="9108" spans="2:33">
      <c r="B9108" s="29"/>
      <c r="D9108" s="29"/>
      <c r="E9108" s="20"/>
      <c r="F9108" s="20"/>
      <c r="AC9108" s="20"/>
      <c r="AG9108" s="29"/>
    </row>
    <row r="9109" spans="2:33">
      <c r="B9109" s="29"/>
      <c r="D9109" s="29"/>
      <c r="E9109" s="20"/>
      <c r="F9109" s="20"/>
      <c r="AC9109" s="20"/>
      <c r="AG9109" s="29"/>
    </row>
    <row r="9110" spans="2:33">
      <c r="B9110" s="29"/>
      <c r="D9110" s="29"/>
      <c r="E9110" s="20"/>
      <c r="F9110" s="20"/>
      <c r="AC9110" s="20"/>
      <c r="AG9110" s="29"/>
    </row>
    <row r="9111" spans="2:33">
      <c r="B9111" s="29"/>
      <c r="D9111" s="29"/>
      <c r="E9111" s="20"/>
      <c r="F9111" s="20"/>
      <c r="AC9111" s="20"/>
      <c r="AG9111" s="29"/>
    </row>
    <row r="9112" spans="2:33">
      <c r="B9112" s="29"/>
      <c r="D9112" s="29"/>
      <c r="E9112" s="20"/>
      <c r="F9112" s="20"/>
      <c r="AC9112" s="20"/>
      <c r="AG9112" s="29"/>
    </row>
    <row r="9113" spans="2:33">
      <c r="B9113" s="29"/>
      <c r="D9113" s="29"/>
      <c r="E9113" s="20"/>
      <c r="F9113" s="20"/>
      <c r="AC9113" s="20"/>
      <c r="AG9113" s="29"/>
    </row>
    <row r="9114" spans="2:33">
      <c r="B9114" s="29"/>
      <c r="D9114" s="29"/>
      <c r="E9114" s="20"/>
      <c r="F9114" s="20"/>
      <c r="AC9114" s="20"/>
      <c r="AG9114" s="29"/>
    </row>
    <row r="9115" spans="2:33">
      <c r="B9115" s="29"/>
      <c r="D9115" s="29"/>
      <c r="E9115" s="20"/>
      <c r="F9115" s="20"/>
      <c r="AC9115" s="20"/>
      <c r="AG9115" s="29"/>
    </row>
    <row r="9116" spans="2:33">
      <c r="B9116" s="29"/>
      <c r="D9116" s="29"/>
      <c r="E9116" s="20"/>
      <c r="F9116" s="20"/>
      <c r="AC9116" s="20"/>
      <c r="AG9116" s="29"/>
    </row>
    <row r="9117" spans="2:33">
      <c r="B9117" s="29"/>
      <c r="D9117" s="29"/>
      <c r="E9117" s="20"/>
      <c r="F9117" s="20"/>
      <c r="AC9117" s="20"/>
      <c r="AG9117" s="29"/>
    </row>
    <row r="9118" spans="2:33">
      <c r="B9118" s="29"/>
      <c r="D9118" s="29"/>
      <c r="E9118" s="20"/>
      <c r="F9118" s="20"/>
      <c r="AC9118" s="20"/>
      <c r="AG9118" s="29"/>
    </row>
    <row r="9119" spans="2:33">
      <c r="B9119" s="29"/>
      <c r="D9119" s="29"/>
      <c r="E9119" s="20"/>
      <c r="F9119" s="20"/>
      <c r="AC9119" s="20"/>
      <c r="AG9119" s="29"/>
    </row>
    <row r="9120" spans="2:33">
      <c r="B9120" s="29"/>
      <c r="D9120" s="29"/>
      <c r="E9120" s="20"/>
      <c r="F9120" s="20"/>
      <c r="AC9120" s="20"/>
      <c r="AG9120" s="29"/>
    </row>
    <row r="9121" spans="2:33">
      <c r="B9121" s="29"/>
      <c r="D9121" s="29"/>
      <c r="E9121" s="20"/>
      <c r="F9121" s="20"/>
      <c r="AC9121" s="20"/>
      <c r="AG9121" s="29"/>
    </row>
    <row r="9122" spans="2:33">
      <c r="B9122" s="29"/>
      <c r="D9122" s="29"/>
      <c r="E9122" s="20"/>
      <c r="F9122" s="20"/>
      <c r="AC9122" s="20"/>
      <c r="AG9122" s="29"/>
    </row>
    <row r="9123" spans="2:33">
      <c r="B9123" s="29"/>
      <c r="D9123" s="29"/>
      <c r="E9123" s="20"/>
      <c r="F9123" s="20"/>
      <c r="AC9123" s="20"/>
      <c r="AG9123" s="29"/>
    </row>
    <row r="9124" spans="2:33">
      <c r="B9124" s="29"/>
      <c r="D9124" s="29"/>
      <c r="E9124" s="20"/>
      <c r="F9124" s="20"/>
      <c r="AC9124" s="20"/>
      <c r="AG9124" s="29"/>
    </row>
    <row r="9125" spans="2:33">
      <c r="B9125" s="29"/>
      <c r="D9125" s="29"/>
      <c r="E9125" s="20"/>
      <c r="F9125" s="20"/>
      <c r="AC9125" s="20"/>
      <c r="AG9125" s="29"/>
    </row>
    <row r="9126" spans="2:33">
      <c r="B9126" s="29"/>
      <c r="D9126" s="29"/>
      <c r="E9126" s="20"/>
      <c r="F9126" s="20"/>
      <c r="AC9126" s="20"/>
      <c r="AG9126" s="29"/>
    </row>
    <row r="9127" spans="2:33">
      <c r="B9127" s="29"/>
      <c r="D9127" s="29"/>
      <c r="E9127" s="20"/>
      <c r="F9127" s="20"/>
      <c r="AC9127" s="20"/>
      <c r="AG9127" s="29"/>
    </row>
    <row r="9128" spans="2:33">
      <c r="B9128" s="29"/>
      <c r="D9128" s="29"/>
      <c r="E9128" s="20"/>
      <c r="F9128" s="20"/>
      <c r="AC9128" s="20"/>
      <c r="AG9128" s="29"/>
    </row>
    <row r="9129" spans="2:33">
      <c r="B9129" s="29"/>
      <c r="D9129" s="29"/>
      <c r="E9129" s="20"/>
      <c r="F9129" s="20"/>
      <c r="AC9129" s="20"/>
      <c r="AG9129" s="29"/>
    </row>
    <row r="9130" spans="2:33">
      <c r="B9130" s="29"/>
      <c r="D9130" s="29"/>
      <c r="E9130" s="20"/>
      <c r="F9130" s="20"/>
      <c r="AC9130" s="20"/>
      <c r="AG9130" s="29"/>
    </row>
    <row r="9131" spans="2:33">
      <c r="B9131" s="29"/>
      <c r="D9131" s="29"/>
      <c r="E9131" s="20"/>
      <c r="F9131" s="20"/>
      <c r="AC9131" s="20"/>
      <c r="AG9131" s="29"/>
    </row>
    <row r="9132" spans="2:33">
      <c r="B9132" s="29"/>
      <c r="D9132" s="29"/>
      <c r="E9132" s="20"/>
      <c r="F9132" s="20"/>
      <c r="AC9132" s="20"/>
      <c r="AG9132" s="29"/>
    </row>
    <row r="9133" spans="2:33">
      <c r="B9133" s="29"/>
      <c r="D9133" s="29"/>
      <c r="E9133" s="20"/>
      <c r="F9133" s="20"/>
      <c r="AC9133" s="20"/>
      <c r="AG9133" s="29"/>
    </row>
    <row r="9134" spans="2:33">
      <c r="B9134" s="29"/>
      <c r="D9134" s="29"/>
      <c r="E9134" s="20"/>
      <c r="F9134" s="20"/>
      <c r="AC9134" s="20"/>
      <c r="AG9134" s="29"/>
    </row>
    <row r="9135" spans="2:33">
      <c r="B9135" s="29"/>
      <c r="D9135" s="29"/>
      <c r="E9135" s="20"/>
      <c r="F9135" s="20"/>
      <c r="AC9135" s="20"/>
      <c r="AG9135" s="29"/>
    </row>
    <row r="9136" spans="2:33">
      <c r="B9136" s="29"/>
      <c r="D9136" s="29"/>
      <c r="E9136" s="20"/>
      <c r="F9136" s="20"/>
      <c r="AC9136" s="20"/>
      <c r="AG9136" s="29"/>
    </row>
    <row r="9137" spans="2:33">
      <c r="B9137" s="29"/>
      <c r="D9137" s="29"/>
      <c r="E9137" s="20"/>
      <c r="F9137" s="20"/>
      <c r="AC9137" s="20"/>
      <c r="AG9137" s="29"/>
    </row>
    <row r="9138" spans="2:33">
      <c r="B9138" s="29"/>
      <c r="D9138" s="29"/>
      <c r="E9138" s="20"/>
      <c r="F9138" s="20"/>
      <c r="AC9138" s="20"/>
      <c r="AG9138" s="29"/>
    </row>
    <row r="9139" spans="2:33">
      <c r="B9139" s="29"/>
      <c r="D9139" s="29"/>
      <c r="E9139" s="20"/>
      <c r="F9139" s="20"/>
      <c r="AC9139" s="20"/>
      <c r="AG9139" s="29"/>
    </row>
    <row r="9140" spans="2:33">
      <c r="B9140" s="29"/>
      <c r="D9140" s="29"/>
      <c r="E9140" s="20"/>
      <c r="F9140" s="20"/>
      <c r="AC9140" s="20"/>
      <c r="AG9140" s="29"/>
    </row>
    <row r="9141" spans="2:33">
      <c r="B9141" s="29"/>
      <c r="D9141" s="29"/>
      <c r="E9141" s="20"/>
      <c r="F9141" s="20"/>
      <c r="AC9141" s="20"/>
      <c r="AG9141" s="29"/>
    </row>
    <row r="9142" spans="2:33">
      <c r="B9142" s="29"/>
      <c r="D9142" s="29"/>
      <c r="E9142" s="20"/>
      <c r="F9142" s="20"/>
      <c r="AC9142" s="20"/>
      <c r="AG9142" s="29"/>
    </row>
    <row r="9143" spans="2:33">
      <c r="B9143" s="29"/>
      <c r="D9143" s="29"/>
      <c r="E9143" s="20"/>
      <c r="F9143" s="20"/>
      <c r="AC9143" s="20"/>
      <c r="AG9143" s="29"/>
    </row>
    <row r="9144" spans="2:33">
      <c r="B9144" s="29"/>
      <c r="D9144" s="29"/>
      <c r="E9144" s="20"/>
      <c r="F9144" s="20"/>
      <c r="AC9144" s="20"/>
      <c r="AG9144" s="29"/>
    </row>
    <row r="9145" spans="2:33">
      <c r="B9145" s="29"/>
      <c r="D9145" s="29"/>
      <c r="E9145" s="20"/>
      <c r="F9145" s="20"/>
      <c r="AC9145" s="20"/>
      <c r="AG9145" s="29"/>
    </row>
    <row r="9146" spans="2:33">
      <c r="B9146" s="29"/>
      <c r="D9146" s="29"/>
      <c r="E9146" s="20"/>
      <c r="F9146" s="20"/>
      <c r="AC9146" s="20"/>
      <c r="AG9146" s="29"/>
    </row>
    <row r="9147" spans="2:33">
      <c r="B9147" s="29"/>
      <c r="D9147" s="29"/>
      <c r="E9147" s="20"/>
      <c r="F9147" s="20"/>
      <c r="AC9147" s="20"/>
      <c r="AG9147" s="29"/>
    </row>
    <row r="9148" spans="2:33">
      <c r="B9148" s="29"/>
      <c r="D9148" s="29"/>
      <c r="E9148" s="20"/>
      <c r="F9148" s="20"/>
      <c r="AC9148" s="20"/>
      <c r="AG9148" s="29"/>
    </row>
    <row r="9149" spans="2:33">
      <c r="B9149" s="29"/>
      <c r="D9149" s="29"/>
      <c r="E9149" s="20"/>
      <c r="F9149" s="20"/>
      <c r="AC9149" s="20"/>
      <c r="AG9149" s="29"/>
    </row>
    <row r="9150" spans="2:33">
      <c r="B9150" s="29"/>
      <c r="D9150" s="29"/>
      <c r="E9150" s="20"/>
      <c r="F9150" s="20"/>
      <c r="AC9150" s="20"/>
      <c r="AG9150" s="29"/>
    </row>
    <row r="9151" spans="2:33">
      <c r="B9151" s="29"/>
      <c r="D9151" s="29"/>
      <c r="E9151" s="20"/>
      <c r="F9151" s="20"/>
      <c r="AC9151" s="20"/>
      <c r="AG9151" s="29"/>
    </row>
    <row r="9152" spans="2:33">
      <c r="B9152" s="29"/>
      <c r="D9152" s="29"/>
      <c r="E9152" s="20"/>
      <c r="F9152" s="20"/>
      <c r="AC9152" s="20"/>
      <c r="AG9152" s="29"/>
    </row>
    <row r="9153" spans="2:33">
      <c r="B9153" s="29"/>
      <c r="D9153" s="29"/>
      <c r="E9153" s="20"/>
      <c r="F9153" s="20"/>
      <c r="AC9153" s="20"/>
      <c r="AG9153" s="29"/>
    </row>
    <row r="9154" spans="2:33">
      <c r="B9154" s="29"/>
      <c r="D9154" s="29"/>
      <c r="E9154" s="20"/>
      <c r="F9154" s="20"/>
      <c r="AC9154" s="20"/>
      <c r="AG9154" s="29"/>
    </row>
    <row r="9155" spans="2:33">
      <c r="B9155" s="29"/>
      <c r="D9155" s="29"/>
      <c r="E9155" s="20"/>
      <c r="F9155" s="20"/>
      <c r="AC9155" s="20"/>
      <c r="AG9155" s="29"/>
    </row>
    <row r="9156" spans="2:33">
      <c r="B9156" s="29"/>
      <c r="D9156" s="29"/>
      <c r="E9156" s="20"/>
      <c r="F9156" s="20"/>
      <c r="AC9156" s="20"/>
      <c r="AG9156" s="29"/>
    </row>
    <row r="9157" spans="2:33">
      <c r="B9157" s="29"/>
      <c r="D9157" s="29"/>
      <c r="E9157" s="20"/>
      <c r="F9157" s="20"/>
      <c r="AC9157" s="20"/>
      <c r="AG9157" s="29"/>
    </row>
    <row r="9158" spans="2:33">
      <c r="B9158" s="29"/>
      <c r="D9158" s="29"/>
      <c r="E9158" s="20"/>
      <c r="F9158" s="20"/>
      <c r="AC9158" s="20"/>
      <c r="AG9158" s="29"/>
    </row>
    <row r="9159" spans="2:33">
      <c r="B9159" s="29"/>
      <c r="D9159" s="29"/>
      <c r="E9159" s="20"/>
      <c r="F9159" s="20"/>
      <c r="AC9159" s="20"/>
      <c r="AG9159" s="29"/>
    </row>
    <row r="9160" spans="2:33">
      <c r="B9160" s="29"/>
      <c r="D9160" s="29"/>
      <c r="E9160" s="20"/>
      <c r="F9160" s="20"/>
      <c r="AC9160" s="20"/>
      <c r="AG9160" s="29"/>
    </row>
    <row r="9161" spans="2:33">
      <c r="B9161" s="29"/>
      <c r="D9161" s="29"/>
      <c r="E9161" s="20"/>
      <c r="F9161" s="20"/>
      <c r="AC9161" s="20"/>
      <c r="AG9161" s="29"/>
    </row>
    <row r="9162" spans="2:33">
      <c r="B9162" s="29"/>
      <c r="D9162" s="29"/>
      <c r="E9162" s="20"/>
      <c r="F9162" s="20"/>
      <c r="AC9162" s="20"/>
      <c r="AG9162" s="29"/>
    </row>
    <row r="9163" spans="2:33">
      <c r="B9163" s="29"/>
      <c r="D9163" s="29"/>
      <c r="E9163" s="20"/>
      <c r="F9163" s="20"/>
      <c r="AC9163" s="20"/>
      <c r="AG9163" s="29"/>
    </row>
    <row r="9164" spans="2:33">
      <c r="B9164" s="29"/>
      <c r="D9164" s="29"/>
      <c r="E9164" s="20"/>
      <c r="F9164" s="20"/>
      <c r="AC9164" s="20"/>
      <c r="AG9164" s="29"/>
    </row>
    <row r="9165" spans="2:33">
      <c r="B9165" s="29"/>
      <c r="D9165" s="29"/>
      <c r="E9165" s="20"/>
      <c r="F9165" s="20"/>
      <c r="AC9165" s="20"/>
      <c r="AG9165" s="29"/>
    </row>
    <row r="9166" spans="2:33">
      <c r="B9166" s="29"/>
      <c r="D9166" s="29"/>
      <c r="E9166" s="20"/>
      <c r="F9166" s="20"/>
      <c r="AC9166" s="20"/>
      <c r="AG9166" s="29"/>
    </row>
    <row r="9167" spans="2:33">
      <c r="B9167" s="29"/>
      <c r="D9167" s="29"/>
      <c r="E9167" s="20"/>
      <c r="F9167" s="20"/>
      <c r="AC9167" s="20"/>
      <c r="AG9167" s="29"/>
    </row>
    <row r="9168" spans="2:33">
      <c r="B9168" s="29"/>
      <c r="D9168" s="29"/>
      <c r="E9168" s="20"/>
      <c r="F9168" s="20"/>
      <c r="AC9168" s="20"/>
      <c r="AG9168" s="29"/>
    </row>
    <row r="9169" spans="2:33">
      <c r="B9169" s="29"/>
      <c r="D9169" s="29"/>
      <c r="E9169" s="20"/>
      <c r="F9169" s="20"/>
      <c r="AC9169" s="20"/>
      <c r="AG9169" s="29"/>
    </row>
    <row r="9170" spans="2:33">
      <c r="B9170" s="29"/>
      <c r="D9170" s="29"/>
      <c r="E9170" s="20"/>
      <c r="F9170" s="20"/>
      <c r="AC9170" s="20"/>
      <c r="AG9170" s="29"/>
    </row>
    <row r="9171" spans="2:33">
      <c r="B9171" s="29"/>
      <c r="D9171" s="29"/>
      <c r="E9171" s="20"/>
      <c r="F9171" s="20"/>
      <c r="AC9171" s="20"/>
      <c r="AG9171" s="29"/>
    </row>
    <row r="9172" spans="2:33">
      <c r="B9172" s="29"/>
      <c r="D9172" s="29"/>
      <c r="E9172" s="20"/>
      <c r="F9172" s="20"/>
      <c r="AC9172" s="20"/>
      <c r="AG9172" s="29"/>
    </row>
    <row r="9173" spans="2:33">
      <c r="B9173" s="29"/>
      <c r="D9173" s="29"/>
      <c r="E9173" s="20"/>
      <c r="F9173" s="20"/>
      <c r="AC9173" s="20"/>
      <c r="AG9173" s="29"/>
    </row>
    <row r="9174" spans="2:33">
      <c r="B9174" s="29"/>
      <c r="D9174" s="29"/>
      <c r="E9174" s="20"/>
      <c r="F9174" s="20"/>
      <c r="AC9174" s="20"/>
      <c r="AG9174" s="29"/>
    </row>
    <row r="9175" spans="2:33">
      <c r="B9175" s="29"/>
      <c r="D9175" s="29"/>
      <c r="E9175" s="20"/>
      <c r="F9175" s="20"/>
      <c r="AC9175" s="20"/>
      <c r="AG9175" s="29"/>
    </row>
    <row r="9176" spans="2:33">
      <c r="B9176" s="29"/>
      <c r="D9176" s="29"/>
      <c r="E9176" s="20"/>
      <c r="F9176" s="20"/>
      <c r="AC9176" s="20"/>
      <c r="AG9176" s="29"/>
    </row>
    <row r="9177" spans="2:33">
      <c r="B9177" s="29"/>
      <c r="D9177" s="29"/>
      <c r="E9177" s="20"/>
      <c r="F9177" s="20"/>
      <c r="AC9177" s="20"/>
      <c r="AG9177" s="29"/>
    </row>
    <row r="9178" spans="2:33">
      <c r="B9178" s="29"/>
      <c r="D9178" s="29"/>
      <c r="E9178" s="20"/>
      <c r="F9178" s="20"/>
      <c r="AC9178" s="20"/>
      <c r="AG9178" s="29"/>
    </row>
    <row r="9179" spans="2:33">
      <c r="B9179" s="29"/>
      <c r="D9179" s="29"/>
      <c r="E9179" s="20"/>
      <c r="F9179" s="20"/>
      <c r="AC9179" s="20"/>
      <c r="AG9179" s="29"/>
    </row>
    <row r="9180" spans="2:33">
      <c r="B9180" s="29"/>
      <c r="D9180" s="29"/>
      <c r="E9180" s="20"/>
      <c r="F9180" s="20"/>
      <c r="AC9180" s="20"/>
      <c r="AG9180" s="29"/>
    </row>
    <row r="9181" spans="2:33">
      <c r="B9181" s="29"/>
      <c r="D9181" s="29"/>
      <c r="E9181" s="20"/>
      <c r="F9181" s="20"/>
      <c r="AC9181" s="20"/>
      <c r="AG9181" s="29"/>
    </row>
    <row r="9182" spans="2:33">
      <c r="B9182" s="29"/>
      <c r="D9182" s="29"/>
      <c r="E9182" s="20"/>
      <c r="F9182" s="20"/>
      <c r="AC9182" s="20"/>
      <c r="AG9182" s="29"/>
    </row>
    <row r="9183" spans="2:33">
      <c r="B9183" s="29"/>
      <c r="D9183" s="29"/>
      <c r="E9183" s="20"/>
      <c r="F9183" s="20"/>
      <c r="AC9183" s="20"/>
      <c r="AG9183" s="29"/>
    </row>
    <row r="9184" spans="2:33">
      <c r="B9184" s="29"/>
      <c r="D9184" s="29"/>
      <c r="E9184" s="20"/>
      <c r="F9184" s="20"/>
      <c r="AC9184" s="20"/>
      <c r="AG9184" s="29"/>
    </row>
    <row r="9185" spans="2:33">
      <c r="B9185" s="29"/>
      <c r="D9185" s="29"/>
      <c r="E9185" s="20"/>
      <c r="F9185" s="20"/>
      <c r="AC9185" s="20"/>
      <c r="AG9185" s="29"/>
    </row>
    <row r="9186" spans="2:33">
      <c r="B9186" s="29"/>
      <c r="D9186" s="29"/>
      <c r="E9186" s="20"/>
      <c r="F9186" s="20"/>
      <c r="AC9186" s="20"/>
      <c r="AG9186" s="29"/>
    </row>
    <row r="9187" spans="2:33">
      <c r="B9187" s="29"/>
      <c r="D9187" s="29"/>
      <c r="E9187" s="20"/>
      <c r="F9187" s="20"/>
      <c r="AC9187" s="20"/>
      <c r="AG9187" s="29"/>
    </row>
    <row r="9188" spans="2:33">
      <c r="B9188" s="29"/>
      <c r="D9188" s="29"/>
      <c r="E9188" s="20"/>
      <c r="F9188" s="20"/>
      <c r="AC9188" s="20"/>
      <c r="AG9188" s="29"/>
    </row>
    <row r="9189" spans="2:33">
      <c r="B9189" s="29"/>
      <c r="D9189" s="29"/>
      <c r="E9189" s="20"/>
      <c r="F9189" s="20"/>
      <c r="AC9189" s="20"/>
      <c r="AG9189" s="29"/>
    </row>
    <row r="9190" spans="2:33">
      <c r="B9190" s="29"/>
      <c r="D9190" s="29"/>
      <c r="E9190" s="20"/>
      <c r="F9190" s="20"/>
      <c r="AC9190" s="20"/>
      <c r="AG9190" s="29"/>
    </row>
    <row r="9191" spans="2:33">
      <c r="B9191" s="29"/>
      <c r="D9191" s="29"/>
      <c r="E9191" s="20"/>
      <c r="F9191" s="20"/>
      <c r="AC9191" s="20"/>
      <c r="AG9191" s="29"/>
    </row>
    <row r="9192" spans="2:33">
      <c r="B9192" s="29"/>
      <c r="D9192" s="29"/>
      <c r="E9192" s="20"/>
      <c r="F9192" s="20"/>
      <c r="AC9192" s="20"/>
      <c r="AG9192" s="29"/>
    </row>
    <row r="9193" spans="2:33">
      <c r="B9193" s="29"/>
      <c r="D9193" s="29"/>
      <c r="E9193" s="20"/>
      <c r="F9193" s="20"/>
      <c r="AC9193" s="20"/>
      <c r="AG9193" s="29"/>
    </row>
    <row r="9194" spans="2:33">
      <c r="B9194" s="29"/>
      <c r="D9194" s="29"/>
      <c r="E9194" s="20"/>
      <c r="F9194" s="20"/>
      <c r="AC9194" s="20"/>
      <c r="AG9194" s="29"/>
    </row>
    <row r="9195" spans="2:33">
      <c r="B9195" s="29"/>
      <c r="D9195" s="29"/>
      <c r="E9195" s="20"/>
      <c r="F9195" s="20"/>
      <c r="AC9195" s="20"/>
      <c r="AG9195" s="29"/>
    </row>
    <row r="9196" spans="2:33">
      <c r="B9196" s="29"/>
      <c r="D9196" s="29"/>
      <c r="E9196" s="20"/>
      <c r="F9196" s="20"/>
      <c r="AC9196" s="20"/>
      <c r="AG9196" s="29"/>
    </row>
    <row r="9197" spans="2:33">
      <c r="B9197" s="29"/>
      <c r="D9197" s="29"/>
      <c r="E9197" s="20"/>
      <c r="F9197" s="20"/>
      <c r="AC9197" s="20"/>
      <c r="AG9197" s="29"/>
    </row>
    <row r="9198" spans="2:33">
      <c r="B9198" s="29"/>
      <c r="D9198" s="29"/>
      <c r="E9198" s="20"/>
      <c r="F9198" s="20"/>
      <c r="AC9198" s="20"/>
      <c r="AG9198" s="29"/>
    </row>
    <row r="9199" spans="2:33">
      <c r="B9199" s="29"/>
      <c r="D9199" s="29"/>
      <c r="E9199" s="20"/>
      <c r="F9199" s="20"/>
      <c r="AC9199" s="20"/>
      <c r="AG9199" s="29"/>
    </row>
    <row r="9200" spans="2:33">
      <c r="B9200" s="29"/>
      <c r="D9200" s="29"/>
      <c r="E9200" s="20"/>
      <c r="F9200" s="20"/>
      <c r="AC9200" s="20"/>
      <c r="AG9200" s="29"/>
    </row>
    <row r="9201" spans="2:33">
      <c r="B9201" s="29"/>
      <c r="D9201" s="29"/>
      <c r="E9201" s="20"/>
      <c r="F9201" s="20"/>
      <c r="AC9201" s="20"/>
      <c r="AG9201" s="29"/>
    </row>
    <row r="9202" spans="2:33">
      <c r="B9202" s="29"/>
      <c r="D9202" s="29"/>
      <c r="E9202" s="20"/>
      <c r="F9202" s="20"/>
      <c r="AC9202" s="20"/>
      <c r="AG9202" s="29"/>
    </row>
    <row r="9203" spans="2:33">
      <c r="B9203" s="29"/>
      <c r="D9203" s="29"/>
      <c r="E9203" s="20"/>
      <c r="F9203" s="20"/>
      <c r="AC9203" s="20"/>
      <c r="AG9203" s="29"/>
    </row>
    <row r="9204" spans="2:33">
      <c r="B9204" s="29"/>
      <c r="D9204" s="29"/>
      <c r="E9204" s="20"/>
      <c r="F9204" s="20"/>
      <c r="AC9204" s="20"/>
      <c r="AG9204" s="29"/>
    </row>
    <row r="9205" spans="2:33">
      <c r="B9205" s="29"/>
      <c r="D9205" s="29"/>
      <c r="E9205" s="20"/>
      <c r="F9205" s="20"/>
      <c r="AC9205" s="20"/>
      <c r="AG9205" s="29"/>
    </row>
    <row r="9206" spans="2:33">
      <c r="B9206" s="29"/>
      <c r="D9206" s="29"/>
      <c r="E9206" s="20"/>
      <c r="F9206" s="20"/>
      <c r="AC9206" s="20"/>
      <c r="AG9206" s="29"/>
    </row>
    <row r="9207" spans="2:33">
      <c r="B9207" s="29"/>
      <c r="D9207" s="29"/>
      <c r="E9207" s="20"/>
      <c r="F9207" s="20"/>
      <c r="AC9207" s="20"/>
      <c r="AG9207" s="29"/>
    </row>
    <row r="9208" spans="2:33">
      <c r="B9208" s="29"/>
      <c r="D9208" s="29"/>
      <c r="E9208" s="20"/>
      <c r="F9208" s="20"/>
      <c r="AC9208" s="20"/>
      <c r="AG9208" s="29"/>
    </row>
    <row r="9209" spans="2:33">
      <c r="B9209" s="29"/>
      <c r="D9209" s="29"/>
      <c r="E9209" s="20"/>
      <c r="F9209" s="20"/>
      <c r="AC9209" s="20"/>
      <c r="AG9209" s="29"/>
    </row>
    <row r="9210" spans="2:33">
      <c r="B9210" s="29"/>
      <c r="D9210" s="29"/>
      <c r="E9210" s="20"/>
      <c r="F9210" s="20"/>
      <c r="AC9210" s="20"/>
      <c r="AG9210" s="29"/>
    </row>
    <row r="9211" spans="2:33">
      <c r="B9211" s="29"/>
      <c r="D9211" s="29"/>
      <c r="E9211" s="20"/>
      <c r="F9211" s="20"/>
      <c r="AC9211" s="20"/>
      <c r="AG9211" s="29"/>
    </row>
    <row r="9212" spans="2:33">
      <c r="B9212" s="29"/>
      <c r="D9212" s="29"/>
      <c r="E9212" s="20"/>
      <c r="F9212" s="20"/>
      <c r="AC9212" s="20"/>
      <c r="AG9212" s="29"/>
    </row>
    <row r="9213" spans="2:33">
      <c r="B9213" s="29"/>
      <c r="D9213" s="29"/>
      <c r="E9213" s="20"/>
      <c r="F9213" s="20"/>
      <c r="AC9213" s="20"/>
      <c r="AG9213" s="29"/>
    </row>
    <row r="9214" spans="2:33">
      <c r="B9214" s="29"/>
      <c r="D9214" s="29"/>
      <c r="E9214" s="20"/>
      <c r="F9214" s="20"/>
      <c r="AC9214" s="20"/>
      <c r="AG9214" s="29"/>
    </row>
    <row r="9215" spans="2:33">
      <c r="B9215" s="29"/>
      <c r="D9215" s="29"/>
      <c r="E9215" s="20"/>
      <c r="F9215" s="20"/>
      <c r="AC9215" s="20"/>
      <c r="AG9215" s="29"/>
    </row>
    <row r="9216" spans="2:33">
      <c r="B9216" s="29"/>
      <c r="D9216" s="29"/>
      <c r="E9216" s="20"/>
      <c r="F9216" s="20"/>
      <c r="AC9216" s="20"/>
      <c r="AG9216" s="29"/>
    </row>
    <row r="9217" spans="2:33">
      <c r="B9217" s="29"/>
      <c r="D9217" s="29"/>
      <c r="E9217" s="20"/>
      <c r="F9217" s="20"/>
      <c r="AC9217" s="20"/>
      <c r="AG9217" s="29"/>
    </row>
    <row r="9218" spans="2:33">
      <c r="B9218" s="29"/>
      <c r="D9218" s="29"/>
      <c r="E9218" s="20"/>
      <c r="F9218" s="20"/>
      <c r="AC9218" s="20"/>
      <c r="AG9218" s="29"/>
    </row>
    <row r="9219" spans="2:33">
      <c r="B9219" s="29"/>
      <c r="D9219" s="29"/>
      <c r="E9219" s="20"/>
      <c r="F9219" s="20"/>
      <c r="AC9219" s="20"/>
      <c r="AG9219" s="29"/>
    </row>
    <row r="9220" spans="2:33">
      <c r="B9220" s="29"/>
      <c r="D9220" s="29"/>
      <c r="E9220" s="20"/>
      <c r="F9220" s="20"/>
      <c r="AC9220" s="20"/>
      <c r="AG9220" s="29"/>
    </row>
    <row r="9221" spans="2:33">
      <c r="B9221" s="29"/>
      <c r="D9221" s="29"/>
      <c r="E9221" s="20"/>
      <c r="F9221" s="20"/>
      <c r="AC9221" s="20"/>
      <c r="AG9221" s="29"/>
    </row>
    <row r="9222" spans="2:33">
      <c r="B9222" s="29"/>
      <c r="D9222" s="29"/>
      <c r="E9222" s="20"/>
      <c r="F9222" s="20"/>
      <c r="AC9222" s="20"/>
      <c r="AG9222" s="29"/>
    </row>
    <row r="9223" spans="2:33">
      <c r="B9223" s="29"/>
      <c r="D9223" s="29"/>
      <c r="E9223" s="20"/>
      <c r="F9223" s="20"/>
      <c r="AC9223" s="20"/>
      <c r="AG9223" s="29"/>
    </row>
    <row r="9224" spans="2:33">
      <c r="B9224" s="29"/>
      <c r="D9224" s="29"/>
      <c r="E9224" s="20"/>
      <c r="F9224" s="20"/>
      <c r="AC9224" s="20"/>
      <c r="AG9224" s="29"/>
    </row>
    <row r="9225" spans="2:33">
      <c r="B9225" s="29"/>
      <c r="D9225" s="29"/>
      <c r="E9225" s="20"/>
      <c r="F9225" s="20"/>
      <c r="AC9225" s="20"/>
      <c r="AG9225" s="29"/>
    </row>
    <row r="9226" spans="2:33">
      <c r="B9226" s="29"/>
      <c r="D9226" s="29"/>
      <c r="E9226" s="20"/>
      <c r="F9226" s="20"/>
      <c r="AC9226" s="20"/>
      <c r="AG9226" s="29"/>
    </row>
    <row r="9227" spans="2:33">
      <c r="B9227" s="29"/>
      <c r="D9227" s="29"/>
      <c r="E9227" s="20"/>
      <c r="F9227" s="20"/>
      <c r="AC9227" s="20"/>
      <c r="AG9227" s="29"/>
    </row>
    <row r="9228" spans="2:33">
      <c r="B9228" s="29"/>
      <c r="D9228" s="29"/>
      <c r="E9228" s="20"/>
      <c r="F9228" s="20"/>
      <c r="AC9228" s="20"/>
      <c r="AG9228" s="29"/>
    </row>
    <row r="9229" spans="2:33">
      <c r="B9229" s="29"/>
      <c r="D9229" s="29"/>
      <c r="E9229" s="20"/>
      <c r="F9229" s="20"/>
      <c r="AC9229" s="20"/>
      <c r="AG9229" s="29"/>
    </row>
    <row r="9230" spans="2:33">
      <c r="B9230" s="29"/>
      <c r="D9230" s="29"/>
      <c r="E9230" s="20"/>
      <c r="F9230" s="20"/>
      <c r="AC9230" s="20"/>
      <c r="AG9230" s="29"/>
    </row>
    <row r="9231" spans="2:33">
      <c r="B9231" s="29"/>
      <c r="D9231" s="29"/>
      <c r="E9231" s="20"/>
      <c r="F9231" s="20"/>
      <c r="AC9231" s="20"/>
      <c r="AG9231" s="29"/>
    </row>
    <row r="9232" spans="2:33">
      <c r="B9232" s="29"/>
      <c r="D9232" s="29"/>
      <c r="E9232" s="20"/>
      <c r="F9232" s="20"/>
      <c r="AC9232" s="20"/>
      <c r="AG9232" s="29"/>
    </row>
    <row r="9233" spans="2:33">
      <c r="B9233" s="29"/>
      <c r="D9233" s="29"/>
      <c r="E9233" s="20"/>
      <c r="F9233" s="20"/>
      <c r="AC9233" s="20"/>
      <c r="AG9233" s="29"/>
    </row>
    <row r="9234" spans="2:33">
      <c r="B9234" s="29"/>
      <c r="D9234" s="29"/>
      <c r="E9234" s="20"/>
      <c r="F9234" s="20"/>
      <c r="AC9234" s="20"/>
      <c r="AG9234" s="29"/>
    </row>
    <row r="9235" spans="2:33">
      <c r="B9235" s="29"/>
      <c r="D9235" s="29"/>
      <c r="E9235" s="20"/>
      <c r="F9235" s="20"/>
      <c r="AC9235" s="20"/>
      <c r="AG9235" s="29"/>
    </row>
    <row r="9236" spans="2:33">
      <c r="B9236" s="29"/>
      <c r="D9236" s="29"/>
      <c r="E9236" s="20"/>
      <c r="F9236" s="20"/>
      <c r="AC9236" s="20"/>
      <c r="AG9236" s="29"/>
    </row>
    <row r="9237" spans="2:33">
      <c r="B9237" s="29"/>
      <c r="D9237" s="29"/>
      <c r="E9237" s="20"/>
      <c r="F9237" s="20"/>
      <c r="AC9237" s="20"/>
      <c r="AG9237" s="29"/>
    </row>
    <row r="9238" spans="2:33">
      <c r="B9238" s="29"/>
      <c r="D9238" s="29"/>
      <c r="E9238" s="20"/>
      <c r="F9238" s="20"/>
      <c r="AC9238" s="20"/>
      <c r="AG9238" s="29"/>
    </row>
    <row r="9239" spans="2:33">
      <c r="B9239" s="29"/>
      <c r="D9239" s="29"/>
      <c r="E9239" s="20"/>
      <c r="F9239" s="20"/>
      <c r="AC9239" s="20"/>
      <c r="AG9239" s="29"/>
    </row>
    <row r="9240" spans="2:33">
      <c r="B9240" s="29"/>
      <c r="D9240" s="29"/>
      <c r="E9240" s="20"/>
      <c r="F9240" s="20"/>
      <c r="AC9240" s="20"/>
      <c r="AG9240" s="29"/>
    </row>
    <row r="9241" spans="2:33">
      <c r="B9241" s="29"/>
      <c r="D9241" s="29"/>
      <c r="E9241" s="20"/>
      <c r="F9241" s="20"/>
      <c r="AC9241" s="20"/>
      <c r="AG9241" s="29"/>
    </row>
    <row r="9242" spans="2:33">
      <c r="B9242" s="29"/>
      <c r="D9242" s="29"/>
      <c r="E9242" s="20"/>
      <c r="F9242" s="20"/>
      <c r="AC9242" s="20"/>
      <c r="AG9242" s="29"/>
    </row>
    <row r="9243" spans="2:33">
      <c r="B9243" s="29"/>
      <c r="D9243" s="29"/>
      <c r="E9243" s="20"/>
      <c r="F9243" s="20"/>
      <c r="AC9243" s="20"/>
      <c r="AG9243" s="29"/>
    </row>
    <row r="9244" spans="2:33">
      <c r="B9244" s="29"/>
      <c r="D9244" s="29"/>
      <c r="E9244" s="20"/>
      <c r="F9244" s="20"/>
      <c r="AC9244" s="20"/>
      <c r="AG9244" s="29"/>
    </row>
    <row r="9245" spans="2:33">
      <c r="B9245" s="29"/>
      <c r="D9245" s="29"/>
      <c r="E9245" s="20"/>
      <c r="F9245" s="20"/>
      <c r="AC9245" s="20"/>
      <c r="AG9245" s="29"/>
    </row>
    <row r="9246" spans="2:33">
      <c r="B9246" s="29"/>
      <c r="D9246" s="29"/>
      <c r="E9246" s="20"/>
      <c r="F9246" s="20"/>
      <c r="AC9246" s="20"/>
      <c r="AG9246" s="29"/>
    </row>
    <row r="9247" spans="2:33">
      <c r="B9247" s="29"/>
      <c r="D9247" s="29"/>
      <c r="E9247" s="20"/>
      <c r="F9247" s="20"/>
      <c r="AC9247" s="20"/>
      <c r="AG9247" s="29"/>
    </row>
    <row r="9248" spans="2:33">
      <c r="B9248" s="29"/>
      <c r="D9248" s="29"/>
      <c r="E9248" s="20"/>
      <c r="F9248" s="20"/>
      <c r="AC9248" s="20"/>
      <c r="AG9248" s="29"/>
    </row>
    <row r="9249" spans="2:33">
      <c r="B9249" s="29"/>
      <c r="D9249" s="29"/>
      <c r="E9249" s="20"/>
      <c r="F9249" s="20"/>
      <c r="AC9249" s="20"/>
      <c r="AG9249" s="29"/>
    </row>
    <row r="9250" spans="2:33">
      <c r="B9250" s="29"/>
      <c r="D9250" s="29"/>
      <c r="E9250" s="20"/>
      <c r="F9250" s="20"/>
      <c r="AC9250" s="20"/>
      <c r="AG9250" s="29"/>
    </row>
    <row r="9251" spans="2:33">
      <c r="B9251" s="29"/>
      <c r="D9251" s="29"/>
      <c r="E9251" s="20"/>
      <c r="F9251" s="20"/>
      <c r="AC9251" s="20"/>
      <c r="AG9251" s="29"/>
    </row>
    <row r="9252" spans="2:33">
      <c r="B9252" s="29"/>
      <c r="D9252" s="29"/>
      <c r="E9252" s="20"/>
      <c r="F9252" s="20"/>
      <c r="AC9252" s="20"/>
      <c r="AG9252" s="29"/>
    </row>
    <row r="9253" spans="2:33">
      <c r="B9253" s="29"/>
      <c r="D9253" s="29"/>
      <c r="E9253" s="20"/>
      <c r="F9253" s="20"/>
      <c r="AC9253" s="20"/>
      <c r="AG9253" s="29"/>
    </row>
    <row r="9254" spans="2:33">
      <c r="B9254" s="29"/>
      <c r="D9254" s="29"/>
      <c r="E9254" s="20"/>
      <c r="F9254" s="20"/>
      <c r="AC9254" s="20"/>
      <c r="AG9254" s="29"/>
    </row>
    <row r="9255" spans="2:33">
      <c r="B9255" s="29"/>
      <c r="D9255" s="29"/>
      <c r="E9255" s="20"/>
      <c r="F9255" s="20"/>
      <c r="AC9255" s="20"/>
      <c r="AG9255" s="29"/>
    </row>
    <row r="9256" spans="2:33">
      <c r="B9256" s="29"/>
      <c r="D9256" s="29"/>
      <c r="E9256" s="20"/>
      <c r="F9256" s="20"/>
      <c r="AC9256" s="20"/>
      <c r="AG9256" s="29"/>
    </row>
    <row r="9257" spans="2:33">
      <c r="B9257" s="29"/>
      <c r="D9257" s="29"/>
      <c r="E9257" s="20"/>
      <c r="F9257" s="20"/>
      <c r="AC9257" s="20"/>
      <c r="AG9257" s="29"/>
    </row>
    <row r="9258" spans="2:33">
      <c r="B9258" s="29"/>
      <c r="D9258" s="29"/>
      <c r="E9258" s="20"/>
      <c r="F9258" s="20"/>
      <c r="AC9258" s="20"/>
      <c r="AG9258" s="29"/>
    </row>
    <row r="9259" spans="2:33">
      <c r="B9259" s="29"/>
      <c r="D9259" s="29"/>
      <c r="E9259" s="20"/>
      <c r="F9259" s="20"/>
      <c r="AC9259" s="20"/>
      <c r="AG9259" s="29"/>
    </row>
    <row r="9260" spans="2:33">
      <c r="B9260" s="29"/>
      <c r="D9260" s="29"/>
      <c r="E9260" s="20"/>
      <c r="F9260" s="20"/>
      <c r="AC9260" s="20"/>
      <c r="AG9260" s="29"/>
    </row>
    <row r="9261" spans="2:33">
      <c r="B9261" s="29"/>
      <c r="D9261" s="29"/>
      <c r="E9261" s="20"/>
      <c r="F9261" s="20"/>
      <c r="AC9261" s="20"/>
      <c r="AG9261" s="29"/>
    </row>
    <row r="9262" spans="2:33">
      <c r="B9262" s="29"/>
      <c r="D9262" s="29"/>
      <c r="E9262" s="20"/>
      <c r="F9262" s="20"/>
      <c r="AC9262" s="20"/>
      <c r="AG9262" s="29"/>
    </row>
    <row r="9263" spans="2:33">
      <c r="B9263" s="29"/>
      <c r="D9263" s="29"/>
      <c r="E9263" s="20"/>
      <c r="F9263" s="20"/>
      <c r="AC9263" s="20"/>
      <c r="AG9263" s="29"/>
    </row>
    <row r="9264" spans="2:33">
      <c r="B9264" s="29"/>
      <c r="D9264" s="29"/>
      <c r="E9264" s="20"/>
      <c r="F9264" s="20"/>
      <c r="AC9264" s="20"/>
      <c r="AG9264" s="29"/>
    </row>
    <row r="9265" spans="2:33">
      <c r="B9265" s="29"/>
      <c r="D9265" s="29"/>
      <c r="E9265" s="20"/>
      <c r="F9265" s="20"/>
      <c r="AC9265" s="20"/>
      <c r="AG9265" s="29"/>
    </row>
    <row r="9266" spans="2:33">
      <c r="B9266" s="29"/>
      <c r="D9266" s="29"/>
      <c r="E9266" s="20"/>
      <c r="F9266" s="20"/>
      <c r="AC9266" s="20"/>
      <c r="AG9266" s="29"/>
    </row>
    <row r="9267" spans="2:33">
      <c r="B9267" s="29"/>
      <c r="D9267" s="29"/>
      <c r="E9267" s="20"/>
      <c r="F9267" s="20"/>
      <c r="AC9267" s="20"/>
      <c r="AG9267" s="29"/>
    </row>
    <row r="9268" spans="2:33">
      <c r="B9268" s="29"/>
      <c r="D9268" s="29"/>
      <c r="E9268" s="20"/>
      <c r="F9268" s="20"/>
      <c r="AC9268" s="20"/>
      <c r="AG9268" s="29"/>
    </row>
    <row r="9269" spans="2:33">
      <c r="B9269" s="29"/>
      <c r="D9269" s="29"/>
      <c r="E9269" s="20"/>
      <c r="F9269" s="20"/>
      <c r="AC9269" s="20"/>
      <c r="AG9269" s="29"/>
    </row>
    <row r="9270" spans="2:33">
      <c r="B9270" s="29"/>
      <c r="D9270" s="29"/>
      <c r="E9270" s="20"/>
      <c r="F9270" s="20"/>
      <c r="AC9270" s="20"/>
      <c r="AG9270" s="29"/>
    </row>
    <row r="9271" spans="2:33">
      <c r="B9271" s="29"/>
      <c r="D9271" s="29"/>
      <c r="E9271" s="20"/>
      <c r="F9271" s="20"/>
      <c r="AC9271" s="20"/>
      <c r="AG9271" s="29"/>
    </row>
    <row r="9272" spans="2:33">
      <c r="B9272" s="29"/>
      <c r="D9272" s="29"/>
      <c r="E9272" s="20"/>
      <c r="F9272" s="20"/>
      <c r="AC9272" s="20"/>
      <c r="AG9272" s="29"/>
    </row>
    <row r="9273" spans="2:33">
      <c r="B9273" s="29"/>
      <c r="D9273" s="29"/>
      <c r="E9273" s="20"/>
      <c r="F9273" s="20"/>
      <c r="AC9273" s="20"/>
      <c r="AG9273" s="29"/>
    </row>
    <row r="9274" spans="2:33">
      <c r="B9274" s="29"/>
      <c r="D9274" s="29"/>
      <c r="E9274" s="20"/>
      <c r="F9274" s="20"/>
      <c r="AC9274" s="20"/>
      <c r="AG9274" s="29"/>
    </row>
    <row r="9275" spans="2:33">
      <c r="B9275" s="29"/>
      <c r="D9275" s="29"/>
      <c r="E9275" s="20"/>
      <c r="F9275" s="20"/>
      <c r="AC9275" s="20"/>
      <c r="AG9275" s="29"/>
    </row>
    <row r="9276" spans="2:33">
      <c r="B9276" s="29"/>
      <c r="D9276" s="29"/>
      <c r="E9276" s="20"/>
      <c r="F9276" s="20"/>
      <c r="AC9276" s="20"/>
      <c r="AG9276" s="29"/>
    </row>
    <row r="9277" spans="2:33">
      <c r="B9277" s="29"/>
      <c r="D9277" s="29"/>
      <c r="E9277" s="20"/>
      <c r="F9277" s="20"/>
      <c r="AC9277" s="20"/>
      <c r="AG9277" s="29"/>
    </row>
    <row r="9278" spans="2:33">
      <c r="B9278" s="29"/>
      <c r="D9278" s="29"/>
      <c r="E9278" s="20"/>
      <c r="F9278" s="20"/>
      <c r="AC9278" s="20"/>
      <c r="AG9278" s="29"/>
    </row>
    <row r="9279" spans="2:33">
      <c r="B9279" s="29"/>
      <c r="D9279" s="29"/>
      <c r="E9279" s="20"/>
      <c r="F9279" s="20"/>
      <c r="AC9279" s="20"/>
      <c r="AG9279" s="29"/>
    </row>
    <row r="9280" spans="2:33">
      <c r="B9280" s="29"/>
      <c r="D9280" s="29"/>
      <c r="E9280" s="20"/>
      <c r="F9280" s="20"/>
      <c r="AC9280" s="20"/>
      <c r="AG9280" s="29"/>
    </row>
    <row r="9281" spans="2:33">
      <c r="B9281" s="29"/>
      <c r="D9281" s="29"/>
      <c r="E9281" s="20"/>
      <c r="F9281" s="20"/>
      <c r="AC9281" s="20"/>
      <c r="AG9281" s="29"/>
    </row>
    <row r="9282" spans="2:33">
      <c r="B9282" s="29"/>
      <c r="D9282" s="29"/>
      <c r="E9282" s="20"/>
      <c r="F9282" s="20"/>
      <c r="AC9282" s="20"/>
      <c r="AG9282" s="29"/>
    </row>
    <row r="9283" spans="2:33">
      <c r="B9283" s="29"/>
      <c r="D9283" s="29"/>
      <c r="E9283" s="20"/>
      <c r="F9283" s="20"/>
      <c r="AC9283" s="20"/>
      <c r="AG9283" s="29"/>
    </row>
    <row r="9284" spans="2:33">
      <c r="B9284" s="29"/>
      <c r="D9284" s="29"/>
      <c r="E9284" s="20"/>
      <c r="F9284" s="20"/>
      <c r="AC9284" s="20"/>
      <c r="AG9284" s="29"/>
    </row>
    <row r="9285" spans="2:33">
      <c r="B9285" s="29"/>
      <c r="D9285" s="29"/>
      <c r="E9285" s="20"/>
      <c r="F9285" s="20"/>
      <c r="AC9285" s="20"/>
      <c r="AG9285" s="29"/>
    </row>
    <row r="9286" spans="2:33">
      <c r="B9286" s="29"/>
      <c r="D9286" s="29"/>
      <c r="E9286" s="20"/>
      <c r="F9286" s="20"/>
      <c r="AC9286" s="20"/>
      <c r="AG9286" s="29"/>
    </row>
    <row r="9287" spans="2:33">
      <c r="B9287" s="29"/>
      <c r="D9287" s="29"/>
      <c r="E9287" s="20"/>
      <c r="F9287" s="20"/>
      <c r="AC9287" s="20"/>
      <c r="AG9287" s="29"/>
    </row>
    <row r="9288" spans="2:33">
      <c r="B9288" s="29"/>
      <c r="D9288" s="29"/>
      <c r="E9288" s="20"/>
      <c r="F9288" s="20"/>
      <c r="AC9288" s="20"/>
      <c r="AG9288" s="29"/>
    </row>
    <row r="9289" spans="2:33">
      <c r="B9289" s="29"/>
      <c r="D9289" s="29"/>
      <c r="E9289" s="20"/>
      <c r="F9289" s="20"/>
      <c r="AC9289" s="20"/>
      <c r="AG9289" s="29"/>
    </row>
    <row r="9290" spans="2:33">
      <c r="B9290" s="29"/>
      <c r="D9290" s="29"/>
      <c r="E9290" s="20"/>
      <c r="F9290" s="20"/>
      <c r="AC9290" s="20"/>
      <c r="AG9290" s="29"/>
    </row>
    <row r="9291" spans="2:33">
      <c r="B9291" s="29"/>
      <c r="D9291" s="29"/>
      <c r="E9291" s="20"/>
      <c r="F9291" s="20"/>
      <c r="AC9291" s="20"/>
      <c r="AG9291" s="29"/>
    </row>
    <row r="9292" spans="2:33">
      <c r="B9292" s="29"/>
      <c r="D9292" s="29"/>
      <c r="E9292" s="20"/>
      <c r="F9292" s="20"/>
      <c r="AC9292" s="20"/>
      <c r="AG9292" s="29"/>
    </row>
    <row r="9293" spans="2:33">
      <c r="B9293" s="29"/>
      <c r="D9293" s="29"/>
      <c r="E9293" s="20"/>
      <c r="F9293" s="20"/>
      <c r="AC9293" s="20"/>
      <c r="AG9293" s="29"/>
    </row>
    <row r="9294" spans="2:33">
      <c r="B9294" s="29"/>
      <c r="D9294" s="29"/>
      <c r="E9294" s="20"/>
      <c r="F9294" s="20"/>
      <c r="AC9294" s="20"/>
      <c r="AG9294" s="29"/>
    </row>
    <row r="9295" spans="2:33">
      <c r="B9295" s="29"/>
      <c r="D9295" s="29"/>
      <c r="E9295" s="20"/>
      <c r="F9295" s="20"/>
      <c r="AC9295" s="20"/>
      <c r="AG9295" s="29"/>
    </row>
    <row r="9296" spans="2:33">
      <c r="B9296" s="29"/>
      <c r="D9296" s="29"/>
      <c r="E9296" s="20"/>
      <c r="F9296" s="20"/>
      <c r="AC9296" s="20"/>
      <c r="AG9296" s="29"/>
    </row>
    <row r="9297" spans="2:33">
      <c r="B9297" s="29"/>
      <c r="D9297" s="29"/>
      <c r="E9297" s="20"/>
      <c r="F9297" s="20"/>
      <c r="AC9297" s="20"/>
      <c r="AG9297" s="29"/>
    </row>
    <row r="9298" spans="2:33">
      <c r="B9298" s="29"/>
      <c r="D9298" s="29"/>
      <c r="E9298" s="20"/>
      <c r="F9298" s="20"/>
      <c r="AC9298" s="20"/>
      <c r="AG9298" s="29"/>
    </row>
    <row r="9299" spans="2:33">
      <c r="B9299" s="29"/>
      <c r="D9299" s="29"/>
      <c r="E9299" s="20"/>
      <c r="F9299" s="20"/>
      <c r="AC9299" s="20"/>
      <c r="AG9299" s="29"/>
    </row>
    <row r="9300" spans="2:33">
      <c r="B9300" s="29"/>
      <c r="D9300" s="29"/>
      <c r="E9300" s="20"/>
      <c r="F9300" s="20"/>
      <c r="AC9300" s="20"/>
      <c r="AG9300" s="29"/>
    </row>
    <row r="9301" spans="2:33">
      <c r="B9301" s="29"/>
      <c r="D9301" s="29"/>
      <c r="E9301" s="20"/>
      <c r="F9301" s="20"/>
      <c r="AC9301" s="20"/>
      <c r="AG9301" s="29"/>
    </row>
    <row r="9302" spans="2:33">
      <c r="B9302" s="29"/>
      <c r="D9302" s="29"/>
      <c r="E9302" s="20"/>
      <c r="F9302" s="20"/>
      <c r="AC9302" s="20"/>
      <c r="AG9302" s="29"/>
    </row>
    <row r="9303" spans="2:33">
      <c r="B9303" s="29"/>
      <c r="D9303" s="29"/>
      <c r="E9303" s="20"/>
      <c r="F9303" s="20"/>
      <c r="AC9303" s="20"/>
      <c r="AG9303" s="29"/>
    </row>
    <row r="9304" spans="2:33">
      <c r="B9304" s="29"/>
      <c r="D9304" s="29"/>
      <c r="E9304" s="20"/>
      <c r="F9304" s="20"/>
      <c r="AC9304" s="20"/>
      <c r="AG9304" s="29"/>
    </row>
    <row r="9305" spans="2:33">
      <c r="B9305" s="29"/>
      <c r="D9305" s="29"/>
      <c r="E9305" s="20"/>
      <c r="F9305" s="20"/>
      <c r="AC9305" s="20"/>
      <c r="AG9305" s="29"/>
    </row>
    <row r="9306" spans="2:33">
      <c r="B9306" s="29"/>
      <c r="D9306" s="29"/>
      <c r="E9306" s="20"/>
      <c r="F9306" s="20"/>
      <c r="AC9306" s="20"/>
      <c r="AG9306" s="29"/>
    </row>
    <row r="9307" spans="2:33">
      <c r="B9307" s="29"/>
      <c r="D9307" s="29"/>
      <c r="E9307" s="20"/>
      <c r="F9307" s="20"/>
      <c r="AC9307" s="20"/>
      <c r="AG9307" s="29"/>
    </row>
    <row r="9308" spans="2:33">
      <c r="B9308" s="29"/>
      <c r="D9308" s="29"/>
      <c r="E9308" s="20"/>
      <c r="F9308" s="20"/>
      <c r="AC9308" s="20"/>
      <c r="AG9308" s="29"/>
    </row>
    <row r="9309" spans="2:33">
      <c r="B9309" s="29"/>
      <c r="D9309" s="29"/>
      <c r="E9309" s="20"/>
      <c r="F9309" s="20"/>
      <c r="AC9309" s="20"/>
      <c r="AG9309" s="29"/>
    </row>
    <row r="9310" spans="2:33">
      <c r="B9310" s="29"/>
      <c r="D9310" s="29"/>
      <c r="E9310" s="20"/>
      <c r="F9310" s="20"/>
      <c r="AC9310" s="20"/>
      <c r="AG9310" s="29"/>
    </row>
    <row r="9311" spans="2:33">
      <c r="B9311" s="29"/>
      <c r="D9311" s="29"/>
      <c r="E9311" s="20"/>
      <c r="F9311" s="20"/>
      <c r="AC9311" s="20"/>
      <c r="AG9311" s="29"/>
    </row>
    <row r="9312" spans="2:33">
      <c r="B9312" s="29"/>
      <c r="D9312" s="29"/>
      <c r="E9312" s="20"/>
      <c r="F9312" s="20"/>
      <c r="AC9312" s="20"/>
      <c r="AG9312" s="29"/>
    </row>
    <row r="9313" spans="2:33">
      <c r="B9313" s="29"/>
      <c r="D9313" s="29"/>
      <c r="E9313" s="20"/>
      <c r="F9313" s="20"/>
      <c r="AC9313" s="20"/>
      <c r="AG9313" s="29"/>
    </row>
    <row r="9314" spans="2:33">
      <c r="B9314" s="29"/>
      <c r="D9314" s="29"/>
      <c r="E9314" s="20"/>
      <c r="F9314" s="20"/>
      <c r="AC9314" s="20"/>
      <c r="AG9314" s="29"/>
    </row>
    <row r="9315" spans="2:33">
      <c r="B9315" s="29"/>
      <c r="D9315" s="29"/>
      <c r="E9315" s="20"/>
      <c r="F9315" s="20"/>
      <c r="AC9315" s="20"/>
      <c r="AG9315" s="29"/>
    </row>
    <row r="9316" spans="2:33">
      <c r="B9316" s="29"/>
      <c r="D9316" s="29"/>
      <c r="E9316" s="20"/>
      <c r="F9316" s="20"/>
      <c r="AC9316" s="20"/>
      <c r="AG9316" s="29"/>
    </row>
    <row r="9317" spans="2:33">
      <c r="B9317" s="29"/>
      <c r="D9317" s="29"/>
      <c r="E9317" s="20"/>
      <c r="F9317" s="20"/>
      <c r="AC9317" s="20"/>
      <c r="AG9317" s="29"/>
    </row>
    <row r="9318" spans="2:33">
      <c r="B9318" s="29"/>
      <c r="D9318" s="29"/>
      <c r="E9318" s="20"/>
      <c r="F9318" s="20"/>
      <c r="AC9318" s="20"/>
      <c r="AG9318" s="29"/>
    </row>
    <row r="9319" spans="2:33">
      <c r="B9319" s="29"/>
      <c r="D9319" s="29"/>
      <c r="E9319" s="20"/>
      <c r="F9319" s="20"/>
      <c r="AC9319" s="20"/>
      <c r="AG9319" s="29"/>
    </row>
    <row r="9320" spans="2:33">
      <c r="B9320" s="29"/>
      <c r="D9320" s="29"/>
      <c r="E9320" s="20"/>
      <c r="F9320" s="20"/>
      <c r="AC9320" s="20"/>
      <c r="AG9320" s="29"/>
    </row>
    <row r="9321" spans="2:33">
      <c r="B9321" s="29"/>
      <c r="D9321" s="29"/>
      <c r="E9321" s="20"/>
      <c r="F9321" s="20"/>
      <c r="AC9321" s="20"/>
      <c r="AG9321" s="29"/>
    </row>
    <row r="9322" spans="2:33">
      <c r="B9322" s="29"/>
      <c r="D9322" s="29"/>
      <c r="E9322" s="20"/>
      <c r="F9322" s="20"/>
      <c r="AC9322" s="20"/>
      <c r="AG9322" s="29"/>
    </row>
    <row r="9323" spans="2:33">
      <c r="B9323" s="29"/>
      <c r="D9323" s="29"/>
      <c r="E9323" s="20"/>
      <c r="F9323" s="20"/>
      <c r="AC9323" s="20"/>
      <c r="AG9323" s="29"/>
    </row>
    <row r="9324" spans="2:33">
      <c r="B9324" s="29"/>
      <c r="D9324" s="29"/>
      <c r="E9324" s="20"/>
      <c r="F9324" s="20"/>
      <c r="AC9324" s="20"/>
      <c r="AG9324" s="29"/>
    </row>
    <row r="9325" spans="2:33">
      <c r="B9325" s="29"/>
      <c r="D9325" s="29"/>
      <c r="E9325" s="20"/>
      <c r="F9325" s="20"/>
      <c r="AC9325" s="20"/>
      <c r="AG9325" s="29"/>
    </row>
    <row r="9326" spans="2:33">
      <c r="B9326" s="29"/>
      <c r="D9326" s="29"/>
      <c r="E9326" s="20"/>
      <c r="F9326" s="20"/>
      <c r="AC9326" s="20"/>
      <c r="AG9326" s="29"/>
    </row>
    <row r="9327" spans="2:33">
      <c r="B9327" s="29"/>
      <c r="D9327" s="29"/>
      <c r="E9327" s="20"/>
      <c r="F9327" s="20"/>
      <c r="AC9327" s="20"/>
      <c r="AG9327" s="29"/>
    </row>
    <row r="9328" spans="2:33">
      <c r="B9328" s="29"/>
      <c r="D9328" s="29"/>
      <c r="E9328" s="20"/>
      <c r="F9328" s="20"/>
      <c r="AC9328" s="20"/>
      <c r="AG9328" s="29"/>
    </row>
    <row r="9329" spans="2:33">
      <c r="B9329" s="29"/>
      <c r="D9329" s="29"/>
      <c r="E9329" s="20"/>
      <c r="F9329" s="20"/>
      <c r="AC9329" s="20"/>
      <c r="AG9329" s="29"/>
    </row>
    <row r="9330" spans="2:33">
      <c r="B9330" s="29"/>
      <c r="D9330" s="29"/>
      <c r="E9330" s="20"/>
      <c r="F9330" s="20"/>
      <c r="AC9330" s="20"/>
      <c r="AG9330" s="29"/>
    </row>
    <row r="9331" spans="2:33">
      <c r="B9331" s="29"/>
      <c r="D9331" s="29"/>
      <c r="E9331" s="20"/>
      <c r="F9331" s="20"/>
      <c r="AC9331" s="20"/>
      <c r="AG9331" s="29"/>
    </row>
    <row r="9332" spans="2:33">
      <c r="B9332" s="29"/>
      <c r="D9332" s="29"/>
      <c r="E9332" s="20"/>
      <c r="F9332" s="20"/>
      <c r="AC9332" s="20"/>
      <c r="AG9332" s="29"/>
    </row>
    <row r="9333" spans="2:33">
      <c r="B9333" s="29"/>
      <c r="D9333" s="29"/>
      <c r="E9333" s="20"/>
      <c r="F9333" s="20"/>
      <c r="AC9333" s="20"/>
      <c r="AG9333" s="29"/>
    </row>
    <row r="9334" spans="2:33">
      <c r="B9334" s="29"/>
      <c r="D9334" s="29"/>
      <c r="E9334" s="20"/>
      <c r="F9334" s="20"/>
      <c r="AC9334" s="20"/>
      <c r="AG9334" s="29"/>
    </row>
    <row r="9335" spans="2:33">
      <c r="B9335" s="29"/>
      <c r="D9335" s="29"/>
      <c r="E9335" s="20"/>
      <c r="F9335" s="20"/>
      <c r="AC9335" s="20"/>
      <c r="AG9335" s="29"/>
    </row>
    <row r="9336" spans="2:33">
      <c r="B9336" s="29"/>
      <c r="D9336" s="29"/>
      <c r="E9336" s="20"/>
      <c r="F9336" s="20"/>
      <c r="AC9336" s="20"/>
      <c r="AG9336" s="29"/>
    </row>
    <row r="9337" spans="2:33">
      <c r="B9337" s="29"/>
      <c r="D9337" s="29"/>
      <c r="E9337" s="20"/>
      <c r="F9337" s="20"/>
      <c r="AC9337" s="20"/>
      <c r="AG9337" s="29"/>
    </row>
    <row r="9338" spans="2:33">
      <c r="B9338" s="29"/>
      <c r="D9338" s="29"/>
      <c r="E9338" s="20"/>
      <c r="F9338" s="20"/>
      <c r="AC9338" s="20"/>
      <c r="AG9338" s="29"/>
    </row>
    <row r="9339" spans="2:33">
      <c r="B9339" s="29"/>
      <c r="D9339" s="29"/>
      <c r="E9339" s="20"/>
      <c r="F9339" s="20"/>
      <c r="AC9339" s="20"/>
      <c r="AG9339" s="29"/>
    </row>
    <row r="9340" spans="2:33">
      <c r="B9340" s="29"/>
      <c r="D9340" s="29"/>
      <c r="E9340" s="20"/>
      <c r="F9340" s="20"/>
      <c r="AC9340" s="20"/>
      <c r="AG9340" s="29"/>
    </row>
    <row r="9341" spans="2:33">
      <c r="B9341" s="29"/>
      <c r="D9341" s="29"/>
      <c r="E9341" s="20"/>
      <c r="F9341" s="20"/>
      <c r="AC9341" s="20"/>
      <c r="AG9341" s="29"/>
    </row>
    <row r="9342" spans="2:33">
      <c r="B9342" s="29"/>
      <c r="D9342" s="29"/>
      <c r="E9342" s="20"/>
      <c r="F9342" s="20"/>
      <c r="AC9342" s="20"/>
      <c r="AG9342" s="29"/>
    </row>
    <row r="9343" spans="2:33">
      <c r="B9343" s="29"/>
      <c r="D9343" s="29"/>
      <c r="E9343" s="20"/>
      <c r="F9343" s="20"/>
      <c r="AC9343" s="20"/>
      <c r="AG9343" s="29"/>
    </row>
    <row r="9344" spans="2:33">
      <c r="B9344" s="29"/>
      <c r="D9344" s="29"/>
      <c r="E9344" s="20"/>
      <c r="F9344" s="20"/>
      <c r="AC9344" s="20"/>
      <c r="AG9344" s="29"/>
    </row>
    <row r="9345" spans="2:33">
      <c r="B9345" s="29"/>
      <c r="D9345" s="29"/>
      <c r="E9345" s="20"/>
      <c r="F9345" s="20"/>
      <c r="AC9345" s="20"/>
      <c r="AG9345" s="29"/>
    </row>
    <row r="9346" spans="2:33">
      <c r="B9346" s="29"/>
      <c r="D9346" s="29"/>
      <c r="E9346" s="20"/>
      <c r="F9346" s="20"/>
      <c r="AC9346" s="20"/>
      <c r="AG9346" s="29"/>
    </row>
    <row r="9347" spans="2:33">
      <c r="B9347" s="29"/>
      <c r="D9347" s="29"/>
      <c r="E9347" s="20"/>
      <c r="F9347" s="20"/>
      <c r="AC9347" s="20"/>
      <c r="AG9347" s="29"/>
    </row>
    <row r="9348" spans="2:33">
      <c r="B9348" s="29"/>
      <c r="D9348" s="29"/>
      <c r="E9348" s="20"/>
      <c r="F9348" s="20"/>
      <c r="AC9348" s="20"/>
      <c r="AG9348" s="29"/>
    </row>
    <row r="9349" spans="2:33">
      <c r="B9349" s="29"/>
      <c r="D9349" s="29"/>
      <c r="E9349" s="20"/>
      <c r="F9349" s="20"/>
      <c r="AC9349" s="20"/>
      <c r="AG9349" s="29"/>
    </row>
    <row r="9350" spans="2:33">
      <c r="B9350" s="29"/>
      <c r="D9350" s="29"/>
      <c r="E9350" s="20"/>
      <c r="F9350" s="20"/>
      <c r="AC9350" s="20"/>
      <c r="AG9350" s="29"/>
    </row>
    <row r="9351" spans="2:33">
      <c r="B9351" s="29"/>
      <c r="D9351" s="29"/>
      <c r="E9351" s="20"/>
      <c r="F9351" s="20"/>
      <c r="AC9351" s="20"/>
      <c r="AG9351" s="29"/>
    </row>
    <row r="9352" spans="2:33">
      <c r="B9352" s="29"/>
      <c r="D9352" s="29"/>
      <c r="E9352" s="20"/>
      <c r="F9352" s="20"/>
      <c r="AC9352" s="20"/>
      <c r="AG9352" s="29"/>
    </row>
    <row r="9353" spans="2:33">
      <c r="B9353" s="29"/>
      <c r="D9353" s="29"/>
      <c r="E9353" s="20"/>
      <c r="F9353" s="20"/>
      <c r="AC9353" s="20"/>
      <c r="AG9353" s="29"/>
    </row>
    <row r="9354" spans="2:33">
      <c r="B9354" s="29"/>
      <c r="D9354" s="29"/>
      <c r="E9354" s="20"/>
      <c r="F9354" s="20"/>
      <c r="AC9354" s="20"/>
      <c r="AG9354" s="29"/>
    </row>
    <row r="9355" spans="2:33">
      <c r="B9355" s="29"/>
      <c r="D9355" s="29"/>
      <c r="E9355" s="20"/>
      <c r="F9355" s="20"/>
      <c r="AC9355" s="20"/>
      <c r="AG9355" s="29"/>
    </row>
    <row r="9356" spans="2:33">
      <c r="B9356" s="29"/>
      <c r="D9356" s="29"/>
      <c r="E9356" s="20"/>
      <c r="F9356" s="20"/>
      <c r="AC9356" s="20"/>
      <c r="AG9356" s="29"/>
    </row>
    <row r="9357" spans="2:33">
      <c r="B9357" s="29"/>
      <c r="D9357" s="29"/>
      <c r="E9357" s="20"/>
      <c r="F9357" s="20"/>
      <c r="AC9357" s="20"/>
      <c r="AG9357" s="29"/>
    </row>
    <row r="9358" spans="2:33">
      <c r="B9358" s="29"/>
      <c r="D9358" s="29"/>
      <c r="E9358" s="20"/>
      <c r="F9358" s="20"/>
      <c r="AC9358" s="20"/>
      <c r="AG9358" s="29"/>
    </row>
    <row r="9359" spans="2:33">
      <c r="B9359" s="29"/>
      <c r="D9359" s="29"/>
      <c r="E9359" s="20"/>
      <c r="F9359" s="20"/>
      <c r="AC9359" s="20"/>
      <c r="AG9359" s="29"/>
    </row>
    <row r="9360" spans="2:33">
      <c r="B9360" s="29"/>
      <c r="D9360" s="29"/>
      <c r="E9360" s="20"/>
      <c r="F9360" s="20"/>
      <c r="AC9360" s="20"/>
      <c r="AG9360" s="29"/>
    </row>
    <row r="9361" spans="2:33">
      <c r="B9361" s="29"/>
      <c r="D9361" s="29"/>
      <c r="E9361" s="20"/>
      <c r="F9361" s="20"/>
      <c r="AC9361" s="20"/>
      <c r="AG9361" s="29"/>
    </row>
    <row r="9362" spans="2:33">
      <c r="B9362" s="29"/>
      <c r="D9362" s="29"/>
      <c r="E9362" s="20"/>
      <c r="F9362" s="20"/>
      <c r="AC9362" s="20"/>
      <c r="AG9362" s="29"/>
    </row>
    <row r="9363" spans="2:33">
      <c r="B9363" s="29"/>
      <c r="D9363" s="29"/>
      <c r="E9363" s="20"/>
      <c r="F9363" s="20"/>
      <c r="AC9363" s="20"/>
      <c r="AG9363" s="29"/>
    </row>
    <row r="9364" spans="2:33">
      <c r="B9364" s="29"/>
      <c r="D9364" s="29"/>
      <c r="E9364" s="20"/>
      <c r="F9364" s="20"/>
      <c r="AC9364" s="20"/>
      <c r="AG9364" s="29"/>
    </row>
    <row r="9365" spans="2:33">
      <c r="B9365" s="29"/>
      <c r="D9365" s="29"/>
      <c r="E9365" s="20"/>
      <c r="F9365" s="20"/>
      <c r="AC9365" s="20"/>
      <c r="AG9365" s="29"/>
    </row>
    <row r="9366" spans="2:33">
      <c r="B9366" s="29"/>
      <c r="D9366" s="29"/>
      <c r="E9366" s="20"/>
      <c r="F9366" s="20"/>
      <c r="AC9366" s="20"/>
      <c r="AG9366" s="29"/>
    </row>
    <row r="9367" spans="2:33">
      <c r="B9367" s="29"/>
      <c r="D9367" s="29"/>
      <c r="E9367" s="20"/>
      <c r="F9367" s="20"/>
      <c r="AC9367" s="20"/>
      <c r="AG9367" s="29"/>
    </row>
    <row r="9368" spans="2:33">
      <c r="B9368" s="29"/>
      <c r="D9368" s="29"/>
      <c r="E9368" s="20"/>
      <c r="F9368" s="20"/>
      <c r="AC9368" s="20"/>
      <c r="AG9368" s="29"/>
    </row>
    <row r="9369" spans="2:33">
      <c r="B9369" s="29"/>
      <c r="D9369" s="29"/>
      <c r="E9369" s="20"/>
      <c r="F9369" s="20"/>
      <c r="AC9369" s="20"/>
      <c r="AG9369" s="29"/>
    </row>
    <row r="9370" spans="2:33">
      <c r="B9370" s="29"/>
      <c r="D9370" s="29"/>
      <c r="E9370" s="20"/>
      <c r="F9370" s="20"/>
      <c r="AC9370" s="20"/>
      <c r="AG9370" s="29"/>
    </row>
    <row r="9371" spans="2:33">
      <c r="B9371" s="29"/>
      <c r="D9371" s="29"/>
      <c r="E9371" s="20"/>
      <c r="F9371" s="20"/>
      <c r="AC9371" s="20"/>
      <c r="AG9371" s="29"/>
    </row>
    <row r="9372" spans="2:33">
      <c r="B9372" s="29"/>
      <c r="D9372" s="29"/>
      <c r="E9372" s="20"/>
      <c r="F9372" s="20"/>
      <c r="AC9372" s="20"/>
      <c r="AG9372" s="29"/>
    </row>
    <row r="9373" spans="2:33">
      <c r="B9373" s="29"/>
      <c r="D9373" s="29"/>
      <c r="E9373" s="20"/>
      <c r="F9373" s="20"/>
      <c r="AC9373" s="20"/>
      <c r="AG9373" s="29"/>
    </row>
    <row r="9374" spans="2:33">
      <c r="B9374" s="29"/>
      <c r="D9374" s="29"/>
      <c r="E9374" s="20"/>
      <c r="F9374" s="20"/>
      <c r="AC9374" s="20"/>
      <c r="AG9374" s="29"/>
    </row>
    <row r="9375" spans="2:33">
      <c r="B9375" s="29"/>
      <c r="D9375" s="29"/>
      <c r="E9375" s="20"/>
      <c r="F9375" s="20"/>
      <c r="AC9375" s="20"/>
      <c r="AG9375" s="29"/>
    </row>
    <row r="9376" spans="2:33">
      <c r="B9376" s="29"/>
      <c r="D9376" s="29"/>
      <c r="E9376" s="20"/>
      <c r="F9376" s="20"/>
      <c r="AC9376" s="20"/>
      <c r="AG9376" s="29"/>
    </row>
    <row r="9377" spans="2:33">
      <c r="B9377" s="29"/>
      <c r="D9377" s="29"/>
      <c r="E9377" s="20"/>
      <c r="F9377" s="20"/>
      <c r="AC9377" s="20"/>
      <c r="AG9377" s="29"/>
    </row>
    <row r="9378" spans="2:33">
      <c r="B9378" s="29"/>
      <c r="D9378" s="29"/>
      <c r="E9378" s="20"/>
      <c r="F9378" s="20"/>
      <c r="AC9378" s="20"/>
      <c r="AG9378" s="29"/>
    </row>
    <row r="9379" spans="2:33">
      <c r="B9379" s="29"/>
      <c r="D9379" s="29"/>
      <c r="E9379" s="20"/>
      <c r="F9379" s="20"/>
      <c r="AC9379" s="20"/>
      <c r="AG9379" s="29"/>
    </row>
    <row r="9380" spans="2:33">
      <c r="B9380" s="29"/>
      <c r="D9380" s="29"/>
      <c r="E9380" s="20"/>
      <c r="F9380" s="20"/>
      <c r="AC9380" s="20"/>
      <c r="AG9380" s="29"/>
    </row>
    <row r="9381" spans="2:33">
      <c r="B9381" s="29"/>
      <c r="D9381" s="29"/>
      <c r="E9381" s="20"/>
      <c r="F9381" s="20"/>
      <c r="AC9381" s="20"/>
      <c r="AG9381" s="29"/>
    </row>
    <row r="9382" spans="2:33">
      <c r="B9382" s="29"/>
      <c r="D9382" s="29"/>
      <c r="E9382" s="20"/>
      <c r="F9382" s="20"/>
      <c r="AC9382" s="20"/>
      <c r="AG9382" s="29"/>
    </row>
    <row r="9383" spans="2:33">
      <c r="B9383" s="29"/>
      <c r="D9383" s="29"/>
      <c r="E9383" s="20"/>
      <c r="F9383" s="20"/>
      <c r="AC9383" s="20"/>
      <c r="AG9383" s="29"/>
    </row>
    <row r="9384" spans="2:33">
      <c r="B9384" s="29"/>
      <c r="D9384" s="29"/>
      <c r="E9384" s="20"/>
      <c r="F9384" s="20"/>
      <c r="AC9384" s="20"/>
      <c r="AG9384" s="29"/>
    </row>
    <row r="9385" spans="2:33">
      <c r="B9385" s="29"/>
      <c r="D9385" s="29"/>
      <c r="E9385" s="20"/>
      <c r="F9385" s="20"/>
      <c r="AC9385" s="20"/>
      <c r="AG9385" s="29"/>
    </row>
    <row r="9386" spans="2:33">
      <c r="B9386" s="29"/>
      <c r="D9386" s="29"/>
      <c r="E9386" s="20"/>
      <c r="F9386" s="20"/>
      <c r="AC9386" s="20"/>
      <c r="AG9386" s="29"/>
    </row>
    <row r="9387" spans="2:33">
      <c r="B9387" s="29"/>
      <c r="D9387" s="29"/>
      <c r="E9387" s="20"/>
      <c r="F9387" s="20"/>
      <c r="AC9387" s="20"/>
      <c r="AG9387" s="29"/>
    </row>
    <row r="9388" spans="2:33">
      <c r="B9388" s="29"/>
      <c r="D9388" s="29"/>
      <c r="E9388" s="20"/>
      <c r="F9388" s="20"/>
      <c r="AC9388" s="20"/>
      <c r="AG9388" s="29"/>
    </row>
    <row r="9389" spans="2:33">
      <c r="B9389" s="29"/>
      <c r="D9389" s="29"/>
      <c r="E9389" s="20"/>
      <c r="F9389" s="20"/>
      <c r="AC9389" s="20"/>
      <c r="AG9389" s="29"/>
    </row>
    <row r="9390" spans="2:33">
      <c r="B9390" s="29"/>
      <c r="D9390" s="29"/>
      <c r="E9390" s="20"/>
      <c r="F9390" s="20"/>
      <c r="AC9390" s="20"/>
      <c r="AG9390" s="29"/>
    </row>
    <row r="9391" spans="2:33">
      <c r="B9391" s="29"/>
      <c r="D9391" s="29"/>
      <c r="E9391" s="20"/>
      <c r="F9391" s="20"/>
      <c r="AC9391" s="20"/>
      <c r="AG9391" s="29"/>
    </row>
    <row r="9392" spans="2:33">
      <c r="B9392" s="29"/>
      <c r="D9392" s="29"/>
      <c r="E9392" s="20"/>
      <c r="F9392" s="20"/>
      <c r="AC9392" s="20"/>
      <c r="AG9392" s="29"/>
    </row>
    <row r="9393" spans="2:33">
      <c r="B9393" s="29"/>
      <c r="D9393" s="29"/>
      <c r="E9393" s="20"/>
      <c r="F9393" s="20"/>
      <c r="AC9393" s="20"/>
      <c r="AG9393" s="29"/>
    </row>
    <row r="9394" spans="2:33">
      <c r="B9394" s="29"/>
      <c r="D9394" s="29"/>
      <c r="E9394" s="20"/>
      <c r="F9394" s="20"/>
      <c r="AC9394" s="20"/>
      <c r="AG9394" s="29"/>
    </row>
    <row r="9395" spans="2:33">
      <c r="B9395" s="29"/>
      <c r="D9395" s="29"/>
      <c r="E9395" s="20"/>
      <c r="F9395" s="20"/>
      <c r="AC9395" s="20"/>
      <c r="AG9395" s="29"/>
    </row>
    <row r="9396" spans="2:33">
      <c r="B9396" s="29"/>
      <c r="D9396" s="29"/>
      <c r="E9396" s="20"/>
      <c r="F9396" s="20"/>
      <c r="AC9396" s="20"/>
      <c r="AG9396" s="29"/>
    </row>
    <row r="9397" spans="2:33">
      <c r="B9397" s="29"/>
      <c r="D9397" s="29"/>
      <c r="E9397" s="20"/>
      <c r="F9397" s="20"/>
      <c r="AC9397" s="20"/>
      <c r="AG9397" s="29"/>
    </row>
    <row r="9398" spans="2:33">
      <c r="B9398" s="29"/>
      <c r="D9398" s="29"/>
      <c r="E9398" s="20"/>
      <c r="F9398" s="20"/>
      <c r="AC9398" s="20"/>
      <c r="AG9398" s="29"/>
    </row>
    <row r="9399" spans="2:33">
      <c r="B9399" s="29"/>
      <c r="D9399" s="29"/>
      <c r="E9399" s="20"/>
      <c r="F9399" s="20"/>
      <c r="AC9399" s="20"/>
      <c r="AG9399" s="29"/>
    </row>
    <row r="9400" spans="2:33">
      <c r="B9400" s="29"/>
      <c r="D9400" s="29"/>
      <c r="E9400" s="20"/>
      <c r="F9400" s="20"/>
      <c r="AC9400" s="20"/>
      <c r="AG9400" s="29"/>
    </row>
    <row r="9401" spans="2:33">
      <c r="B9401" s="29"/>
      <c r="D9401" s="29"/>
      <c r="E9401" s="20"/>
      <c r="F9401" s="20"/>
      <c r="AC9401" s="20"/>
      <c r="AG9401" s="29"/>
    </row>
    <row r="9402" spans="2:33">
      <c r="B9402" s="29"/>
      <c r="D9402" s="29"/>
      <c r="E9402" s="20"/>
      <c r="F9402" s="20"/>
      <c r="AC9402" s="20"/>
      <c r="AG9402" s="29"/>
    </row>
    <row r="9403" spans="2:33">
      <c r="B9403" s="29"/>
      <c r="D9403" s="29"/>
      <c r="E9403" s="20"/>
      <c r="F9403" s="20"/>
      <c r="AC9403" s="20"/>
      <c r="AG9403" s="29"/>
    </row>
    <row r="9404" spans="2:33">
      <c r="B9404" s="29"/>
      <c r="D9404" s="29"/>
      <c r="E9404" s="20"/>
      <c r="F9404" s="20"/>
      <c r="AC9404" s="20"/>
      <c r="AG9404" s="29"/>
    </row>
    <row r="9405" spans="2:33">
      <c r="B9405" s="29"/>
      <c r="D9405" s="29"/>
      <c r="E9405" s="20"/>
      <c r="F9405" s="20"/>
      <c r="AC9405" s="20"/>
      <c r="AG9405" s="29"/>
    </row>
    <row r="9406" spans="2:33">
      <c r="B9406" s="29"/>
      <c r="D9406" s="29"/>
      <c r="E9406" s="20"/>
      <c r="F9406" s="20"/>
      <c r="AC9406" s="20"/>
      <c r="AG9406" s="29"/>
    </row>
    <row r="9407" spans="2:33">
      <c r="B9407" s="29"/>
      <c r="D9407" s="29"/>
      <c r="E9407" s="20"/>
      <c r="F9407" s="20"/>
      <c r="AC9407" s="20"/>
      <c r="AG9407" s="29"/>
    </row>
    <row r="9408" spans="2:33">
      <c r="B9408" s="29"/>
      <c r="D9408" s="29"/>
      <c r="E9408" s="20"/>
      <c r="F9408" s="20"/>
      <c r="AC9408" s="20"/>
      <c r="AG9408" s="29"/>
    </row>
    <row r="9409" spans="2:33">
      <c r="B9409" s="29"/>
      <c r="D9409" s="29"/>
      <c r="E9409" s="20"/>
      <c r="F9409" s="20"/>
      <c r="AC9409" s="20"/>
      <c r="AG9409" s="29"/>
    </row>
    <row r="9410" spans="2:33">
      <c r="B9410" s="29"/>
      <c r="D9410" s="29"/>
      <c r="E9410" s="20"/>
      <c r="F9410" s="20"/>
      <c r="AC9410" s="20"/>
      <c r="AG9410" s="29"/>
    </row>
    <row r="9411" spans="2:33">
      <c r="B9411" s="29"/>
      <c r="D9411" s="29"/>
      <c r="E9411" s="20"/>
      <c r="F9411" s="20"/>
      <c r="AC9411" s="20"/>
      <c r="AG9411" s="29"/>
    </row>
    <row r="9412" spans="2:33">
      <c r="B9412" s="29"/>
      <c r="D9412" s="29"/>
      <c r="E9412" s="20"/>
      <c r="F9412" s="20"/>
      <c r="AC9412" s="20"/>
      <c r="AG9412" s="29"/>
    </row>
    <row r="9413" spans="2:33">
      <c r="B9413" s="29"/>
      <c r="D9413" s="29"/>
      <c r="E9413" s="20"/>
      <c r="F9413" s="20"/>
      <c r="AC9413" s="20"/>
      <c r="AG9413" s="29"/>
    </row>
    <row r="9414" spans="2:33">
      <c r="B9414" s="29"/>
      <c r="D9414" s="29"/>
      <c r="E9414" s="20"/>
      <c r="F9414" s="20"/>
      <c r="AC9414" s="20"/>
      <c r="AG9414" s="29"/>
    </row>
    <row r="9415" spans="2:33">
      <c r="B9415" s="29"/>
      <c r="D9415" s="29"/>
      <c r="E9415" s="20"/>
      <c r="F9415" s="20"/>
      <c r="AC9415" s="20"/>
      <c r="AG9415" s="29"/>
    </row>
    <row r="9416" spans="2:33">
      <c r="B9416" s="29"/>
      <c r="D9416" s="29"/>
      <c r="E9416" s="20"/>
      <c r="F9416" s="20"/>
      <c r="AC9416" s="20"/>
      <c r="AG9416" s="29"/>
    </row>
    <row r="9417" spans="2:33">
      <c r="B9417" s="29"/>
      <c r="D9417" s="29"/>
      <c r="E9417" s="20"/>
      <c r="F9417" s="20"/>
      <c r="AC9417" s="20"/>
      <c r="AG9417" s="29"/>
    </row>
    <row r="9418" spans="2:33">
      <c r="B9418" s="29"/>
      <c r="D9418" s="29"/>
      <c r="E9418" s="20"/>
      <c r="F9418" s="20"/>
      <c r="AC9418" s="20"/>
      <c r="AG9418" s="29"/>
    </row>
    <row r="9419" spans="2:33">
      <c r="B9419" s="29"/>
      <c r="D9419" s="29"/>
      <c r="E9419" s="20"/>
      <c r="F9419" s="20"/>
      <c r="AC9419" s="20"/>
      <c r="AG9419" s="29"/>
    </row>
    <row r="9420" spans="2:33">
      <c r="B9420" s="29"/>
      <c r="D9420" s="29"/>
      <c r="E9420" s="20"/>
      <c r="F9420" s="20"/>
      <c r="AC9420" s="20"/>
      <c r="AG9420" s="29"/>
    </row>
    <row r="9421" spans="2:33">
      <c r="B9421" s="29"/>
      <c r="D9421" s="29"/>
      <c r="E9421" s="20"/>
      <c r="F9421" s="20"/>
      <c r="AC9421" s="20"/>
      <c r="AG9421" s="29"/>
    </row>
    <row r="9422" spans="2:33">
      <c r="B9422" s="29"/>
      <c r="D9422" s="29"/>
      <c r="E9422" s="20"/>
      <c r="F9422" s="20"/>
      <c r="AC9422" s="20"/>
      <c r="AG9422" s="29"/>
    </row>
    <row r="9423" spans="2:33">
      <c r="B9423" s="29"/>
      <c r="D9423" s="29"/>
      <c r="E9423" s="20"/>
      <c r="F9423" s="20"/>
      <c r="AC9423" s="20"/>
      <c r="AG9423" s="29"/>
    </row>
    <row r="9424" spans="2:33">
      <c r="B9424" s="29"/>
      <c r="D9424" s="29"/>
      <c r="E9424" s="20"/>
      <c r="F9424" s="20"/>
      <c r="AC9424" s="20"/>
      <c r="AG9424" s="29"/>
    </row>
    <row r="9425" spans="2:33">
      <c r="B9425" s="29"/>
      <c r="D9425" s="29"/>
      <c r="E9425" s="20"/>
      <c r="F9425" s="20"/>
      <c r="AC9425" s="20"/>
      <c r="AG9425" s="29"/>
    </row>
    <row r="9426" spans="2:33">
      <c r="B9426" s="29"/>
      <c r="D9426" s="29"/>
      <c r="E9426" s="20"/>
      <c r="F9426" s="20"/>
      <c r="AC9426" s="20"/>
      <c r="AG9426" s="29"/>
    </row>
    <row r="9427" spans="2:33">
      <c r="B9427" s="29"/>
      <c r="D9427" s="29"/>
      <c r="E9427" s="20"/>
      <c r="F9427" s="20"/>
      <c r="AC9427" s="20"/>
      <c r="AG9427" s="29"/>
    </row>
    <row r="9428" spans="2:33">
      <c r="B9428" s="29"/>
      <c r="D9428" s="29"/>
      <c r="E9428" s="20"/>
      <c r="F9428" s="20"/>
      <c r="AC9428" s="20"/>
      <c r="AG9428" s="29"/>
    </row>
    <row r="9429" spans="2:33">
      <c r="B9429" s="29"/>
      <c r="D9429" s="29"/>
      <c r="E9429" s="20"/>
      <c r="F9429" s="20"/>
      <c r="AC9429" s="20"/>
      <c r="AG9429" s="29"/>
    </row>
    <row r="9430" spans="2:33">
      <c r="B9430" s="29"/>
      <c r="D9430" s="29"/>
      <c r="E9430" s="20"/>
      <c r="F9430" s="20"/>
      <c r="AC9430" s="20"/>
      <c r="AG9430" s="29"/>
    </row>
    <row r="9431" spans="2:33">
      <c r="B9431" s="29"/>
      <c r="D9431" s="29"/>
      <c r="E9431" s="20"/>
      <c r="F9431" s="20"/>
      <c r="AC9431" s="20"/>
      <c r="AG9431" s="29"/>
    </row>
    <row r="9432" spans="2:33">
      <c r="B9432" s="29"/>
      <c r="D9432" s="29"/>
      <c r="E9432" s="20"/>
      <c r="F9432" s="20"/>
      <c r="AC9432" s="20"/>
      <c r="AG9432" s="29"/>
    </row>
    <row r="9433" spans="2:33">
      <c r="B9433" s="29"/>
      <c r="D9433" s="29"/>
      <c r="E9433" s="20"/>
      <c r="F9433" s="20"/>
      <c r="AC9433" s="20"/>
      <c r="AG9433" s="29"/>
    </row>
    <row r="9434" spans="2:33">
      <c r="B9434" s="29"/>
      <c r="D9434" s="29"/>
      <c r="E9434" s="20"/>
      <c r="F9434" s="20"/>
      <c r="AC9434" s="20"/>
      <c r="AG9434" s="29"/>
    </row>
    <row r="9435" spans="2:33">
      <c r="B9435" s="29"/>
      <c r="D9435" s="29"/>
      <c r="E9435" s="20"/>
      <c r="F9435" s="20"/>
      <c r="AC9435" s="20"/>
      <c r="AG9435" s="29"/>
    </row>
    <row r="9436" spans="2:33">
      <c r="B9436" s="29"/>
      <c r="D9436" s="29"/>
      <c r="E9436" s="20"/>
      <c r="F9436" s="20"/>
      <c r="AC9436" s="20"/>
      <c r="AG9436" s="29"/>
    </row>
    <row r="9437" spans="2:33">
      <c r="B9437" s="29"/>
      <c r="D9437" s="29"/>
      <c r="E9437" s="20"/>
      <c r="F9437" s="20"/>
      <c r="AC9437" s="20"/>
      <c r="AG9437" s="29"/>
    </row>
    <row r="9438" spans="2:33">
      <c r="B9438" s="29"/>
      <c r="D9438" s="29"/>
      <c r="E9438" s="20"/>
      <c r="F9438" s="20"/>
      <c r="AC9438" s="20"/>
      <c r="AG9438" s="29"/>
    </row>
    <row r="9439" spans="2:33">
      <c r="B9439" s="29"/>
      <c r="D9439" s="29"/>
      <c r="E9439" s="20"/>
      <c r="F9439" s="20"/>
      <c r="AC9439" s="20"/>
      <c r="AG9439" s="29"/>
    </row>
    <row r="9440" spans="2:33">
      <c r="B9440" s="29"/>
      <c r="D9440" s="29"/>
      <c r="E9440" s="20"/>
      <c r="F9440" s="20"/>
      <c r="AC9440" s="20"/>
      <c r="AG9440" s="29"/>
    </row>
    <row r="9441" spans="2:33">
      <c r="B9441" s="29"/>
      <c r="D9441" s="29"/>
      <c r="E9441" s="20"/>
      <c r="F9441" s="20"/>
      <c r="AC9441" s="20"/>
      <c r="AG9441" s="29"/>
    </row>
    <row r="9442" spans="2:33">
      <c r="B9442" s="29"/>
      <c r="D9442" s="29"/>
      <c r="E9442" s="20"/>
      <c r="F9442" s="20"/>
      <c r="AC9442" s="20"/>
      <c r="AG9442" s="29"/>
    </row>
    <row r="9443" spans="2:33">
      <c r="B9443" s="29"/>
      <c r="D9443" s="29"/>
      <c r="E9443" s="20"/>
      <c r="F9443" s="20"/>
      <c r="AC9443" s="20"/>
      <c r="AG9443" s="29"/>
    </row>
    <row r="9444" spans="2:33">
      <c r="B9444" s="29"/>
      <c r="D9444" s="29"/>
      <c r="E9444" s="20"/>
      <c r="F9444" s="20"/>
      <c r="AC9444" s="20"/>
      <c r="AG9444" s="29"/>
    </row>
    <row r="9445" spans="2:33">
      <c r="B9445" s="29"/>
      <c r="D9445" s="29"/>
      <c r="E9445" s="20"/>
      <c r="F9445" s="20"/>
      <c r="AC9445" s="20"/>
      <c r="AG9445" s="29"/>
    </row>
    <row r="9446" spans="2:33">
      <c r="B9446" s="29"/>
      <c r="D9446" s="29"/>
      <c r="E9446" s="20"/>
      <c r="F9446" s="20"/>
      <c r="AC9446" s="20"/>
      <c r="AG9446" s="29"/>
    </row>
    <row r="9447" spans="2:33">
      <c r="B9447" s="29"/>
      <c r="D9447" s="29"/>
      <c r="E9447" s="20"/>
      <c r="F9447" s="20"/>
      <c r="AC9447" s="20"/>
      <c r="AG9447" s="29"/>
    </row>
    <row r="9448" spans="2:33">
      <c r="B9448" s="29"/>
      <c r="D9448" s="29"/>
      <c r="E9448" s="20"/>
      <c r="F9448" s="20"/>
      <c r="AC9448" s="20"/>
      <c r="AG9448" s="29"/>
    </row>
    <row r="9449" spans="2:33">
      <c r="B9449" s="29"/>
      <c r="D9449" s="29"/>
      <c r="E9449" s="20"/>
      <c r="F9449" s="20"/>
      <c r="AC9449" s="20"/>
      <c r="AG9449" s="29"/>
    </row>
    <row r="9450" spans="2:33">
      <c r="B9450" s="29"/>
      <c r="D9450" s="29"/>
      <c r="E9450" s="20"/>
      <c r="F9450" s="20"/>
      <c r="AC9450" s="20"/>
      <c r="AG9450" s="29"/>
    </row>
    <row r="9451" spans="2:33">
      <c r="B9451" s="29"/>
      <c r="D9451" s="29"/>
      <c r="E9451" s="20"/>
      <c r="F9451" s="20"/>
      <c r="AC9451" s="20"/>
      <c r="AG9451" s="29"/>
    </row>
    <row r="9452" spans="2:33">
      <c r="B9452" s="29"/>
      <c r="D9452" s="29"/>
      <c r="E9452" s="20"/>
      <c r="F9452" s="20"/>
      <c r="AC9452" s="20"/>
      <c r="AG9452" s="29"/>
    </row>
    <row r="9453" spans="2:33">
      <c r="B9453" s="29"/>
      <c r="D9453" s="29"/>
      <c r="E9453" s="20"/>
      <c r="F9453" s="20"/>
      <c r="AC9453" s="20"/>
      <c r="AG9453" s="29"/>
    </row>
    <row r="9454" spans="2:33">
      <c r="B9454" s="29"/>
      <c r="D9454" s="29"/>
      <c r="E9454" s="20"/>
      <c r="F9454" s="20"/>
      <c r="AC9454" s="20"/>
      <c r="AG9454" s="29"/>
    </row>
    <row r="9455" spans="2:33">
      <c r="B9455" s="29"/>
      <c r="D9455" s="29"/>
      <c r="E9455" s="20"/>
      <c r="F9455" s="20"/>
      <c r="AC9455" s="20"/>
      <c r="AG9455" s="29"/>
    </row>
    <row r="9456" spans="2:33">
      <c r="B9456" s="29"/>
      <c r="D9456" s="29"/>
      <c r="E9456" s="20"/>
      <c r="F9456" s="20"/>
      <c r="AC9456" s="20"/>
      <c r="AG9456" s="29"/>
    </row>
    <row r="9457" spans="2:33">
      <c r="B9457" s="29"/>
      <c r="D9457" s="29"/>
      <c r="E9457" s="20"/>
      <c r="F9457" s="20"/>
      <c r="AC9457" s="20"/>
      <c r="AG9457" s="29"/>
    </row>
    <row r="9458" spans="2:33">
      <c r="B9458" s="29"/>
      <c r="D9458" s="29"/>
      <c r="E9458" s="20"/>
      <c r="F9458" s="20"/>
      <c r="AC9458" s="20"/>
      <c r="AG9458" s="29"/>
    </row>
    <row r="9459" spans="2:33">
      <c r="B9459" s="29"/>
      <c r="D9459" s="29"/>
      <c r="E9459" s="20"/>
      <c r="F9459" s="20"/>
      <c r="AC9459" s="20"/>
      <c r="AG9459" s="29"/>
    </row>
    <row r="9460" spans="2:33">
      <c r="B9460" s="29"/>
      <c r="D9460" s="29"/>
      <c r="E9460" s="20"/>
      <c r="F9460" s="20"/>
      <c r="AC9460" s="20"/>
      <c r="AG9460" s="29"/>
    </row>
    <row r="9461" spans="2:33">
      <c r="B9461" s="29"/>
      <c r="D9461" s="29"/>
      <c r="E9461" s="20"/>
      <c r="F9461" s="20"/>
      <c r="AC9461" s="20"/>
      <c r="AG9461" s="29"/>
    </row>
    <row r="9462" spans="2:33">
      <c r="B9462" s="29"/>
      <c r="D9462" s="29"/>
      <c r="E9462" s="20"/>
      <c r="F9462" s="20"/>
      <c r="AC9462" s="20"/>
      <c r="AG9462" s="29"/>
    </row>
    <row r="9463" spans="2:33">
      <c r="B9463" s="29"/>
      <c r="D9463" s="29"/>
      <c r="E9463" s="20"/>
      <c r="F9463" s="20"/>
      <c r="AC9463" s="20"/>
      <c r="AG9463" s="29"/>
    </row>
    <row r="9464" spans="2:33">
      <c r="B9464" s="29"/>
      <c r="D9464" s="29"/>
      <c r="E9464" s="20"/>
      <c r="F9464" s="20"/>
      <c r="AC9464" s="20"/>
      <c r="AG9464" s="29"/>
    </row>
    <row r="9465" spans="2:33">
      <c r="B9465" s="29"/>
      <c r="D9465" s="29"/>
      <c r="E9465" s="20"/>
      <c r="F9465" s="20"/>
      <c r="AC9465" s="20"/>
      <c r="AG9465" s="29"/>
    </row>
    <row r="9466" spans="2:33">
      <c r="B9466" s="29"/>
      <c r="D9466" s="29"/>
      <c r="E9466" s="20"/>
      <c r="F9466" s="20"/>
      <c r="AC9466" s="20"/>
      <c r="AG9466" s="29"/>
    </row>
    <row r="9467" spans="2:33">
      <c r="B9467" s="29"/>
      <c r="D9467" s="29"/>
      <c r="E9467" s="20"/>
      <c r="F9467" s="20"/>
      <c r="AC9467" s="20"/>
      <c r="AG9467" s="29"/>
    </row>
    <row r="9468" spans="2:33">
      <c r="B9468" s="29"/>
      <c r="D9468" s="29"/>
      <c r="E9468" s="20"/>
      <c r="F9468" s="20"/>
      <c r="AC9468" s="20"/>
      <c r="AG9468" s="29"/>
    </row>
    <row r="9469" spans="2:33">
      <c r="B9469" s="29"/>
      <c r="D9469" s="29"/>
      <c r="E9469" s="20"/>
      <c r="F9469" s="20"/>
      <c r="AC9469" s="20"/>
      <c r="AG9469" s="29"/>
    </row>
    <row r="9470" spans="2:33">
      <c r="B9470" s="29"/>
      <c r="D9470" s="29"/>
      <c r="E9470" s="20"/>
      <c r="F9470" s="20"/>
      <c r="AC9470" s="20"/>
      <c r="AG9470" s="29"/>
    </row>
    <row r="9471" spans="2:33">
      <c r="B9471" s="29"/>
      <c r="D9471" s="29"/>
      <c r="E9471" s="20"/>
      <c r="F9471" s="20"/>
      <c r="AC9471" s="20"/>
      <c r="AG9471" s="29"/>
    </row>
    <row r="9472" spans="2:33">
      <c r="B9472" s="29"/>
      <c r="D9472" s="29"/>
      <c r="E9472" s="20"/>
      <c r="F9472" s="20"/>
      <c r="AC9472" s="20"/>
      <c r="AG9472" s="29"/>
    </row>
    <row r="9473" spans="2:33">
      <c r="B9473" s="29"/>
      <c r="D9473" s="29"/>
      <c r="E9473" s="20"/>
      <c r="F9473" s="20"/>
      <c r="AC9473" s="20"/>
      <c r="AG9473" s="29"/>
    </row>
    <row r="9474" spans="2:33">
      <c r="B9474" s="29"/>
      <c r="D9474" s="29"/>
      <c r="E9474" s="20"/>
      <c r="F9474" s="20"/>
      <c r="AC9474" s="20"/>
      <c r="AG9474" s="29"/>
    </row>
    <row r="9475" spans="2:33">
      <c r="B9475" s="29"/>
      <c r="D9475" s="29"/>
      <c r="E9475" s="20"/>
      <c r="F9475" s="20"/>
      <c r="AC9475" s="20"/>
      <c r="AG9475" s="29"/>
    </row>
    <row r="9476" spans="2:33">
      <c r="B9476" s="29"/>
      <c r="D9476" s="29"/>
      <c r="E9476" s="20"/>
      <c r="F9476" s="20"/>
      <c r="AC9476" s="20"/>
      <c r="AG9476" s="29"/>
    </row>
    <row r="9477" spans="2:33">
      <c r="B9477" s="29"/>
      <c r="D9477" s="29"/>
      <c r="E9477" s="20"/>
      <c r="F9477" s="20"/>
      <c r="AC9477" s="20"/>
      <c r="AG9477" s="29"/>
    </row>
    <row r="9478" spans="2:33">
      <c r="B9478" s="29"/>
      <c r="D9478" s="29"/>
      <c r="E9478" s="20"/>
      <c r="F9478" s="20"/>
      <c r="AC9478" s="20"/>
      <c r="AG9478" s="29"/>
    </row>
    <row r="9479" spans="2:33">
      <c r="B9479" s="29"/>
      <c r="D9479" s="29"/>
      <c r="E9479" s="20"/>
      <c r="F9479" s="20"/>
      <c r="AC9479" s="20"/>
      <c r="AG9479" s="29"/>
    </row>
    <row r="9480" spans="2:33">
      <c r="B9480" s="29"/>
      <c r="D9480" s="29"/>
      <c r="E9480" s="20"/>
      <c r="F9480" s="20"/>
      <c r="AC9480" s="20"/>
      <c r="AG9480" s="29"/>
    </row>
    <row r="9481" spans="2:33">
      <c r="B9481" s="29"/>
      <c r="D9481" s="29"/>
      <c r="E9481" s="20"/>
      <c r="F9481" s="20"/>
      <c r="AC9481" s="20"/>
      <c r="AG9481" s="29"/>
    </row>
    <row r="9482" spans="2:33">
      <c r="B9482" s="29"/>
      <c r="D9482" s="29"/>
      <c r="E9482" s="20"/>
      <c r="F9482" s="20"/>
      <c r="AC9482" s="20"/>
      <c r="AG9482" s="29"/>
    </row>
    <row r="9483" spans="2:33">
      <c r="B9483" s="29"/>
      <c r="D9483" s="29"/>
      <c r="E9483" s="20"/>
      <c r="F9483" s="20"/>
      <c r="AC9483" s="20"/>
      <c r="AG9483" s="29"/>
    </row>
    <row r="9484" spans="2:33">
      <c r="B9484" s="29"/>
      <c r="D9484" s="29"/>
      <c r="E9484" s="20"/>
      <c r="F9484" s="20"/>
      <c r="AC9484" s="20"/>
      <c r="AG9484" s="29"/>
    </row>
    <row r="9485" spans="2:33">
      <c r="B9485" s="29"/>
      <c r="D9485" s="29"/>
      <c r="E9485" s="20"/>
      <c r="F9485" s="20"/>
      <c r="AC9485" s="20"/>
      <c r="AG9485" s="29"/>
    </row>
    <row r="9486" spans="2:33">
      <c r="B9486" s="29"/>
      <c r="D9486" s="29"/>
      <c r="E9486" s="20"/>
      <c r="F9486" s="20"/>
      <c r="AC9486" s="20"/>
      <c r="AG9486" s="29"/>
    </row>
    <row r="9487" spans="2:33">
      <c r="B9487" s="29"/>
      <c r="D9487" s="29"/>
      <c r="E9487" s="20"/>
      <c r="F9487" s="20"/>
      <c r="AC9487" s="20"/>
      <c r="AG9487" s="29"/>
    </row>
    <row r="9488" spans="2:33">
      <c r="B9488" s="29"/>
      <c r="D9488" s="29"/>
      <c r="E9488" s="20"/>
      <c r="F9488" s="20"/>
      <c r="AC9488" s="20"/>
      <c r="AG9488" s="29"/>
    </row>
    <row r="9489" spans="2:33">
      <c r="B9489" s="29"/>
      <c r="D9489" s="29"/>
      <c r="E9489" s="20"/>
      <c r="F9489" s="20"/>
      <c r="AC9489" s="20"/>
      <c r="AG9489" s="29"/>
    </row>
    <row r="9490" spans="2:33">
      <c r="B9490" s="29"/>
      <c r="D9490" s="29"/>
      <c r="E9490" s="20"/>
      <c r="F9490" s="20"/>
      <c r="AC9490" s="20"/>
      <c r="AG9490" s="29"/>
    </row>
    <row r="9491" spans="2:33">
      <c r="B9491" s="29"/>
      <c r="D9491" s="29"/>
      <c r="E9491" s="20"/>
      <c r="F9491" s="20"/>
      <c r="AC9491" s="20"/>
      <c r="AG9491" s="29"/>
    </row>
    <row r="9492" spans="2:33">
      <c r="B9492" s="29"/>
      <c r="D9492" s="29"/>
      <c r="E9492" s="20"/>
      <c r="F9492" s="20"/>
      <c r="AC9492" s="20"/>
      <c r="AG9492" s="29"/>
    </row>
    <row r="9493" spans="2:33">
      <c r="B9493" s="29"/>
      <c r="D9493" s="29"/>
      <c r="E9493" s="20"/>
      <c r="F9493" s="20"/>
      <c r="AC9493" s="20"/>
      <c r="AG9493" s="29"/>
    </row>
    <row r="9494" spans="2:33">
      <c r="B9494" s="29"/>
      <c r="D9494" s="29"/>
      <c r="E9494" s="20"/>
      <c r="F9494" s="20"/>
      <c r="AC9494" s="20"/>
      <c r="AG9494" s="29"/>
    </row>
    <row r="9495" spans="2:33">
      <c r="B9495" s="29"/>
      <c r="D9495" s="29"/>
      <c r="E9495" s="20"/>
      <c r="F9495" s="20"/>
      <c r="AC9495" s="20"/>
      <c r="AG9495" s="29"/>
    </row>
    <row r="9496" spans="2:33">
      <c r="B9496" s="29"/>
      <c r="D9496" s="29"/>
      <c r="E9496" s="20"/>
      <c r="F9496" s="20"/>
      <c r="AC9496" s="20"/>
      <c r="AG9496" s="29"/>
    </row>
    <row r="9497" spans="2:33">
      <c r="B9497" s="29"/>
      <c r="D9497" s="29"/>
      <c r="E9497" s="20"/>
      <c r="F9497" s="20"/>
      <c r="AC9497" s="20"/>
      <c r="AG9497" s="29"/>
    </row>
    <row r="9498" spans="2:33">
      <c r="B9498" s="29"/>
      <c r="D9498" s="29"/>
      <c r="E9498" s="20"/>
      <c r="F9498" s="20"/>
      <c r="AC9498" s="20"/>
      <c r="AG9498" s="29"/>
    </row>
    <row r="9499" spans="2:33">
      <c r="B9499" s="29"/>
      <c r="D9499" s="29"/>
      <c r="E9499" s="20"/>
      <c r="F9499" s="20"/>
      <c r="AC9499" s="20"/>
      <c r="AG9499" s="29"/>
    </row>
    <row r="9500" spans="2:33">
      <c r="B9500" s="29"/>
      <c r="D9500" s="29"/>
      <c r="E9500" s="20"/>
      <c r="F9500" s="20"/>
      <c r="AC9500" s="20"/>
      <c r="AG9500" s="29"/>
    </row>
    <row r="9501" spans="2:33">
      <c r="B9501" s="29"/>
      <c r="D9501" s="29"/>
      <c r="E9501" s="20"/>
      <c r="F9501" s="20"/>
      <c r="AC9501" s="20"/>
      <c r="AG9501" s="29"/>
    </row>
    <row r="9502" spans="2:33">
      <c r="B9502" s="29"/>
      <c r="D9502" s="29"/>
      <c r="E9502" s="20"/>
      <c r="F9502" s="20"/>
      <c r="AC9502" s="20"/>
      <c r="AG9502" s="29"/>
    </row>
    <row r="9503" spans="2:33">
      <c r="B9503" s="29"/>
      <c r="D9503" s="29"/>
      <c r="E9503" s="20"/>
      <c r="F9503" s="20"/>
      <c r="AC9503" s="20"/>
      <c r="AG9503" s="29"/>
    </row>
    <row r="9504" spans="2:33">
      <c r="B9504" s="29"/>
      <c r="D9504" s="29"/>
      <c r="E9504" s="20"/>
      <c r="F9504" s="20"/>
      <c r="AC9504" s="20"/>
      <c r="AG9504" s="29"/>
    </row>
    <row r="9505" spans="2:33">
      <c r="B9505" s="29"/>
      <c r="D9505" s="29"/>
      <c r="E9505" s="20"/>
      <c r="F9505" s="20"/>
      <c r="AC9505" s="20"/>
      <c r="AG9505" s="29"/>
    </row>
    <row r="9506" spans="2:33">
      <c r="B9506" s="29"/>
      <c r="D9506" s="29"/>
      <c r="E9506" s="20"/>
      <c r="F9506" s="20"/>
      <c r="AC9506" s="20"/>
      <c r="AG9506" s="29"/>
    </row>
    <row r="9507" spans="2:33">
      <c r="B9507" s="29"/>
      <c r="D9507" s="29"/>
      <c r="E9507" s="20"/>
      <c r="F9507" s="20"/>
      <c r="AC9507" s="20"/>
      <c r="AG9507" s="29"/>
    </row>
    <row r="9508" spans="2:33">
      <c r="B9508" s="29"/>
      <c r="D9508" s="29"/>
      <c r="E9508" s="20"/>
      <c r="F9508" s="20"/>
      <c r="AC9508" s="20"/>
      <c r="AG9508" s="29"/>
    </row>
    <row r="9509" spans="2:33">
      <c r="B9509" s="29"/>
      <c r="D9509" s="29"/>
      <c r="E9509" s="20"/>
      <c r="F9509" s="20"/>
      <c r="AC9509" s="20"/>
      <c r="AG9509" s="29"/>
    </row>
    <row r="9510" spans="2:33">
      <c r="B9510" s="29"/>
      <c r="D9510" s="29"/>
      <c r="E9510" s="20"/>
      <c r="F9510" s="20"/>
      <c r="AC9510" s="20"/>
      <c r="AG9510" s="29"/>
    </row>
    <row r="9511" spans="2:33">
      <c r="B9511" s="29"/>
      <c r="D9511" s="29"/>
      <c r="E9511" s="20"/>
      <c r="F9511" s="20"/>
      <c r="AC9511" s="20"/>
      <c r="AG9511" s="29"/>
    </row>
    <row r="9512" spans="2:33">
      <c r="B9512" s="29"/>
      <c r="D9512" s="29"/>
      <c r="E9512" s="20"/>
      <c r="F9512" s="20"/>
      <c r="AC9512" s="20"/>
      <c r="AG9512" s="29"/>
    </row>
    <row r="9513" spans="2:33">
      <c r="B9513" s="29"/>
      <c r="D9513" s="29"/>
      <c r="E9513" s="20"/>
      <c r="F9513" s="20"/>
      <c r="AC9513" s="20"/>
      <c r="AG9513" s="29"/>
    </row>
    <row r="9514" spans="2:33">
      <c r="B9514" s="29"/>
      <c r="D9514" s="29"/>
      <c r="E9514" s="20"/>
      <c r="F9514" s="20"/>
      <c r="AC9514" s="20"/>
      <c r="AG9514" s="29"/>
    </row>
    <row r="9515" spans="2:33">
      <c r="B9515" s="29"/>
      <c r="D9515" s="29"/>
      <c r="E9515" s="20"/>
      <c r="F9515" s="20"/>
      <c r="AC9515" s="20"/>
      <c r="AG9515" s="29"/>
    </row>
    <row r="9516" spans="2:33">
      <c r="B9516" s="29"/>
      <c r="D9516" s="29"/>
      <c r="E9516" s="20"/>
      <c r="F9516" s="20"/>
      <c r="AC9516" s="20"/>
      <c r="AG9516" s="29"/>
    </row>
    <row r="9517" spans="2:33">
      <c r="B9517" s="29"/>
      <c r="D9517" s="29"/>
      <c r="E9517" s="20"/>
      <c r="F9517" s="20"/>
      <c r="AC9517" s="20"/>
      <c r="AG9517" s="29"/>
    </row>
    <row r="9518" spans="2:33">
      <c r="B9518" s="29"/>
      <c r="D9518" s="29"/>
      <c r="E9518" s="20"/>
      <c r="F9518" s="20"/>
      <c r="AC9518" s="20"/>
      <c r="AG9518" s="29"/>
    </row>
    <row r="9519" spans="2:33">
      <c r="B9519" s="29"/>
      <c r="D9519" s="29"/>
      <c r="E9519" s="20"/>
      <c r="F9519" s="20"/>
      <c r="AC9519" s="20"/>
      <c r="AG9519" s="29"/>
    </row>
    <row r="9520" spans="2:33">
      <c r="B9520" s="29"/>
      <c r="D9520" s="29"/>
      <c r="E9520" s="20"/>
      <c r="F9520" s="20"/>
      <c r="AC9520" s="20"/>
      <c r="AG9520" s="29"/>
    </row>
    <row r="9521" spans="2:33">
      <c r="B9521" s="29"/>
      <c r="D9521" s="29"/>
      <c r="E9521" s="20"/>
      <c r="F9521" s="20"/>
      <c r="AC9521" s="20"/>
      <c r="AG9521" s="29"/>
    </row>
    <row r="9522" spans="2:33">
      <c r="B9522" s="29"/>
      <c r="D9522" s="29"/>
      <c r="E9522" s="20"/>
      <c r="F9522" s="20"/>
      <c r="AC9522" s="20"/>
      <c r="AG9522" s="29"/>
    </row>
    <row r="9523" spans="2:33">
      <c r="B9523" s="29"/>
      <c r="D9523" s="29"/>
      <c r="E9523" s="20"/>
      <c r="F9523" s="20"/>
      <c r="AC9523" s="20"/>
      <c r="AG9523" s="29"/>
    </row>
    <row r="9524" spans="2:33">
      <c r="B9524" s="29"/>
      <c r="D9524" s="29"/>
      <c r="E9524" s="20"/>
      <c r="F9524" s="20"/>
      <c r="AC9524" s="20"/>
      <c r="AG9524" s="29"/>
    </row>
    <row r="9525" spans="2:33">
      <c r="B9525" s="29"/>
      <c r="D9525" s="29"/>
      <c r="E9525" s="20"/>
      <c r="F9525" s="20"/>
      <c r="AC9525" s="20"/>
      <c r="AG9525" s="29"/>
    </row>
    <row r="9526" spans="2:33">
      <c r="B9526" s="29"/>
      <c r="D9526" s="29"/>
      <c r="E9526" s="20"/>
      <c r="F9526" s="20"/>
      <c r="AC9526" s="20"/>
      <c r="AG9526" s="29"/>
    </row>
    <row r="9527" spans="2:33">
      <c r="B9527" s="29"/>
      <c r="D9527" s="29"/>
      <c r="E9527" s="20"/>
      <c r="F9527" s="20"/>
      <c r="AC9527" s="20"/>
      <c r="AG9527" s="29"/>
    </row>
    <row r="9528" spans="2:33">
      <c r="B9528" s="29"/>
      <c r="D9528" s="29"/>
      <c r="E9528" s="20"/>
      <c r="F9528" s="20"/>
      <c r="AC9528" s="20"/>
      <c r="AG9528" s="29"/>
    </row>
    <row r="9529" spans="2:33">
      <c r="B9529" s="29"/>
      <c r="D9529" s="29"/>
      <c r="E9529" s="20"/>
      <c r="F9529" s="20"/>
      <c r="AC9529" s="20"/>
      <c r="AG9529" s="29"/>
    </row>
    <row r="9530" spans="2:33">
      <c r="B9530" s="29"/>
      <c r="D9530" s="29"/>
      <c r="E9530" s="20"/>
      <c r="F9530" s="20"/>
      <c r="AC9530" s="20"/>
      <c r="AG9530" s="29"/>
    </row>
    <row r="9531" spans="2:33">
      <c r="B9531" s="29"/>
      <c r="D9531" s="29"/>
      <c r="E9531" s="20"/>
      <c r="F9531" s="20"/>
      <c r="AC9531" s="20"/>
      <c r="AG9531" s="29"/>
    </row>
    <row r="9532" spans="2:33">
      <c r="B9532" s="29"/>
      <c r="D9532" s="29"/>
      <c r="E9532" s="20"/>
      <c r="F9532" s="20"/>
      <c r="AC9532" s="20"/>
      <c r="AG9532" s="29"/>
    </row>
    <row r="9533" spans="2:33">
      <c r="B9533" s="29"/>
      <c r="D9533" s="29"/>
      <c r="E9533" s="20"/>
      <c r="F9533" s="20"/>
      <c r="AC9533" s="20"/>
      <c r="AG9533" s="29"/>
    </row>
    <row r="9534" spans="2:33">
      <c r="B9534" s="29"/>
      <c r="D9534" s="29"/>
      <c r="E9534" s="20"/>
      <c r="F9534" s="20"/>
      <c r="AC9534" s="20"/>
      <c r="AG9534" s="29"/>
    </row>
    <row r="9535" spans="2:33">
      <c r="B9535" s="29"/>
      <c r="D9535" s="29"/>
      <c r="E9535" s="20"/>
      <c r="F9535" s="20"/>
      <c r="AC9535" s="20"/>
      <c r="AG9535" s="29"/>
    </row>
    <row r="9536" spans="2:33">
      <c r="B9536" s="29"/>
      <c r="D9536" s="29"/>
      <c r="E9536" s="20"/>
      <c r="F9536" s="20"/>
      <c r="AC9536" s="20"/>
      <c r="AG9536" s="29"/>
    </row>
    <row r="9537" spans="2:33">
      <c r="B9537" s="29"/>
      <c r="D9537" s="29"/>
      <c r="E9537" s="20"/>
      <c r="F9537" s="20"/>
      <c r="AC9537" s="20"/>
      <c r="AG9537" s="29"/>
    </row>
    <row r="9538" spans="2:33">
      <c r="B9538" s="29"/>
      <c r="D9538" s="29"/>
      <c r="E9538" s="20"/>
      <c r="F9538" s="20"/>
      <c r="AC9538" s="20"/>
      <c r="AG9538" s="29"/>
    </row>
    <row r="9539" spans="2:33">
      <c r="B9539" s="29"/>
      <c r="D9539" s="29"/>
      <c r="E9539" s="20"/>
      <c r="F9539" s="20"/>
      <c r="AC9539" s="20"/>
      <c r="AG9539" s="29"/>
    </row>
    <row r="9540" spans="2:33">
      <c r="B9540" s="29"/>
      <c r="D9540" s="29"/>
      <c r="E9540" s="20"/>
      <c r="F9540" s="20"/>
      <c r="AC9540" s="20"/>
      <c r="AG9540" s="29"/>
    </row>
    <row r="9541" spans="2:33">
      <c r="B9541" s="29"/>
      <c r="D9541" s="29"/>
      <c r="E9541" s="20"/>
      <c r="F9541" s="20"/>
      <c r="AC9541" s="20"/>
      <c r="AG9541" s="29"/>
    </row>
    <row r="9542" spans="2:33">
      <c r="B9542" s="29"/>
      <c r="D9542" s="29"/>
      <c r="E9542" s="20"/>
      <c r="F9542" s="20"/>
      <c r="AC9542" s="20"/>
      <c r="AG9542" s="29"/>
    </row>
    <row r="9543" spans="2:33">
      <c r="B9543" s="29"/>
      <c r="D9543" s="29"/>
      <c r="E9543" s="20"/>
      <c r="F9543" s="20"/>
      <c r="AC9543" s="20"/>
      <c r="AG9543" s="29"/>
    </row>
    <row r="9544" spans="2:33">
      <c r="B9544" s="29"/>
      <c r="D9544" s="29"/>
      <c r="E9544" s="20"/>
      <c r="F9544" s="20"/>
      <c r="AC9544" s="20"/>
      <c r="AG9544" s="29"/>
    </row>
    <row r="9545" spans="2:33">
      <c r="B9545" s="29"/>
      <c r="D9545" s="29"/>
      <c r="E9545" s="20"/>
      <c r="F9545" s="20"/>
      <c r="AC9545" s="20"/>
      <c r="AG9545" s="29"/>
    </row>
    <row r="9546" spans="2:33">
      <c r="B9546" s="29"/>
      <c r="D9546" s="29"/>
      <c r="E9546" s="20"/>
      <c r="F9546" s="20"/>
      <c r="AC9546" s="20"/>
      <c r="AG9546" s="29"/>
    </row>
    <row r="9547" spans="2:33">
      <c r="B9547" s="29"/>
      <c r="D9547" s="29"/>
      <c r="E9547" s="20"/>
      <c r="F9547" s="20"/>
      <c r="AC9547" s="20"/>
      <c r="AG9547" s="29"/>
    </row>
    <row r="9548" spans="2:33">
      <c r="B9548" s="29"/>
      <c r="D9548" s="29"/>
      <c r="E9548" s="20"/>
      <c r="F9548" s="20"/>
      <c r="AC9548" s="20"/>
      <c r="AG9548" s="29"/>
    </row>
    <row r="9549" spans="2:33">
      <c r="B9549" s="29"/>
      <c r="D9549" s="29"/>
      <c r="E9549" s="20"/>
      <c r="F9549" s="20"/>
      <c r="AC9549" s="20"/>
      <c r="AG9549" s="29"/>
    </row>
    <row r="9550" spans="2:33">
      <c r="B9550" s="29"/>
      <c r="D9550" s="29"/>
      <c r="E9550" s="20"/>
      <c r="F9550" s="20"/>
      <c r="AC9550" s="20"/>
      <c r="AG9550" s="29"/>
    </row>
    <row r="9551" spans="2:33">
      <c r="B9551" s="29"/>
      <c r="D9551" s="29"/>
      <c r="E9551" s="20"/>
      <c r="F9551" s="20"/>
      <c r="AC9551" s="20"/>
      <c r="AG9551" s="29"/>
    </row>
    <row r="9552" spans="2:33">
      <c r="B9552" s="29"/>
      <c r="D9552" s="29"/>
      <c r="E9552" s="20"/>
      <c r="F9552" s="20"/>
      <c r="AC9552" s="20"/>
      <c r="AG9552" s="29"/>
    </row>
    <row r="9553" spans="2:33">
      <c r="B9553" s="29"/>
      <c r="D9553" s="29"/>
      <c r="E9553" s="20"/>
      <c r="F9553" s="20"/>
      <c r="AC9553" s="20"/>
      <c r="AG9553" s="29"/>
    </row>
    <row r="9554" spans="2:33">
      <c r="B9554" s="29"/>
      <c r="D9554" s="29"/>
      <c r="E9554" s="20"/>
      <c r="F9554" s="20"/>
      <c r="AC9554" s="20"/>
      <c r="AG9554" s="29"/>
    </row>
    <row r="9555" spans="2:33">
      <c r="B9555" s="29"/>
      <c r="D9555" s="29"/>
      <c r="E9555" s="20"/>
      <c r="F9555" s="20"/>
      <c r="AC9555" s="20"/>
      <c r="AG9555" s="29"/>
    </row>
    <row r="9556" spans="2:33">
      <c r="B9556" s="29"/>
      <c r="D9556" s="29"/>
      <c r="E9556" s="20"/>
      <c r="F9556" s="20"/>
      <c r="AC9556" s="20"/>
      <c r="AG9556" s="29"/>
    </row>
    <row r="9557" spans="2:33">
      <c r="B9557" s="29"/>
      <c r="D9557" s="29"/>
      <c r="E9557" s="20"/>
      <c r="F9557" s="20"/>
      <c r="AC9557" s="20"/>
      <c r="AG9557" s="29"/>
    </row>
    <row r="9558" spans="2:33">
      <c r="B9558" s="29"/>
      <c r="D9558" s="29"/>
      <c r="E9558" s="20"/>
      <c r="F9558" s="20"/>
      <c r="AC9558" s="20"/>
      <c r="AG9558" s="29"/>
    </row>
    <row r="9559" spans="2:33">
      <c r="B9559" s="29"/>
      <c r="D9559" s="29"/>
      <c r="E9559" s="20"/>
      <c r="F9559" s="20"/>
      <c r="AC9559" s="20"/>
      <c r="AG9559" s="29"/>
    </row>
    <row r="9560" spans="2:33">
      <c r="B9560" s="29"/>
      <c r="D9560" s="29"/>
      <c r="E9560" s="20"/>
      <c r="F9560" s="20"/>
      <c r="AC9560" s="20"/>
      <c r="AG9560" s="29"/>
    </row>
    <row r="9561" spans="2:33">
      <c r="B9561" s="29"/>
      <c r="D9561" s="29"/>
      <c r="E9561" s="20"/>
      <c r="F9561" s="20"/>
      <c r="AC9561" s="20"/>
      <c r="AG9561" s="29"/>
    </row>
    <row r="9562" spans="2:33">
      <c r="B9562" s="29"/>
      <c r="D9562" s="29"/>
      <c r="E9562" s="20"/>
      <c r="F9562" s="20"/>
      <c r="AC9562" s="20"/>
      <c r="AG9562" s="29"/>
    </row>
    <row r="9563" spans="2:33">
      <c r="B9563" s="29"/>
      <c r="D9563" s="29"/>
      <c r="E9563" s="20"/>
      <c r="F9563" s="20"/>
      <c r="AC9563" s="20"/>
      <c r="AG9563" s="29"/>
    </row>
    <row r="9564" spans="2:33">
      <c r="B9564" s="29"/>
      <c r="D9564" s="29"/>
      <c r="E9564" s="20"/>
      <c r="F9564" s="20"/>
      <c r="AC9564" s="20"/>
      <c r="AG9564" s="29"/>
    </row>
    <row r="9565" spans="2:33">
      <c r="B9565" s="29"/>
      <c r="D9565" s="29"/>
      <c r="E9565" s="20"/>
      <c r="F9565" s="20"/>
      <c r="AC9565" s="20"/>
      <c r="AG9565" s="29"/>
    </row>
    <row r="9566" spans="2:33">
      <c r="B9566" s="29"/>
      <c r="D9566" s="29"/>
      <c r="E9566" s="20"/>
      <c r="F9566" s="20"/>
      <c r="AC9566" s="20"/>
      <c r="AG9566" s="29"/>
    </row>
    <row r="9567" spans="2:33">
      <c r="B9567" s="29"/>
      <c r="D9567" s="29"/>
      <c r="E9567" s="20"/>
      <c r="F9567" s="20"/>
      <c r="AC9567" s="20"/>
      <c r="AG9567" s="29"/>
    </row>
    <row r="9568" spans="2:33">
      <c r="B9568" s="29"/>
      <c r="D9568" s="29"/>
      <c r="E9568" s="20"/>
      <c r="F9568" s="20"/>
      <c r="AC9568" s="20"/>
      <c r="AG9568" s="29"/>
    </row>
    <row r="9569" spans="2:33">
      <c r="B9569" s="29"/>
      <c r="D9569" s="29"/>
      <c r="E9569" s="20"/>
      <c r="F9569" s="20"/>
      <c r="AC9569" s="20"/>
      <c r="AG9569" s="29"/>
    </row>
    <row r="9570" spans="2:33">
      <c r="B9570" s="29"/>
      <c r="D9570" s="29"/>
      <c r="E9570" s="20"/>
      <c r="F9570" s="20"/>
      <c r="AC9570" s="20"/>
      <c r="AG9570" s="29"/>
    </row>
    <row r="9571" spans="2:33">
      <c r="B9571" s="29"/>
      <c r="D9571" s="29"/>
      <c r="E9571" s="20"/>
      <c r="F9571" s="20"/>
      <c r="AC9571" s="20"/>
      <c r="AG9571" s="29"/>
    </row>
    <row r="9572" spans="2:33">
      <c r="B9572" s="29"/>
      <c r="D9572" s="29"/>
      <c r="E9572" s="20"/>
      <c r="F9572" s="20"/>
      <c r="AC9572" s="20"/>
      <c r="AG9572" s="29"/>
    </row>
    <row r="9573" spans="2:33">
      <c r="B9573" s="29"/>
      <c r="D9573" s="29"/>
      <c r="E9573" s="20"/>
      <c r="F9573" s="20"/>
      <c r="AC9573" s="20"/>
      <c r="AG9573" s="29"/>
    </row>
    <row r="9574" spans="2:33">
      <c r="B9574" s="29"/>
      <c r="D9574" s="29"/>
      <c r="E9574" s="20"/>
      <c r="F9574" s="20"/>
      <c r="AC9574" s="20"/>
      <c r="AG9574" s="29"/>
    </row>
    <row r="9575" spans="2:33">
      <c r="B9575" s="29"/>
      <c r="D9575" s="29"/>
      <c r="E9575" s="20"/>
      <c r="F9575" s="20"/>
      <c r="AC9575" s="20"/>
      <c r="AG9575" s="29"/>
    </row>
    <row r="9576" spans="2:33">
      <c r="B9576" s="29"/>
      <c r="D9576" s="29"/>
      <c r="E9576" s="20"/>
      <c r="F9576" s="20"/>
      <c r="AC9576" s="20"/>
      <c r="AG9576" s="29"/>
    </row>
    <row r="9577" spans="2:33">
      <c r="B9577" s="29"/>
      <c r="D9577" s="29"/>
      <c r="E9577" s="20"/>
      <c r="F9577" s="20"/>
      <c r="AC9577" s="20"/>
      <c r="AG9577" s="29"/>
    </row>
    <row r="9578" spans="2:33">
      <c r="B9578" s="29"/>
      <c r="D9578" s="29"/>
      <c r="E9578" s="20"/>
      <c r="F9578" s="20"/>
      <c r="AC9578" s="20"/>
      <c r="AG9578" s="29"/>
    </row>
    <row r="9579" spans="2:33">
      <c r="B9579" s="29"/>
      <c r="D9579" s="29"/>
      <c r="E9579" s="20"/>
      <c r="F9579" s="20"/>
      <c r="AC9579" s="20"/>
      <c r="AG9579" s="29"/>
    </row>
    <row r="9580" spans="2:33">
      <c r="B9580" s="29"/>
      <c r="D9580" s="29"/>
      <c r="E9580" s="20"/>
      <c r="F9580" s="20"/>
      <c r="AC9580" s="20"/>
      <c r="AG9580" s="29"/>
    </row>
    <row r="9581" spans="2:33">
      <c r="B9581" s="29"/>
      <c r="D9581" s="29"/>
      <c r="E9581" s="20"/>
      <c r="F9581" s="20"/>
      <c r="AC9581" s="20"/>
      <c r="AG9581" s="29"/>
    </row>
    <row r="9582" spans="2:33">
      <c r="B9582" s="29"/>
      <c r="D9582" s="29"/>
      <c r="E9582" s="20"/>
      <c r="F9582" s="20"/>
      <c r="AC9582" s="20"/>
      <c r="AG9582" s="29"/>
    </row>
    <row r="9583" spans="2:33">
      <c r="B9583" s="29"/>
      <c r="D9583" s="29"/>
      <c r="E9583" s="20"/>
      <c r="F9583" s="20"/>
      <c r="AC9583" s="20"/>
      <c r="AG9583" s="29"/>
    </row>
    <row r="9584" spans="2:33">
      <c r="B9584" s="29"/>
      <c r="D9584" s="29"/>
      <c r="E9584" s="20"/>
      <c r="F9584" s="20"/>
      <c r="AC9584" s="20"/>
      <c r="AG9584" s="29"/>
    </row>
    <row r="9585" spans="2:33">
      <c r="B9585" s="29"/>
      <c r="D9585" s="29"/>
      <c r="E9585" s="20"/>
      <c r="F9585" s="20"/>
      <c r="AC9585" s="20"/>
      <c r="AG9585" s="29"/>
    </row>
    <row r="9586" spans="2:33">
      <c r="B9586" s="29"/>
      <c r="D9586" s="29"/>
      <c r="E9586" s="20"/>
      <c r="F9586" s="20"/>
      <c r="AC9586" s="20"/>
      <c r="AG9586" s="29"/>
    </row>
    <row r="9587" spans="2:33">
      <c r="B9587" s="29"/>
      <c r="D9587" s="29"/>
      <c r="E9587" s="20"/>
      <c r="F9587" s="20"/>
      <c r="AC9587" s="20"/>
      <c r="AG9587" s="29"/>
    </row>
    <row r="9588" spans="2:33">
      <c r="B9588" s="29"/>
      <c r="D9588" s="29"/>
      <c r="E9588" s="20"/>
      <c r="F9588" s="20"/>
      <c r="AC9588" s="20"/>
      <c r="AG9588" s="29"/>
    </row>
    <row r="9589" spans="2:33">
      <c r="B9589" s="29"/>
      <c r="D9589" s="29"/>
      <c r="E9589" s="20"/>
      <c r="F9589" s="20"/>
      <c r="AC9589" s="20"/>
      <c r="AG9589" s="29"/>
    </row>
    <row r="9590" spans="2:33">
      <c r="B9590" s="29"/>
      <c r="D9590" s="29"/>
      <c r="E9590" s="20"/>
      <c r="F9590" s="20"/>
      <c r="AC9590" s="20"/>
      <c r="AG9590" s="29"/>
    </row>
    <row r="9591" spans="2:33">
      <c r="B9591" s="29"/>
      <c r="D9591" s="29"/>
      <c r="E9591" s="20"/>
      <c r="F9591" s="20"/>
      <c r="AC9591" s="20"/>
      <c r="AG9591" s="29"/>
    </row>
    <row r="9592" spans="2:33">
      <c r="B9592" s="29"/>
      <c r="D9592" s="29"/>
      <c r="E9592" s="20"/>
      <c r="F9592" s="20"/>
      <c r="AC9592" s="20"/>
      <c r="AG9592" s="29"/>
    </row>
    <row r="9593" spans="2:33">
      <c r="B9593" s="29"/>
      <c r="D9593" s="29"/>
      <c r="E9593" s="20"/>
      <c r="F9593" s="20"/>
      <c r="AC9593" s="20"/>
      <c r="AG9593" s="29"/>
    </row>
    <row r="9594" spans="2:33">
      <c r="B9594" s="29"/>
      <c r="D9594" s="29"/>
      <c r="E9594" s="20"/>
      <c r="F9594" s="20"/>
      <c r="AC9594" s="20"/>
      <c r="AG9594" s="29"/>
    </row>
    <row r="9595" spans="2:33">
      <c r="B9595" s="29"/>
      <c r="D9595" s="29"/>
      <c r="E9595" s="20"/>
      <c r="F9595" s="20"/>
      <c r="AC9595" s="20"/>
      <c r="AG9595" s="29"/>
    </row>
    <row r="9596" spans="2:33">
      <c r="B9596" s="29"/>
      <c r="D9596" s="29"/>
      <c r="E9596" s="20"/>
      <c r="F9596" s="20"/>
      <c r="AC9596" s="20"/>
      <c r="AG9596" s="29"/>
    </row>
    <row r="9597" spans="2:33">
      <c r="B9597" s="29"/>
      <c r="D9597" s="29"/>
      <c r="E9597" s="20"/>
      <c r="F9597" s="20"/>
      <c r="AC9597" s="20"/>
      <c r="AG9597" s="29"/>
    </row>
    <row r="9598" spans="2:33">
      <c r="B9598" s="29"/>
      <c r="D9598" s="29"/>
      <c r="E9598" s="20"/>
      <c r="F9598" s="20"/>
      <c r="AC9598" s="20"/>
      <c r="AG9598" s="29"/>
    </row>
    <row r="9599" spans="2:33">
      <c r="B9599" s="29"/>
      <c r="D9599" s="29"/>
      <c r="E9599" s="20"/>
      <c r="F9599" s="20"/>
      <c r="AC9599" s="20"/>
      <c r="AG9599" s="29"/>
    </row>
    <row r="9600" spans="2:33">
      <c r="B9600" s="29"/>
      <c r="D9600" s="29"/>
      <c r="E9600" s="20"/>
      <c r="F9600" s="20"/>
      <c r="AC9600" s="20"/>
      <c r="AG9600" s="29"/>
    </row>
    <row r="9601" spans="2:33">
      <c r="B9601" s="29"/>
      <c r="D9601" s="29"/>
      <c r="E9601" s="20"/>
      <c r="F9601" s="20"/>
      <c r="AC9601" s="20"/>
      <c r="AG9601" s="29"/>
    </row>
    <row r="9602" spans="2:33">
      <c r="B9602" s="29"/>
      <c r="D9602" s="29"/>
      <c r="E9602" s="20"/>
      <c r="F9602" s="20"/>
      <c r="AC9602" s="20"/>
      <c r="AG9602" s="29"/>
    </row>
    <row r="9603" spans="2:33">
      <c r="B9603" s="29"/>
      <c r="D9603" s="29"/>
      <c r="E9603" s="20"/>
      <c r="F9603" s="20"/>
      <c r="AC9603" s="20"/>
      <c r="AG9603" s="29"/>
    </row>
    <row r="9604" spans="2:33">
      <c r="B9604" s="29"/>
      <c r="D9604" s="29"/>
      <c r="E9604" s="20"/>
      <c r="F9604" s="20"/>
      <c r="AC9604" s="20"/>
      <c r="AG9604" s="29"/>
    </row>
    <row r="9605" spans="2:33">
      <c r="B9605" s="29"/>
      <c r="D9605" s="29"/>
      <c r="E9605" s="20"/>
      <c r="F9605" s="20"/>
      <c r="AC9605" s="20"/>
      <c r="AG9605" s="29"/>
    </row>
    <row r="9606" spans="2:33">
      <c r="B9606" s="29"/>
      <c r="D9606" s="29"/>
      <c r="E9606" s="20"/>
      <c r="F9606" s="20"/>
      <c r="AC9606" s="20"/>
      <c r="AG9606" s="29"/>
    </row>
    <row r="9607" spans="2:33">
      <c r="B9607" s="29"/>
      <c r="D9607" s="29"/>
      <c r="E9607" s="20"/>
      <c r="F9607" s="20"/>
      <c r="AC9607" s="20"/>
      <c r="AG9607" s="29"/>
    </row>
    <row r="9608" spans="2:33">
      <c r="B9608" s="29"/>
      <c r="D9608" s="29"/>
      <c r="E9608" s="20"/>
      <c r="F9608" s="20"/>
      <c r="AC9608" s="20"/>
      <c r="AG9608" s="29"/>
    </row>
    <row r="9609" spans="2:33">
      <c r="B9609" s="29"/>
      <c r="D9609" s="29"/>
      <c r="E9609" s="20"/>
      <c r="F9609" s="20"/>
      <c r="AC9609" s="20"/>
      <c r="AG9609" s="29"/>
    </row>
    <row r="9610" spans="2:33">
      <c r="B9610" s="29"/>
      <c r="D9610" s="29"/>
      <c r="E9610" s="20"/>
      <c r="F9610" s="20"/>
      <c r="AC9610" s="20"/>
      <c r="AG9610" s="29"/>
    </row>
    <row r="9611" spans="2:33">
      <c r="B9611" s="29"/>
      <c r="D9611" s="29"/>
      <c r="E9611" s="20"/>
      <c r="F9611" s="20"/>
      <c r="AC9611" s="20"/>
      <c r="AG9611" s="29"/>
    </row>
    <row r="9612" spans="2:33">
      <c r="B9612" s="29"/>
      <c r="D9612" s="29"/>
      <c r="E9612" s="20"/>
      <c r="F9612" s="20"/>
      <c r="AC9612" s="20"/>
      <c r="AG9612" s="29"/>
    </row>
    <row r="9613" spans="2:33">
      <c r="B9613" s="29"/>
      <c r="D9613" s="29"/>
      <c r="E9613" s="20"/>
      <c r="F9613" s="20"/>
      <c r="AC9613" s="20"/>
      <c r="AG9613" s="29"/>
    </row>
    <row r="9614" spans="2:33">
      <c r="B9614" s="29"/>
      <c r="D9614" s="29"/>
      <c r="E9614" s="20"/>
      <c r="F9614" s="20"/>
      <c r="AC9614" s="20"/>
      <c r="AG9614" s="29"/>
    </row>
    <row r="9615" spans="2:33">
      <c r="B9615" s="29"/>
      <c r="D9615" s="29"/>
      <c r="E9615" s="20"/>
      <c r="F9615" s="20"/>
      <c r="AC9615" s="20"/>
      <c r="AG9615" s="29"/>
    </row>
    <row r="9616" spans="2:33">
      <c r="B9616" s="29"/>
      <c r="D9616" s="29"/>
      <c r="E9616" s="20"/>
      <c r="F9616" s="20"/>
      <c r="AC9616" s="20"/>
      <c r="AG9616" s="29"/>
    </row>
    <row r="9617" spans="2:33">
      <c r="B9617" s="29"/>
      <c r="D9617" s="29"/>
      <c r="E9617" s="20"/>
      <c r="F9617" s="20"/>
      <c r="AC9617" s="20"/>
      <c r="AG9617" s="29"/>
    </row>
    <row r="9618" spans="2:33">
      <c r="B9618" s="29"/>
      <c r="D9618" s="29"/>
      <c r="E9618" s="20"/>
      <c r="F9618" s="20"/>
      <c r="AC9618" s="20"/>
      <c r="AG9618" s="29"/>
    </row>
    <row r="9619" spans="2:33">
      <c r="B9619" s="29"/>
      <c r="D9619" s="29"/>
      <c r="E9619" s="20"/>
      <c r="F9619" s="20"/>
      <c r="AC9619" s="20"/>
      <c r="AG9619" s="29"/>
    </row>
    <row r="9620" spans="2:33">
      <c r="B9620" s="29"/>
      <c r="D9620" s="29"/>
      <c r="E9620" s="20"/>
      <c r="F9620" s="20"/>
      <c r="AC9620" s="20"/>
      <c r="AG9620" s="29"/>
    </row>
    <row r="9621" spans="2:33">
      <c r="B9621" s="29"/>
      <c r="D9621" s="29"/>
      <c r="E9621" s="20"/>
      <c r="F9621" s="20"/>
      <c r="AC9621" s="20"/>
      <c r="AG9621" s="29"/>
    </row>
    <row r="9622" spans="2:33">
      <c r="B9622" s="29"/>
      <c r="D9622" s="29"/>
      <c r="E9622" s="20"/>
      <c r="F9622" s="20"/>
      <c r="AC9622" s="20"/>
      <c r="AG9622" s="29"/>
    </row>
    <row r="9623" spans="2:33">
      <c r="B9623" s="29"/>
      <c r="D9623" s="29"/>
      <c r="E9623" s="20"/>
      <c r="F9623" s="20"/>
      <c r="AC9623" s="20"/>
      <c r="AG9623" s="29"/>
    </row>
    <row r="9624" spans="2:33">
      <c r="B9624" s="29"/>
      <c r="D9624" s="29"/>
      <c r="E9624" s="20"/>
      <c r="F9624" s="20"/>
      <c r="AC9624" s="20"/>
      <c r="AG9624" s="29"/>
    </row>
    <row r="9625" spans="2:33">
      <c r="B9625" s="29"/>
      <c r="D9625" s="29"/>
      <c r="E9625" s="20"/>
      <c r="F9625" s="20"/>
      <c r="AC9625" s="20"/>
      <c r="AG9625" s="29"/>
    </row>
    <row r="9626" spans="2:33">
      <c r="B9626" s="29"/>
      <c r="D9626" s="29"/>
      <c r="E9626" s="20"/>
      <c r="F9626" s="20"/>
      <c r="AC9626" s="20"/>
      <c r="AG9626" s="29"/>
    </row>
    <row r="9627" spans="2:33">
      <c r="B9627" s="29"/>
      <c r="D9627" s="29"/>
      <c r="E9627" s="20"/>
      <c r="F9627" s="20"/>
      <c r="AC9627" s="20"/>
      <c r="AG9627" s="29"/>
    </row>
    <row r="9628" spans="2:33">
      <c r="B9628" s="29"/>
      <c r="D9628" s="29"/>
      <c r="E9628" s="20"/>
      <c r="F9628" s="20"/>
      <c r="AC9628" s="20"/>
      <c r="AG9628" s="29"/>
    </row>
    <row r="9629" spans="2:33">
      <c r="B9629" s="29"/>
      <c r="D9629" s="29"/>
      <c r="E9629" s="20"/>
      <c r="F9629" s="20"/>
      <c r="AC9629" s="20"/>
      <c r="AG9629" s="29"/>
    </row>
    <row r="9630" spans="2:33">
      <c r="B9630" s="29"/>
      <c r="D9630" s="29"/>
      <c r="E9630" s="20"/>
      <c r="F9630" s="20"/>
      <c r="AC9630" s="20"/>
      <c r="AG9630" s="29"/>
    </row>
    <row r="9631" spans="2:33">
      <c r="B9631" s="29"/>
      <c r="D9631" s="29"/>
      <c r="E9631" s="20"/>
      <c r="F9631" s="20"/>
      <c r="AC9631" s="20"/>
      <c r="AG9631" s="29"/>
    </row>
    <row r="9632" spans="2:33">
      <c r="B9632" s="29"/>
      <c r="D9632" s="29"/>
      <c r="E9632" s="20"/>
      <c r="F9632" s="20"/>
      <c r="AC9632" s="20"/>
      <c r="AG9632" s="29"/>
    </row>
    <row r="9633" spans="2:33">
      <c r="B9633" s="29"/>
      <c r="D9633" s="29"/>
      <c r="E9633" s="20"/>
      <c r="F9633" s="20"/>
      <c r="AC9633" s="20"/>
      <c r="AG9633" s="29"/>
    </row>
    <row r="9634" spans="2:33">
      <c r="B9634" s="29"/>
      <c r="D9634" s="29"/>
      <c r="E9634" s="20"/>
      <c r="F9634" s="20"/>
      <c r="AC9634" s="20"/>
      <c r="AG9634" s="29"/>
    </row>
    <row r="9635" spans="2:33">
      <c r="B9635" s="29"/>
      <c r="D9635" s="29"/>
      <c r="E9635" s="20"/>
      <c r="F9635" s="20"/>
      <c r="AC9635" s="20"/>
      <c r="AG9635" s="29"/>
    </row>
    <row r="9636" spans="2:33">
      <c r="B9636" s="29"/>
      <c r="D9636" s="29"/>
      <c r="E9636" s="20"/>
      <c r="F9636" s="20"/>
      <c r="AC9636" s="20"/>
      <c r="AG9636" s="29"/>
    </row>
    <row r="9637" spans="2:33">
      <c r="B9637" s="29"/>
      <c r="D9637" s="29"/>
      <c r="E9637" s="20"/>
      <c r="F9637" s="20"/>
      <c r="AC9637" s="20"/>
      <c r="AG9637" s="29"/>
    </row>
    <row r="9638" spans="2:33">
      <c r="B9638" s="29"/>
      <c r="D9638" s="29"/>
      <c r="E9638" s="20"/>
      <c r="F9638" s="20"/>
      <c r="AC9638" s="20"/>
      <c r="AG9638" s="29"/>
    </row>
    <row r="9639" spans="2:33">
      <c r="B9639" s="29"/>
      <c r="D9639" s="29"/>
      <c r="E9639" s="20"/>
      <c r="F9639" s="20"/>
      <c r="AC9639" s="20"/>
      <c r="AG9639" s="29"/>
    </row>
    <row r="9640" spans="2:33">
      <c r="B9640" s="29"/>
      <c r="D9640" s="29"/>
      <c r="E9640" s="20"/>
      <c r="F9640" s="20"/>
      <c r="AC9640" s="20"/>
      <c r="AG9640" s="29"/>
    </row>
    <row r="9641" spans="2:33">
      <c r="B9641" s="29"/>
      <c r="D9641" s="29"/>
      <c r="E9641" s="20"/>
      <c r="F9641" s="20"/>
      <c r="AC9641" s="20"/>
      <c r="AG9641" s="29"/>
    </row>
    <row r="9642" spans="2:33">
      <c r="B9642" s="29"/>
      <c r="D9642" s="29"/>
      <c r="E9642" s="20"/>
      <c r="F9642" s="20"/>
      <c r="AC9642" s="20"/>
      <c r="AG9642" s="29"/>
    </row>
    <row r="9643" spans="2:33">
      <c r="B9643" s="29"/>
      <c r="D9643" s="29"/>
      <c r="E9643" s="20"/>
      <c r="F9643" s="20"/>
      <c r="AC9643" s="20"/>
      <c r="AG9643" s="29"/>
    </row>
    <row r="9644" spans="2:33">
      <c r="B9644" s="29"/>
      <c r="D9644" s="29"/>
      <c r="E9644" s="20"/>
      <c r="F9644" s="20"/>
      <c r="AC9644" s="20"/>
      <c r="AG9644" s="29"/>
    </row>
    <row r="9645" spans="2:33">
      <c r="B9645" s="29"/>
      <c r="D9645" s="29"/>
      <c r="E9645" s="20"/>
      <c r="F9645" s="20"/>
      <c r="AC9645" s="20"/>
      <c r="AG9645" s="29"/>
    </row>
    <row r="9646" spans="2:33">
      <c r="B9646" s="29"/>
      <c r="D9646" s="29"/>
      <c r="E9646" s="20"/>
      <c r="F9646" s="20"/>
      <c r="AC9646" s="20"/>
      <c r="AG9646" s="29"/>
    </row>
    <row r="9647" spans="2:33">
      <c r="B9647" s="29"/>
      <c r="D9647" s="29"/>
      <c r="E9647" s="20"/>
      <c r="F9647" s="20"/>
      <c r="AC9647" s="20"/>
      <c r="AG9647" s="29"/>
    </row>
    <row r="9648" spans="2:33">
      <c r="B9648" s="29"/>
      <c r="D9648" s="29"/>
      <c r="E9648" s="20"/>
      <c r="F9648" s="20"/>
      <c r="AC9648" s="20"/>
      <c r="AG9648" s="29"/>
    </row>
    <row r="9649" spans="2:33">
      <c r="B9649" s="29"/>
      <c r="D9649" s="29"/>
      <c r="E9649" s="20"/>
      <c r="F9649" s="20"/>
      <c r="AC9649" s="20"/>
      <c r="AG9649" s="29"/>
    </row>
    <row r="9650" spans="2:33">
      <c r="B9650" s="29"/>
      <c r="D9650" s="29"/>
      <c r="E9650" s="20"/>
      <c r="F9650" s="20"/>
      <c r="AC9650" s="20"/>
      <c r="AG9650" s="29"/>
    </row>
    <row r="9651" spans="2:33">
      <c r="B9651" s="29"/>
      <c r="D9651" s="29"/>
      <c r="E9651" s="20"/>
      <c r="F9651" s="20"/>
      <c r="AC9651" s="20"/>
      <c r="AG9651" s="29"/>
    </row>
    <row r="9652" spans="2:33">
      <c r="B9652" s="29"/>
      <c r="D9652" s="29"/>
      <c r="E9652" s="20"/>
      <c r="F9652" s="20"/>
      <c r="AC9652" s="20"/>
      <c r="AG9652" s="29"/>
    </row>
    <row r="9653" spans="2:33">
      <c r="B9653" s="29"/>
      <c r="D9653" s="29"/>
      <c r="E9653" s="20"/>
      <c r="F9653" s="20"/>
      <c r="AC9653" s="20"/>
      <c r="AG9653" s="29"/>
    </row>
    <row r="9654" spans="2:33">
      <c r="B9654" s="29"/>
      <c r="D9654" s="29"/>
      <c r="E9654" s="20"/>
      <c r="F9654" s="20"/>
      <c r="AC9654" s="20"/>
      <c r="AG9654" s="29"/>
    </row>
    <row r="9655" spans="2:33">
      <c r="B9655" s="29"/>
      <c r="D9655" s="29"/>
      <c r="E9655" s="20"/>
      <c r="F9655" s="20"/>
      <c r="AC9655" s="20"/>
      <c r="AG9655" s="29"/>
    </row>
    <row r="9656" spans="2:33">
      <c r="B9656" s="29"/>
      <c r="D9656" s="29"/>
      <c r="E9656" s="20"/>
      <c r="F9656" s="20"/>
      <c r="AC9656" s="20"/>
      <c r="AG9656" s="29"/>
    </row>
    <row r="9657" spans="2:33">
      <c r="B9657" s="29"/>
      <c r="D9657" s="29"/>
      <c r="E9657" s="20"/>
      <c r="F9657" s="20"/>
      <c r="AC9657" s="20"/>
      <c r="AG9657" s="29"/>
    </row>
    <row r="9658" spans="2:33">
      <c r="B9658" s="29"/>
      <c r="D9658" s="29"/>
      <c r="E9658" s="20"/>
      <c r="F9658" s="20"/>
      <c r="AC9658" s="20"/>
      <c r="AG9658" s="29"/>
    </row>
    <row r="9659" spans="2:33">
      <c r="B9659" s="29"/>
      <c r="D9659" s="29"/>
      <c r="E9659" s="20"/>
      <c r="F9659" s="20"/>
      <c r="AC9659" s="20"/>
      <c r="AG9659" s="29"/>
    </row>
    <row r="9660" spans="2:33">
      <c r="B9660" s="29"/>
      <c r="D9660" s="29"/>
      <c r="E9660" s="20"/>
      <c r="F9660" s="20"/>
      <c r="AC9660" s="20"/>
      <c r="AG9660" s="29"/>
    </row>
    <row r="9661" spans="2:33">
      <c r="B9661" s="29"/>
      <c r="D9661" s="29"/>
      <c r="E9661" s="20"/>
      <c r="F9661" s="20"/>
      <c r="AC9661" s="20"/>
      <c r="AG9661" s="29"/>
    </row>
    <row r="9662" spans="2:33">
      <c r="B9662" s="29"/>
      <c r="D9662" s="29"/>
      <c r="E9662" s="20"/>
      <c r="F9662" s="20"/>
      <c r="AC9662" s="20"/>
      <c r="AG9662" s="29"/>
    </row>
    <row r="9663" spans="2:33">
      <c r="B9663" s="29"/>
      <c r="D9663" s="29"/>
      <c r="E9663" s="20"/>
      <c r="F9663" s="20"/>
      <c r="AC9663" s="20"/>
      <c r="AG9663" s="29"/>
    </row>
    <row r="9664" spans="2:33">
      <c r="B9664" s="29"/>
      <c r="D9664" s="29"/>
      <c r="E9664" s="20"/>
      <c r="F9664" s="20"/>
      <c r="AC9664" s="20"/>
      <c r="AG9664" s="29"/>
    </row>
    <row r="9665" spans="2:33">
      <c r="B9665" s="29"/>
      <c r="D9665" s="29"/>
      <c r="E9665" s="20"/>
      <c r="F9665" s="20"/>
      <c r="AC9665" s="20"/>
      <c r="AG9665" s="29"/>
    </row>
    <row r="9666" spans="2:33">
      <c r="B9666" s="29"/>
      <c r="D9666" s="29"/>
      <c r="E9666" s="20"/>
      <c r="F9666" s="20"/>
      <c r="AC9666" s="20"/>
      <c r="AG9666" s="29"/>
    </row>
    <row r="9667" spans="2:33">
      <c r="B9667" s="29"/>
      <c r="D9667" s="29"/>
      <c r="E9667" s="20"/>
      <c r="F9667" s="20"/>
      <c r="AC9667" s="20"/>
      <c r="AG9667" s="29"/>
    </row>
    <row r="9668" spans="2:33">
      <c r="B9668" s="29"/>
      <c r="D9668" s="29"/>
      <c r="E9668" s="20"/>
      <c r="F9668" s="20"/>
      <c r="AC9668" s="20"/>
      <c r="AG9668" s="29"/>
    </row>
    <row r="9669" spans="2:33">
      <c r="B9669" s="29"/>
      <c r="D9669" s="29"/>
      <c r="E9669" s="20"/>
      <c r="F9669" s="20"/>
      <c r="AC9669" s="20"/>
      <c r="AG9669" s="29"/>
    </row>
    <row r="9670" spans="2:33">
      <c r="B9670" s="29"/>
      <c r="D9670" s="29"/>
      <c r="E9670" s="20"/>
      <c r="F9670" s="20"/>
      <c r="AC9670" s="20"/>
      <c r="AG9670" s="29"/>
    </row>
    <row r="9671" spans="2:33">
      <c r="B9671" s="29"/>
      <c r="D9671" s="29"/>
      <c r="E9671" s="20"/>
      <c r="F9671" s="20"/>
      <c r="AC9671" s="20"/>
      <c r="AG9671" s="29"/>
    </row>
    <row r="9672" spans="2:33">
      <c r="B9672" s="29"/>
      <c r="D9672" s="29"/>
      <c r="E9672" s="20"/>
      <c r="F9672" s="20"/>
      <c r="AC9672" s="20"/>
      <c r="AG9672" s="29"/>
    </row>
    <row r="9673" spans="2:33">
      <c r="B9673" s="29"/>
      <c r="D9673" s="29"/>
      <c r="E9673" s="20"/>
      <c r="F9673" s="20"/>
      <c r="AC9673" s="20"/>
      <c r="AG9673" s="29"/>
    </row>
    <row r="9674" spans="2:33">
      <c r="B9674" s="29"/>
      <c r="D9674" s="29"/>
      <c r="E9674" s="20"/>
      <c r="F9674" s="20"/>
      <c r="AC9674" s="20"/>
      <c r="AG9674" s="29"/>
    </row>
    <row r="9675" spans="2:33">
      <c r="B9675" s="29"/>
      <c r="D9675" s="29"/>
      <c r="E9675" s="20"/>
      <c r="F9675" s="20"/>
      <c r="AC9675" s="20"/>
      <c r="AG9675" s="29"/>
    </row>
    <row r="9676" spans="2:33">
      <c r="B9676" s="29"/>
      <c r="D9676" s="29"/>
      <c r="E9676" s="20"/>
      <c r="F9676" s="20"/>
      <c r="AC9676" s="20"/>
      <c r="AG9676" s="29"/>
    </row>
    <row r="9677" spans="2:33">
      <c r="B9677" s="29"/>
      <c r="D9677" s="29"/>
      <c r="E9677" s="20"/>
      <c r="F9677" s="20"/>
      <c r="AC9677" s="20"/>
      <c r="AG9677" s="29"/>
    </row>
    <row r="9678" spans="2:33">
      <c r="B9678" s="29"/>
      <c r="D9678" s="29"/>
      <c r="E9678" s="20"/>
      <c r="F9678" s="20"/>
      <c r="AC9678" s="20"/>
      <c r="AG9678" s="29"/>
    </row>
    <row r="9679" spans="2:33">
      <c r="B9679" s="29"/>
      <c r="D9679" s="29"/>
      <c r="E9679" s="20"/>
      <c r="F9679" s="20"/>
      <c r="AC9679" s="20"/>
      <c r="AG9679" s="29"/>
    </row>
    <row r="9680" spans="2:33">
      <c r="B9680" s="29"/>
      <c r="D9680" s="29"/>
      <c r="E9680" s="20"/>
      <c r="F9680" s="20"/>
      <c r="AC9680" s="20"/>
      <c r="AG9680" s="29"/>
    </row>
    <row r="9681" spans="2:33">
      <c r="B9681" s="29"/>
      <c r="D9681" s="29"/>
      <c r="E9681" s="20"/>
      <c r="F9681" s="20"/>
      <c r="AC9681" s="20"/>
      <c r="AG9681" s="29"/>
    </row>
    <row r="9682" spans="2:33">
      <c r="B9682" s="29"/>
      <c r="D9682" s="29"/>
      <c r="E9682" s="20"/>
      <c r="F9682" s="20"/>
      <c r="AC9682" s="20"/>
      <c r="AG9682" s="29"/>
    </row>
    <row r="9683" spans="2:33">
      <c r="B9683" s="29"/>
      <c r="D9683" s="29"/>
      <c r="E9683" s="20"/>
      <c r="F9683" s="20"/>
      <c r="AC9683" s="20"/>
      <c r="AG9683" s="29"/>
    </row>
    <row r="9684" spans="2:33">
      <c r="B9684" s="29"/>
      <c r="D9684" s="29"/>
      <c r="E9684" s="20"/>
      <c r="F9684" s="20"/>
      <c r="AC9684" s="20"/>
      <c r="AG9684" s="29"/>
    </row>
    <row r="9685" spans="2:33">
      <c r="B9685" s="29"/>
      <c r="D9685" s="29"/>
      <c r="E9685" s="20"/>
      <c r="F9685" s="20"/>
      <c r="AC9685" s="20"/>
      <c r="AG9685" s="29"/>
    </row>
    <row r="9686" spans="2:33">
      <c r="B9686" s="29"/>
      <c r="D9686" s="29"/>
      <c r="E9686" s="20"/>
      <c r="F9686" s="20"/>
      <c r="AC9686" s="20"/>
      <c r="AG9686" s="29"/>
    </row>
    <row r="9687" spans="2:33">
      <c r="B9687" s="29"/>
      <c r="D9687" s="29"/>
      <c r="E9687" s="20"/>
      <c r="F9687" s="20"/>
      <c r="AC9687" s="20"/>
      <c r="AG9687" s="29"/>
    </row>
    <row r="9688" spans="2:33">
      <c r="B9688" s="29"/>
      <c r="D9688" s="29"/>
      <c r="E9688" s="20"/>
      <c r="F9688" s="20"/>
      <c r="AC9688" s="20"/>
      <c r="AG9688" s="29"/>
    </row>
    <row r="9689" spans="2:33">
      <c r="B9689" s="29"/>
      <c r="D9689" s="29"/>
      <c r="E9689" s="20"/>
      <c r="F9689" s="20"/>
      <c r="AC9689" s="20"/>
      <c r="AG9689" s="29"/>
    </row>
    <row r="9690" spans="2:33">
      <c r="B9690" s="29"/>
      <c r="D9690" s="29"/>
      <c r="E9690" s="20"/>
      <c r="F9690" s="20"/>
      <c r="AC9690" s="20"/>
      <c r="AG9690" s="29"/>
    </row>
    <row r="9691" spans="2:33">
      <c r="B9691" s="29"/>
      <c r="D9691" s="29"/>
      <c r="E9691" s="20"/>
      <c r="F9691" s="20"/>
      <c r="AC9691" s="20"/>
      <c r="AG9691" s="29"/>
    </row>
    <row r="9692" spans="2:33">
      <c r="B9692" s="29"/>
      <c r="D9692" s="29"/>
      <c r="E9692" s="20"/>
      <c r="F9692" s="20"/>
      <c r="AC9692" s="20"/>
      <c r="AG9692" s="29"/>
    </row>
    <row r="9693" spans="2:33">
      <c r="B9693" s="29"/>
      <c r="D9693" s="29"/>
      <c r="E9693" s="20"/>
      <c r="F9693" s="20"/>
      <c r="AC9693" s="20"/>
      <c r="AG9693" s="29"/>
    </row>
    <row r="9694" spans="2:33">
      <c r="B9694" s="29"/>
      <c r="D9694" s="29"/>
      <c r="E9694" s="20"/>
      <c r="F9694" s="20"/>
      <c r="AC9694" s="20"/>
      <c r="AG9694" s="29"/>
    </row>
    <row r="9695" spans="2:33">
      <c r="B9695" s="29"/>
      <c r="D9695" s="29"/>
      <c r="E9695" s="20"/>
      <c r="F9695" s="20"/>
      <c r="AC9695" s="20"/>
      <c r="AG9695" s="29"/>
    </row>
    <row r="9696" spans="2:33">
      <c r="B9696" s="29"/>
      <c r="D9696" s="29"/>
      <c r="E9696" s="20"/>
      <c r="F9696" s="20"/>
      <c r="AC9696" s="20"/>
      <c r="AG9696" s="29"/>
    </row>
    <row r="9697" spans="2:33">
      <c r="B9697" s="29"/>
      <c r="D9697" s="29"/>
      <c r="E9697" s="20"/>
      <c r="F9697" s="20"/>
      <c r="AC9697" s="20"/>
      <c r="AG9697" s="29"/>
    </row>
    <row r="9698" spans="2:33">
      <c r="B9698" s="29"/>
      <c r="D9698" s="29"/>
      <c r="E9698" s="20"/>
      <c r="F9698" s="20"/>
      <c r="AC9698" s="20"/>
      <c r="AG9698" s="29"/>
    </row>
    <row r="9699" spans="2:33">
      <c r="B9699" s="29"/>
      <c r="D9699" s="29"/>
      <c r="E9699" s="20"/>
      <c r="F9699" s="20"/>
      <c r="AC9699" s="20"/>
      <c r="AG9699" s="29"/>
    </row>
    <row r="9700" spans="2:33">
      <c r="B9700" s="29"/>
      <c r="D9700" s="29"/>
      <c r="E9700" s="20"/>
      <c r="F9700" s="20"/>
      <c r="AC9700" s="20"/>
      <c r="AG9700" s="29"/>
    </row>
    <row r="9701" spans="2:33">
      <c r="B9701" s="29"/>
      <c r="D9701" s="29"/>
      <c r="E9701" s="20"/>
      <c r="F9701" s="20"/>
      <c r="AC9701" s="20"/>
      <c r="AG9701" s="29"/>
    </row>
    <row r="9702" spans="2:33">
      <c r="B9702" s="29"/>
      <c r="D9702" s="29"/>
      <c r="E9702" s="20"/>
      <c r="F9702" s="20"/>
      <c r="AC9702" s="20"/>
      <c r="AG9702" s="29"/>
    </row>
    <row r="9703" spans="2:33">
      <c r="B9703" s="29"/>
      <c r="D9703" s="29"/>
      <c r="E9703" s="20"/>
      <c r="F9703" s="20"/>
      <c r="AC9703" s="20"/>
      <c r="AG9703" s="29"/>
    </row>
    <row r="9704" spans="2:33">
      <c r="B9704" s="29"/>
      <c r="D9704" s="29"/>
      <c r="E9704" s="20"/>
      <c r="F9704" s="20"/>
      <c r="AC9704" s="20"/>
      <c r="AG9704" s="29"/>
    </row>
    <row r="9705" spans="2:33">
      <c r="B9705" s="29"/>
      <c r="D9705" s="29"/>
      <c r="E9705" s="20"/>
      <c r="F9705" s="20"/>
      <c r="AC9705" s="20"/>
      <c r="AG9705" s="29"/>
    </row>
    <row r="9706" spans="2:33">
      <c r="B9706" s="29"/>
      <c r="D9706" s="29"/>
      <c r="E9706" s="20"/>
      <c r="F9706" s="20"/>
      <c r="AC9706" s="20"/>
      <c r="AG9706" s="29"/>
    </row>
    <row r="9707" spans="2:33">
      <c r="B9707" s="29"/>
      <c r="D9707" s="29"/>
      <c r="E9707" s="20"/>
      <c r="F9707" s="20"/>
      <c r="AC9707" s="20"/>
      <c r="AG9707" s="29"/>
    </row>
    <row r="9708" spans="2:33">
      <c r="B9708" s="29"/>
      <c r="D9708" s="29"/>
      <c r="E9708" s="20"/>
      <c r="F9708" s="20"/>
      <c r="AC9708" s="20"/>
      <c r="AG9708" s="29"/>
    </row>
    <row r="9709" spans="2:33">
      <c r="B9709" s="29"/>
      <c r="D9709" s="29"/>
      <c r="E9709" s="20"/>
      <c r="F9709" s="20"/>
      <c r="AC9709" s="20"/>
      <c r="AG9709" s="29"/>
    </row>
    <row r="9710" spans="2:33">
      <c r="B9710" s="29"/>
      <c r="D9710" s="29"/>
      <c r="E9710" s="20"/>
      <c r="F9710" s="20"/>
      <c r="AC9710" s="20"/>
      <c r="AG9710" s="29"/>
    </row>
    <row r="9711" spans="2:33">
      <c r="B9711" s="29"/>
      <c r="D9711" s="29"/>
      <c r="E9711" s="20"/>
      <c r="F9711" s="20"/>
      <c r="AC9711" s="20"/>
      <c r="AG9711" s="29"/>
    </row>
    <row r="9712" spans="2:33">
      <c r="B9712" s="29"/>
      <c r="D9712" s="29"/>
      <c r="E9712" s="20"/>
      <c r="F9712" s="20"/>
      <c r="AC9712" s="20"/>
      <c r="AG9712" s="29"/>
    </row>
    <row r="9713" spans="2:33">
      <c r="B9713" s="29"/>
      <c r="D9713" s="29"/>
      <c r="E9713" s="20"/>
      <c r="F9713" s="20"/>
      <c r="AC9713" s="20"/>
      <c r="AG9713" s="29"/>
    </row>
    <row r="9714" spans="2:33">
      <c r="B9714" s="29"/>
      <c r="D9714" s="29"/>
      <c r="E9714" s="20"/>
      <c r="F9714" s="20"/>
      <c r="AC9714" s="20"/>
      <c r="AG9714" s="29"/>
    </row>
    <row r="9715" spans="2:33">
      <c r="B9715" s="29"/>
      <c r="D9715" s="29"/>
      <c r="E9715" s="20"/>
      <c r="F9715" s="20"/>
      <c r="AC9715" s="20"/>
      <c r="AG9715" s="29"/>
    </row>
    <row r="9716" spans="2:33">
      <c r="B9716" s="29"/>
      <c r="D9716" s="29"/>
      <c r="E9716" s="20"/>
      <c r="F9716" s="20"/>
      <c r="AC9716" s="20"/>
      <c r="AG9716" s="29"/>
    </row>
    <row r="9717" spans="2:33">
      <c r="B9717" s="29"/>
      <c r="D9717" s="29"/>
      <c r="E9717" s="20"/>
      <c r="F9717" s="20"/>
      <c r="AC9717" s="20"/>
      <c r="AG9717" s="29"/>
    </row>
    <row r="9718" spans="2:33">
      <c r="B9718" s="29"/>
      <c r="D9718" s="29"/>
      <c r="E9718" s="20"/>
      <c r="F9718" s="20"/>
      <c r="AC9718" s="20"/>
      <c r="AG9718" s="29"/>
    </row>
    <row r="9719" spans="2:33">
      <c r="B9719" s="29"/>
      <c r="D9719" s="29"/>
      <c r="E9719" s="20"/>
      <c r="F9719" s="20"/>
      <c r="AC9719" s="20"/>
      <c r="AG9719" s="29"/>
    </row>
    <row r="9720" spans="2:33">
      <c r="B9720" s="29"/>
      <c r="D9720" s="29"/>
      <c r="E9720" s="20"/>
      <c r="F9720" s="20"/>
      <c r="AC9720" s="20"/>
      <c r="AG9720" s="29"/>
    </row>
    <row r="9721" spans="2:33">
      <c r="B9721" s="29"/>
      <c r="D9721" s="29"/>
      <c r="E9721" s="20"/>
      <c r="F9721" s="20"/>
      <c r="AC9721" s="20"/>
      <c r="AG9721" s="29"/>
    </row>
    <row r="9722" spans="2:33">
      <c r="B9722" s="29"/>
      <c r="D9722" s="29"/>
      <c r="E9722" s="20"/>
      <c r="F9722" s="20"/>
      <c r="AC9722" s="20"/>
      <c r="AG9722" s="29"/>
    </row>
    <row r="9723" spans="2:33">
      <c r="B9723" s="29"/>
      <c r="D9723" s="29"/>
      <c r="E9723" s="20"/>
      <c r="F9723" s="20"/>
      <c r="AC9723" s="20"/>
      <c r="AG9723" s="29"/>
    </row>
    <row r="9724" spans="2:33">
      <c r="B9724" s="29"/>
      <c r="D9724" s="29"/>
      <c r="E9724" s="20"/>
      <c r="F9724" s="20"/>
      <c r="AC9724" s="20"/>
      <c r="AG9724" s="29"/>
    </row>
    <row r="9725" spans="2:33">
      <c r="B9725" s="29"/>
      <c r="D9725" s="29"/>
      <c r="E9725" s="20"/>
      <c r="F9725" s="20"/>
      <c r="AC9725" s="20"/>
      <c r="AG9725" s="29"/>
    </row>
    <row r="9726" spans="2:33">
      <c r="B9726" s="29"/>
      <c r="D9726" s="29"/>
      <c r="E9726" s="20"/>
      <c r="F9726" s="20"/>
      <c r="AC9726" s="20"/>
      <c r="AG9726" s="29"/>
    </row>
    <row r="9727" spans="2:33">
      <c r="B9727" s="29"/>
      <c r="D9727" s="29"/>
      <c r="E9727" s="20"/>
      <c r="F9727" s="20"/>
      <c r="AC9727" s="20"/>
      <c r="AG9727" s="29"/>
    </row>
    <row r="9728" spans="2:33">
      <c r="B9728" s="29"/>
      <c r="D9728" s="29"/>
      <c r="E9728" s="20"/>
      <c r="F9728" s="20"/>
      <c r="AC9728" s="20"/>
      <c r="AG9728" s="29"/>
    </row>
    <row r="9729" spans="2:33">
      <c r="B9729" s="29"/>
      <c r="D9729" s="29"/>
      <c r="E9729" s="20"/>
      <c r="F9729" s="20"/>
      <c r="AC9729" s="20"/>
      <c r="AG9729" s="29"/>
    </row>
    <row r="9730" spans="2:33">
      <c r="B9730" s="29"/>
      <c r="D9730" s="29"/>
      <c r="E9730" s="20"/>
      <c r="F9730" s="20"/>
      <c r="AC9730" s="20"/>
      <c r="AG9730" s="29"/>
    </row>
    <row r="9731" spans="2:33">
      <c r="B9731" s="29"/>
      <c r="D9731" s="29"/>
      <c r="E9731" s="20"/>
      <c r="F9731" s="20"/>
      <c r="AC9731" s="20"/>
      <c r="AG9731" s="29"/>
    </row>
    <row r="9732" spans="2:33">
      <c r="B9732" s="29"/>
      <c r="D9732" s="29"/>
      <c r="E9732" s="20"/>
      <c r="F9732" s="20"/>
      <c r="AC9732" s="20"/>
      <c r="AG9732" s="29"/>
    </row>
    <row r="9733" spans="2:33">
      <c r="B9733" s="29"/>
      <c r="D9733" s="29"/>
      <c r="E9733" s="20"/>
      <c r="F9733" s="20"/>
      <c r="AC9733" s="20"/>
      <c r="AG9733" s="29"/>
    </row>
    <row r="9734" spans="2:33">
      <c r="B9734" s="29"/>
      <c r="D9734" s="29"/>
      <c r="E9734" s="20"/>
      <c r="F9734" s="20"/>
      <c r="AC9734" s="20"/>
      <c r="AG9734" s="29"/>
    </row>
    <row r="9735" spans="2:33">
      <c r="B9735" s="29"/>
      <c r="D9735" s="29"/>
      <c r="E9735" s="20"/>
      <c r="F9735" s="20"/>
      <c r="AC9735" s="20"/>
      <c r="AG9735" s="29"/>
    </row>
    <row r="9736" spans="2:33">
      <c r="B9736" s="29"/>
      <c r="D9736" s="29"/>
      <c r="E9736" s="20"/>
      <c r="F9736" s="20"/>
      <c r="AC9736" s="20"/>
      <c r="AG9736" s="29"/>
    </row>
    <row r="9737" spans="2:33">
      <c r="B9737" s="29"/>
      <c r="D9737" s="29"/>
      <c r="E9737" s="20"/>
      <c r="F9737" s="20"/>
      <c r="AC9737" s="20"/>
      <c r="AG9737" s="29"/>
    </row>
    <row r="9738" spans="2:33">
      <c r="B9738" s="29"/>
      <c r="D9738" s="29"/>
      <c r="E9738" s="20"/>
      <c r="F9738" s="20"/>
      <c r="AC9738" s="20"/>
      <c r="AG9738" s="29"/>
    </row>
    <row r="9739" spans="2:33">
      <c r="B9739" s="29"/>
      <c r="D9739" s="29"/>
      <c r="E9739" s="20"/>
      <c r="F9739" s="20"/>
      <c r="AC9739" s="20"/>
      <c r="AG9739" s="29"/>
    </row>
    <row r="9740" spans="2:33">
      <c r="B9740" s="29"/>
      <c r="D9740" s="29"/>
      <c r="E9740" s="20"/>
      <c r="F9740" s="20"/>
      <c r="AC9740" s="20"/>
      <c r="AG9740" s="29"/>
    </row>
    <row r="9741" spans="2:33">
      <c r="B9741" s="29"/>
      <c r="D9741" s="29"/>
      <c r="E9741" s="20"/>
      <c r="F9741" s="20"/>
      <c r="AC9741" s="20"/>
      <c r="AG9741" s="29"/>
    </row>
    <row r="9742" spans="2:33">
      <c r="B9742" s="29"/>
      <c r="D9742" s="29"/>
      <c r="E9742" s="20"/>
      <c r="F9742" s="20"/>
      <c r="AC9742" s="20"/>
      <c r="AG9742" s="29"/>
    </row>
    <row r="9743" spans="2:33">
      <c r="B9743" s="29"/>
      <c r="D9743" s="29"/>
      <c r="E9743" s="20"/>
      <c r="F9743" s="20"/>
      <c r="AC9743" s="20"/>
      <c r="AG9743" s="29"/>
    </row>
    <row r="9744" spans="2:33">
      <c r="B9744" s="29"/>
      <c r="D9744" s="29"/>
      <c r="E9744" s="20"/>
      <c r="F9744" s="20"/>
      <c r="AC9744" s="20"/>
      <c r="AG9744" s="29"/>
    </row>
    <row r="9745" spans="2:33">
      <c r="B9745" s="29"/>
      <c r="D9745" s="29"/>
      <c r="E9745" s="20"/>
      <c r="F9745" s="20"/>
      <c r="AC9745" s="20"/>
      <c r="AG9745" s="29"/>
    </row>
    <row r="9746" spans="2:33">
      <c r="B9746" s="29"/>
      <c r="D9746" s="29"/>
      <c r="E9746" s="20"/>
      <c r="F9746" s="20"/>
      <c r="AC9746" s="20"/>
      <c r="AG9746" s="29"/>
    </row>
    <row r="9747" spans="2:33">
      <c r="B9747" s="29"/>
      <c r="D9747" s="29"/>
      <c r="E9747" s="20"/>
      <c r="F9747" s="20"/>
      <c r="AC9747" s="20"/>
      <c r="AG9747" s="29"/>
    </row>
    <row r="9748" spans="2:33">
      <c r="B9748" s="29"/>
      <c r="D9748" s="29"/>
      <c r="E9748" s="20"/>
      <c r="F9748" s="20"/>
      <c r="AC9748" s="20"/>
      <c r="AG9748" s="29"/>
    </row>
    <row r="9749" spans="2:33">
      <c r="B9749" s="29"/>
      <c r="D9749" s="29"/>
      <c r="E9749" s="20"/>
      <c r="F9749" s="20"/>
      <c r="AC9749" s="20"/>
      <c r="AG9749" s="29"/>
    </row>
    <row r="9750" spans="2:33">
      <c r="B9750" s="29"/>
      <c r="D9750" s="29"/>
      <c r="E9750" s="20"/>
      <c r="F9750" s="20"/>
      <c r="AC9750" s="20"/>
      <c r="AG9750" s="29"/>
    </row>
    <row r="9751" spans="2:33">
      <c r="B9751" s="29"/>
      <c r="D9751" s="29"/>
      <c r="E9751" s="20"/>
      <c r="F9751" s="20"/>
      <c r="AC9751" s="20"/>
      <c r="AG9751" s="29"/>
    </row>
    <row r="9752" spans="2:33">
      <c r="B9752" s="29"/>
      <c r="D9752" s="29"/>
      <c r="E9752" s="20"/>
      <c r="F9752" s="20"/>
      <c r="AC9752" s="20"/>
      <c r="AG9752" s="29"/>
    </row>
    <row r="9753" spans="2:33">
      <c r="B9753" s="29"/>
      <c r="D9753" s="29"/>
      <c r="E9753" s="20"/>
      <c r="F9753" s="20"/>
      <c r="AC9753" s="20"/>
      <c r="AG9753" s="29"/>
    </row>
    <row r="9754" spans="2:33">
      <c r="B9754" s="29"/>
      <c r="D9754" s="29"/>
      <c r="E9754" s="20"/>
      <c r="F9754" s="20"/>
      <c r="AC9754" s="20"/>
      <c r="AG9754" s="29"/>
    </row>
    <row r="9755" spans="2:33">
      <c r="B9755" s="29"/>
      <c r="D9755" s="29"/>
      <c r="E9755" s="20"/>
      <c r="F9755" s="20"/>
      <c r="AC9755" s="20"/>
      <c r="AG9755" s="29"/>
    </row>
    <row r="9756" spans="2:33">
      <c r="B9756" s="29"/>
      <c r="D9756" s="29"/>
      <c r="E9756" s="20"/>
      <c r="F9756" s="20"/>
      <c r="AC9756" s="20"/>
      <c r="AG9756" s="29"/>
    </row>
    <row r="9757" spans="2:33">
      <c r="B9757" s="29"/>
      <c r="D9757" s="29"/>
      <c r="E9757" s="20"/>
      <c r="F9757" s="20"/>
      <c r="AC9757" s="20"/>
      <c r="AG9757" s="29"/>
    </row>
    <row r="9758" spans="2:33">
      <c r="B9758" s="29"/>
      <c r="D9758" s="29"/>
      <c r="E9758" s="20"/>
      <c r="F9758" s="20"/>
      <c r="AC9758" s="20"/>
      <c r="AG9758" s="29"/>
    </row>
    <row r="9759" spans="2:33">
      <c r="B9759" s="29"/>
      <c r="D9759" s="29"/>
      <c r="E9759" s="20"/>
      <c r="F9759" s="20"/>
      <c r="AC9759" s="20"/>
      <c r="AG9759" s="29"/>
    </row>
    <row r="9760" spans="2:33">
      <c r="B9760" s="29"/>
      <c r="D9760" s="29"/>
      <c r="E9760" s="20"/>
      <c r="F9760" s="20"/>
      <c r="AC9760" s="20"/>
      <c r="AG9760" s="29"/>
    </row>
    <row r="9761" spans="2:33">
      <c r="B9761" s="29"/>
      <c r="D9761" s="29"/>
      <c r="E9761" s="20"/>
      <c r="F9761" s="20"/>
      <c r="AC9761" s="20"/>
      <c r="AG9761" s="29"/>
    </row>
    <row r="9762" spans="2:33">
      <c r="B9762" s="29"/>
      <c r="D9762" s="29"/>
      <c r="E9762" s="20"/>
      <c r="F9762" s="20"/>
      <c r="AC9762" s="20"/>
      <c r="AG9762" s="29"/>
    </row>
    <row r="9763" spans="2:33">
      <c r="B9763" s="29"/>
      <c r="D9763" s="29"/>
      <c r="E9763" s="20"/>
      <c r="F9763" s="20"/>
      <c r="AC9763" s="20"/>
      <c r="AG9763" s="29"/>
    </row>
    <row r="9764" spans="2:33">
      <c r="B9764" s="29"/>
      <c r="D9764" s="29"/>
      <c r="E9764" s="20"/>
      <c r="F9764" s="20"/>
      <c r="AC9764" s="20"/>
      <c r="AG9764" s="29"/>
    </row>
    <row r="9765" spans="2:33">
      <c r="B9765" s="29"/>
      <c r="D9765" s="29"/>
      <c r="E9765" s="20"/>
      <c r="F9765" s="20"/>
      <c r="AC9765" s="20"/>
      <c r="AG9765" s="29"/>
    </row>
    <row r="9766" spans="2:33">
      <c r="B9766" s="29"/>
      <c r="D9766" s="29"/>
      <c r="E9766" s="20"/>
      <c r="F9766" s="20"/>
      <c r="AC9766" s="20"/>
      <c r="AG9766" s="29"/>
    </row>
    <row r="9767" spans="2:33">
      <c r="B9767" s="29"/>
      <c r="D9767" s="29"/>
      <c r="E9767" s="20"/>
      <c r="F9767" s="20"/>
      <c r="AC9767" s="20"/>
      <c r="AG9767" s="29"/>
    </row>
    <row r="9768" spans="2:33">
      <c r="B9768" s="29"/>
      <c r="D9768" s="29"/>
      <c r="E9768" s="20"/>
      <c r="F9768" s="20"/>
      <c r="AC9768" s="20"/>
      <c r="AG9768" s="29"/>
    </row>
    <row r="9769" spans="2:33">
      <c r="B9769" s="29"/>
      <c r="D9769" s="29"/>
      <c r="E9769" s="20"/>
      <c r="F9769" s="20"/>
      <c r="AC9769" s="20"/>
      <c r="AG9769" s="29"/>
    </row>
    <row r="9770" spans="2:33">
      <c r="B9770" s="29"/>
      <c r="D9770" s="29"/>
      <c r="E9770" s="20"/>
      <c r="F9770" s="20"/>
      <c r="AC9770" s="20"/>
      <c r="AG9770" s="29"/>
    </row>
    <row r="9771" spans="2:33">
      <c r="B9771" s="29"/>
      <c r="D9771" s="29"/>
      <c r="E9771" s="20"/>
      <c r="F9771" s="20"/>
      <c r="AC9771" s="20"/>
      <c r="AG9771" s="29"/>
    </row>
    <row r="9772" spans="2:33">
      <c r="B9772" s="29"/>
      <c r="D9772" s="29"/>
      <c r="E9772" s="20"/>
      <c r="F9772" s="20"/>
      <c r="AC9772" s="20"/>
      <c r="AG9772" s="29"/>
    </row>
    <row r="9773" spans="2:33">
      <c r="B9773" s="29"/>
      <c r="D9773" s="29"/>
      <c r="E9773" s="20"/>
      <c r="F9773" s="20"/>
      <c r="AC9773" s="20"/>
      <c r="AG9773" s="29"/>
    </row>
    <row r="9774" spans="2:33">
      <c r="B9774" s="29"/>
      <c r="D9774" s="29"/>
      <c r="E9774" s="20"/>
      <c r="F9774" s="20"/>
      <c r="AC9774" s="20"/>
      <c r="AG9774" s="29"/>
    </row>
    <row r="9775" spans="2:33">
      <c r="B9775" s="29"/>
      <c r="D9775" s="29"/>
      <c r="E9775" s="20"/>
      <c r="F9775" s="20"/>
      <c r="AC9775" s="20"/>
      <c r="AG9775" s="29"/>
    </row>
    <row r="9776" spans="2:33">
      <c r="B9776" s="29"/>
      <c r="D9776" s="29"/>
      <c r="E9776" s="20"/>
      <c r="F9776" s="20"/>
      <c r="AC9776" s="20"/>
      <c r="AG9776" s="29"/>
    </row>
    <row r="9777" spans="2:33">
      <c r="B9777" s="29"/>
      <c r="D9777" s="29"/>
      <c r="E9777" s="20"/>
      <c r="F9777" s="20"/>
      <c r="AC9777" s="20"/>
      <c r="AG9777" s="29"/>
    </row>
    <row r="9778" spans="2:33">
      <c r="B9778" s="29"/>
      <c r="D9778" s="29"/>
      <c r="E9778" s="20"/>
      <c r="F9778" s="20"/>
      <c r="AC9778" s="20"/>
      <c r="AG9778" s="29"/>
    </row>
    <row r="9779" spans="2:33">
      <c r="B9779" s="29"/>
      <c r="D9779" s="29"/>
      <c r="E9779" s="20"/>
      <c r="F9779" s="20"/>
      <c r="AC9779" s="20"/>
      <c r="AG9779" s="29"/>
    </row>
    <row r="9780" spans="2:33">
      <c r="B9780" s="29"/>
      <c r="D9780" s="29"/>
      <c r="E9780" s="20"/>
      <c r="F9780" s="20"/>
      <c r="AC9780" s="20"/>
      <c r="AG9780" s="29"/>
    </row>
    <row r="9781" spans="2:33">
      <c r="B9781" s="29"/>
      <c r="D9781" s="29"/>
      <c r="E9781" s="20"/>
      <c r="F9781" s="20"/>
      <c r="AC9781" s="20"/>
      <c r="AG9781" s="29"/>
    </row>
    <row r="9782" spans="2:33">
      <c r="B9782" s="29"/>
      <c r="D9782" s="29"/>
      <c r="E9782" s="20"/>
      <c r="F9782" s="20"/>
      <c r="AC9782" s="20"/>
      <c r="AG9782" s="29"/>
    </row>
    <row r="9783" spans="2:33">
      <c r="B9783" s="29"/>
      <c r="D9783" s="29"/>
      <c r="E9783" s="20"/>
      <c r="F9783" s="20"/>
      <c r="AC9783" s="20"/>
      <c r="AG9783" s="29"/>
    </row>
    <row r="9784" spans="2:33">
      <c r="B9784" s="29"/>
      <c r="D9784" s="29"/>
      <c r="E9784" s="20"/>
      <c r="F9784" s="20"/>
      <c r="AC9784" s="20"/>
      <c r="AG9784" s="29"/>
    </row>
    <row r="9785" spans="2:33">
      <c r="B9785" s="29"/>
      <c r="D9785" s="29"/>
      <c r="E9785" s="20"/>
      <c r="F9785" s="20"/>
      <c r="AC9785" s="20"/>
      <c r="AG9785" s="29"/>
    </row>
    <row r="9786" spans="2:33">
      <c r="B9786" s="29"/>
      <c r="D9786" s="29"/>
      <c r="E9786" s="20"/>
      <c r="F9786" s="20"/>
      <c r="AC9786" s="20"/>
      <c r="AG9786" s="29"/>
    </row>
    <row r="9787" spans="2:33">
      <c r="B9787" s="29"/>
      <c r="D9787" s="29"/>
      <c r="E9787" s="20"/>
      <c r="F9787" s="20"/>
      <c r="AC9787" s="20"/>
      <c r="AG9787" s="29"/>
    </row>
    <row r="9788" spans="2:33">
      <c r="B9788" s="29"/>
      <c r="D9788" s="29"/>
      <c r="E9788" s="20"/>
      <c r="F9788" s="20"/>
      <c r="AC9788" s="20"/>
      <c r="AG9788" s="29"/>
    </row>
    <row r="9789" spans="2:33">
      <c r="B9789" s="29"/>
      <c r="D9789" s="29"/>
      <c r="E9789" s="20"/>
      <c r="F9789" s="20"/>
      <c r="AC9789" s="20"/>
      <c r="AG9789" s="29"/>
    </row>
    <row r="9790" spans="2:33">
      <c r="B9790" s="29"/>
      <c r="D9790" s="29"/>
      <c r="E9790" s="20"/>
      <c r="F9790" s="20"/>
      <c r="AC9790" s="20"/>
      <c r="AG9790" s="29"/>
    </row>
    <row r="9791" spans="2:33">
      <c r="B9791" s="29"/>
      <c r="D9791" s="29"/>
      <c r="E9791" s="20"/>
      <c r="F9791" s="20"/>
      <c r="AC9791" s="20"/>
      <c r="AG9791" s="29"/>
    </row>
    <row r="9792" spans="2:33">
      <c r="B9792" s="29"/>
      <c r="D9792" s="29"/>
      <c r="E9792" s="20"/>
      <c r="F9792" s="20"/>
      <c r="AC9792" s="20"/>
      <c r="AG9792" s="29"/>
    </row>
    <row r="9793" spans="2:33">
      <c r="B9793" s="29"/>
      <c r="D9793" s="29"/>
      <c r="E9793" s="20"/>
      <c r="F9793" s="20"/>
      <c r="AC9793" s="20"/>
      <c r="AG9793" s="29"/>
    </row>
    <row r="9794" spans="2:33">
      <c r="B9794" s="29"/>
      <c r="D9794" s="29"/>
      <c r="E9794" s="20"/>
      <c r="F9794" s="20"/>
      <c r="AC9794" s="20"/>
      <c r="AG9794" s="29"/>
    </row>
    <row r="9795" spans="2:33">
      <c r="B9795" s="29"/>
      <c r="D9795" s="29"/>
      <c r="E9795" s="20"/>
      <c r="F9795" s="20"/>
      <c r="AC9795" s="20"/>
      <c r="AG9795" s="29"/>
    </row>
    <row r="9796" spans="2:33">
      <c r="B9796" s="29"/>
      <c r="D9796" s="29"/>
      <c r="E9796" s="20"/>
      <c r="F9796" s="20"/>
      <c r="AC9796" s="20"/>
      <c r="AG9796" s="29"/>
    </row>
    <row r="9797" spans="2:33">
      <c r="B9797" s="29"/>
      <c r="D9797" s="29"/>
      <c r="E9797" s="20"/>
      <c r="F9797" s="20"/>
      <c r="AC9797" s="20"/>
      <c r="AG9797" s="29"/>
    </row>
    <row r="9798" spans="2:33">
      <c r="B9798" s="29"/>
      <c r="D9798" s="29"/>
      <c r="E9798" s="20"/>
      <c r="F9798" s="20"/>
      <c r="AC9798" s="20"/>
      <c r="AG9798" s="29"/>
    </row>
    <row r="9799" spans="2:33">
      <c r="B9799" s="29"/>
      <c r="D9799" s="29"/>
      <c r="E9799" s="20"/>
      <c r="F9799" s="20"/>
      <c r="AC9799" s="20"/>
      <c r="AG9799" s="29"/>
    </row>
    <row r="9800" spans="2:33">
      <c r="B9800" s="29"/>
      <c r="D9800" s="29"/>
      <c r="E9800" s="20"/>
      <c r="F9800" s="20"/>
      <c r="AC9800" s="20"/>
      <c r="AG9800" s="29"/>
    </row>
    <row r="9801" spans="2:33">
      <c r="B9801" s="29"/>
      <c r="D9801" s="29"/>
      <c r="E9801" s="20"/>
      <c r="F9801" s="20"/>
      <c r="AC9801" s="20"/>
      <c r="AG9801" s="29"/>
    </row>
    <row r="9802" spans="2:33">
      <c r="B9802" s="29"/>
      <c r="D9802" s="29"/>
      <c r="E9802" s="20"/>
      <c r="F9802" s="20"/>
      <c r="AC9802" s="20"/>
      <c r="AG9802" s="29"/>
    </row>
    <row r="9803" spans="2:33">
      <c r="B9803" s="29"/>
      <c r="D9803" s="29"/>
      <c r="E9803" s="20"/>
      <c r="F9803" s="20"/>
      <c r="AC9803" s="20"/>
      <c r="AG9803" s="29"/>
    </row>
    <row r="9804" spans="2:33">
      <c r="B9804" s="29"/>
      <c r="D9804" s="29"/>
      <c r="E9804" s="20"/>
      <c r="F9804" s="20"/>
      <c r="AC9804" s="20"/>
      <c r="AG9804" s="29"/>
    </row>
    <row r="9805" spans="2:33">
      <c r="B9805" s="29"/>
      <c r="D9805" s="29"/>
      <c r="E9805" s="20"/>
      <c r="F9805" s="20"/>
      <c r="AC9805" s="20"/>
      <c r="AG9805" s="29"/>
    </row>
    <row r="9806" spans="2:33">
      <c r="B9806" s="29"/>
      <c r="D9806" s="29"/>
      <c r="E9806" s="20"/>
      <c r="F9806" s="20"/>
      <c r="AC9806" s="20"/>
      <c r="AG9806" s="29"/>
    </row>
    <row r="9807" spans="2:33">
      <c r="B9807" s="29"/>
      <c r="D9807" s="29"/>
      <c r="E9807" s="20"/>
      <c r="F9807" s="20"/>
      <c r="AC9807" s="20"/>
      <c r="AG9807" s="29"/>
    </row>
    <row r="9808" spans="2:33">
      <c r="B9808" s="29"/>
      <c r="D9808" s="29"/>
      <c r="E9808" s="20"/>
      <c r="F9808" s="20"/>
      <c r="AC9808" s="20"/>
      <c r="AG9808" s="29"/>
    </row>
    <row r="9809" spans="2:33">
      <c r="B9809" s="29"/>
      <c r="D9809" s="29"/>
      <c r="E9809" s="20"/>
      <c r="F9809" s="20"/>
      <c r="AC9809" s="20"/>
      <c r="AG9809" s="29"/>
    </row>
    <row r="9810" spans="2:33">
      <c r="B9810" s="29"/>
      <c r="D9810" s="29"/>
      <c r="E9810" s="20"/>
      <c r="F9810" s="20"/>
      <c r="AC9810" s="20"/>
      <c r="AG9810" s="29"/>
    </row>
    <row r="9811" spans="2:33">
      <c r="B9811" s="29"/>
      <c r="D9811" s="29"/>
      <c r="E9811" s="20"/>
      <c r="F9811" s="20"/>
      <c r="AC9811" s="20"/>
      <c r="AG9811" s="29"/>
    </row>
    <row r="9812" spans="2:33">
      <c r="B9812" s="29"/>
      <c r="D9812" s="29"/>
      <c r="E9812" s="20"/>
      <c r="F9812" s="20"/>
      <c r="AC9812" s="20"/>
      <c r="AG9812" s="29"/>
    </row>
    <row r="9813" spans="2:33">
      <c r="B9813" s="29"/>
      <c r="D9813" s="29"/>
      <c r="E9813" s="20"/>
      <c r="F9813" s="20"/>
      <c r="AC9813" s="20"/>
      <c r="AG9813" s="29"/>
    </row>
    <row r="9814" spans="2:33">
      <c r="B9814" s="29"/>
      <c r="D9814" s="29"/>
      <c r="E9814" s="20"/>
      <c r="F9814" s="20"/>
      <c r="AC9814" s="20"/>
      <c r="AG9814" s="29"/>
    </row>
    <row r="9815" spans="2:33">
      <c r="B9815" s="29"/>
      <c r="D9815" s="29"/>
      <c r="E9815" s="20"/>
      <c r="F9815" s="20"/>
      <c r="AC9815" s="20"/>
      <c r="AG9815" s="29"/>
    </row>
    <row r="9816" spans="2:33">
      <c r="B9816" s="29"/>
      <c r="D9816" s="29"/>
      <c r="E9816" s="20"/>
      <c r="F9816" s="20"/>
      <c r="AC9816" s="20"/>
      <c r="AG9816" s="29"/>
    </row>
    <row r="9817" spans="2:33">
      <c r="B9817" s="29"/>
      <c r="D9817" s="29"/>
      <c r="E9817" s="20"/>
      <c r="F9817" s="20"/>
      <c r="AC9817" s="20"/>
      <c r="AG9817" s="29"/>
    </row>
    <row r="9818" spans="2:33">
      <c r="B9818" s="29"/>
      <c r="D9818" s="29"/>
      <c r="E9818" s="20"/>
      <c r="F9818" s="20"/>
      <c r="AC9818" s="20"/>
      <c r="AG9818" s="29"/>
    </row>
    <row r="9819" spans="2:33">
      <c r="B9819" s="29"/>
      <c r="D9819" s="29"/>
      <c r="E9819" s="20"/>
      <c r="F9819" s="20"/>
      <c r="AC9819" s="20"/>
      <c r="AG9819" s="29"/>
    </row>
    <row r="9820" spans="2:33">
      <c r="B9820" s="29"/>
      <c r="D9820" s="29"/>
      <c r="E9820" s="20"/>
      <c r="F9820" s="20"/>
      <c r="AC9820" s="20"/>
      <c r="AG9820" s="29"/>
    </row>
    <row r="9821" spans="2:33">
      <c r="B9821" s="29"/>
      <c r="D9821" s="29"/>
      <c r="E9821" s="20"/>
      <c r="F9821" s="20"/>
      <c r="AC9821" s="20"/>
      <c r="AG9821" s="29"/>
    </row>
    <row r="9822" spans="2:33">
      <c r="B9822" s="29"/>
      <c r="D9822" s="29"/>
      <c r="E9822" s="20"/>
      <c r="F9822" s="20"/>
      <c r="AC9822" s="20"/>
      <c r="AG9822" s="29"/>
    </row>
    <row r="9823" spans="2:33">
      <c r="B9823" s="29"/>
      <c r="D9823" s="29"/>
      <c r="E9823" s="20"/>
      <c r="F9823" s="20"/>
      <c r="AC9823" s="20"/>
      <c r="AG9823" s="29"/>
    </row>
    <row r="9824" spans="2:33">
      <c r="B9824" s="29"/>
      <c r="D9824" s="29"/>
      <c r="E9824" s="20"/>
      <c r="F9824" s="20"/>
      <c r="AC9824" s="20"/>
      <c r="AG9824" s="29"/>
    </row>
    <row r="9825" spans="2:33">
      <c r="B9825" s="29"/>
      <c r="D9825" s="29"/>
      <c r="E9825" s="20"/>
      <c r="F9825" s="20"/>
      <c r="AC9825" s="20"/>
      <c r="AG9825" s="29"/>
    </row>
    <row r="9826" spans="2:33">
      <c r="B9826" s="29"/>
      <c r="D9826" s="29"/>
      <c r="E9826" s="20"/>
      <c r="F9826" s="20"/>
      <c r="AC9826" s="20"/>
      <c r="AG9826" s="29"/>
    </row>
    <row r="9827" spans="2:33">
      <c r="B9827" s="29"/>
      <c r="D9827" s="29"/>
      <c r="E9827" s="20"/>
      <c r="F9827" s="20"/>
      <c r="AC9827" s="20"/>
      <c r="AG9827" s="29"/>
    </row>
    <row r="9828" spans="2:33">
      <c r="B9828" s="29"/>
      <c r="D9828" s="29"/>
      <c r="E9828" s="20"/>
      <c r="F9828" s="20"/>
      <c r="AC9828" s="20"/>
      <c r="AG9828" s="29"/>
    </row>
    <row r="9829" spans="2:33">
      <c r="B9829" s="29"/>
      <c r="D9829" s="29"/>
      <c r="E9829" s="20"/>
      <c r="F9829" s="20"/>
      <c r="AC9829" s="20"/>
      <c r="AG9829" s="29"/>
    </row>
    <row r="9830" spans="2:33">
      <c r="B9830" s="29"/>
      <c r="D9830" s="29"/>
      <c r="E9830" s="20"/>
      <c r="F9830" s="20"/>
      <c r="AC9830" s="20"/>
      <c r="AG9830" s="29"/>
    </row>
    <row r="9831" spans="2:33">
      <c r="B9831" s="29"/>
      <c r="D9831" s="29"/>
      <c r="E9831" s="20"/>
      <c r="F9831" s="20"/>
      <c r="AC9831" s="20"/>
      <c r="AG9831" s="29"/>
    </row>
    <row r="9832" spans="2:33">
      <c r="B9832" s="29"/>
      <c r="D9832" s="29"/>
      <c r="E9832" s="20"/>
      <c r="F9832" s="20"/>
      <c r="AC9832" s="20"/>
      <c r="AG9832" s="29"/>
    </row>
    <row r="9833" spans="2:33">
      <c r="B9833" s="29"/>
      <c r="D9833" s="29"/>
      <c r="E9833" s="20"/>
      <c r="F9833" s="20"/>
      <c r="AC9833" s="20"/>
      <c r="AG9833" s="29"/>
    </row>
    <row r="9834" spans="2:33">
      <c r="B9834" s="29"/>
      <c r="D9834" s="29"/>
      <c r="E9834" s="20"/>
      <c r="F9834" s="20"/>
      <c r="AC9834" s="20"/>
      <c r="AG9834" s="29"/>
    </row>
    <row r="9835" spans="2:33">
      <c r="B9835" s="29"/>
      <c r="D9835" s="29"/>
      <c r="E9835" s="20"/>
      <c r="F9835" s="20"/>
      <c r="AC9835" s="20"/>
      <c r="AG9835" s="29"/>
    </row>
    <row r="9836" spans="2:33">
      <c r="B9836" s="29"/>
      <c r="D9836" s="29"/>
      <c r="E9836" s="20"/>
      <c r="F9836" s="20"/>
      <c r="AC9836" s="20"/>
      <c r="AG9836" s="29"/>
    </row>
    <row r="9837" spans="2:33">
      <c r="B9837" s="29"/>
      <c r="D9837" s="29"/>
      <c r="E9837" s="20"/>
      <c r="F9837" s="20"/>
      <c r="AC9837" s="20"/>
      <c r="AG9837" s="29"/>
    </row>
    <row r="9838" spans="2:33">
      <c r="B9838" s="29"/>
      <c r="D9838" s="29"/>
      <c r="E9838" s="20"/>
      <c r="F9838" s="20"/>
      <c r="AC9838" s="20"/>
      <c r="AG9838" s="29"/>
    </row>
    <row r="9839" spans="2:33">
      <c r="B9839" s="29"/>
      <c r="D9839" s="29"/>
      <c r="E9839" s="20"/>
      <c r="F9839" s="20"/>
      <c r="AC9839" s="20"/>
      <c r="AG9839" s="29"/>
    </row>
    <row r="9840" spans="2:33">
      <c r="B9840" s="29"/>
      <c r="D9840" s="29"/>
      <c r="E9840" s="20"/>
      <c r="F9840" s="20"/>
      <c r="AC9840" s="20"/>
      <c r="AG9840" s="29"/>
    </row>
    <row r="9841" spans="2:33">
      <c r="B9841" s="29"/>
      <c r="D9841" s="29"/>
      <c r="E9841" s="20"/>
      <c r="F9841" s="20"/>
      <c r="AC9841" s="20"/>
      <c r="AG9841" s="29"/>
    </row>
    <row r="9842" spans="2:33">
      <c r="B9842" s="29"/>
      <c r="D9842" s="29"/>
      <c r="E9842" s="20"/>
      <c r="F9842" s="20"/>
      <c r="AC9842" s="20"/>
      <c r="AG9842" s="29"/>
    </row>
    <row r="9843" spans="2:33">
      <c r="B9843" s="29"/>
      <c r="D9843" s="29"/>
      <c r="E9843" s="20"/>
      <c r="F9843" s="20"/>
      <c r="AC9843" s="20"/>
      <c r="AG9843" s="29"/>
    </row>
    <row r="9844" spans="2:33">
      <c r="B9844" s="29"/>
      <c r="D9844" s="29"/>
      <c r="E9844" s="20"/>
      <c r="F9844" s="20"/>
      <c r="AC9844" s="20"/>
      <c r="AG9844" s="29"/>
    </row>
    <row r="9845" spans="2:33">
      <c r="B9845" s="29"/>
      <c r="D9845" s="29"/>
      <c r="E9845" s="20"/>
      <c r="F9845" s="20"/>
      <c r="AC9845" s="20"/>
      <c r="AG9845" s="29"/>
    </row>
    <row r="9846" spans="2:33">
      <c r="B9846" s="29"/>
      <c r="D9846" s="29"/>
      <c r="E9846" s="20"/>
      <c r="F9846" s="20"/>
      <c r="AC9846" s="20"/>
      <c r="AG9846" s="29"/>
    </row>
    <row r="9847" spans="2:33">
      <c r="B9847" s="29"/>
      <c r="D9847" s="29"/>
      <c r="E9847" s="20"/>
      <c r="F9847" s="20"/>
      <c r="AC9847" s="20"/>
      <c r="AG9847" s="29"/>
    </row>
    <row r="9848" spans="2:33">
      <c r="B9848" s="29"/>
      <c r="D9848" s="29"/>
      <c r="E9848" s="20"/>
      <c r="F9848" s="20"/>
      <c r="AC9848" s="20"/>
      <c r="AG9848" s="29"/>
    </row>
    <row r="9849" spans="2:33">
      <c r="B9849" s="29"/>
      <c r="D9849" s="29"/>
      <c r="E9849" s="20"/>
      <c r="F9849" s="20"/>
      <c r="AC9849" s="20"/>
      <c r="AG9849" s="29"/>
    </row>
    <row r="9850" spans="2:33">
      <c r="B9850" s="29"/>
      <c r="D9850" s="29"/>
      <c r="E9850" s="20"/>
      <c r="F9850" s="20"/>
      <c r="AC9850" s="20"/>
      <c r="AG9850" s="29"/>
    </row>
    <row r="9851" spans="2:33">
      <c r="B9851" s="29"/>
      <c r="D9851" s="29"/>
      <c r="E9851" s="20"/>
      <c r="F9851" s="20"/>
      <c r="AC9851" s="20"/>
      <c r="AG9851" s="29"/>
    </row>
    <row r="9852" spans="2:33">
      <c r="B9852" s="29"/>
      <c r="D9852" s="29"/>
      <c r="E9852" s="20"/>
      <c r="F9852" s="20"/>
      <c r="AC9852" s="20"/>
      <c r="AG9852" s="29"/>
    </row>
    <row r="9853" spans="2:33">
      <c r="B9853" s="29"/>
      <c r="D9853" s="29"/>
      <c r="E9853" s="20"/>
      <c r="F9853" s="20"/>
      <c r="AC9853" s="20"/>
      <c r="AG9853" s="29"/>
    </row>
    <row r="9854" spans="2:33">
      <c r="B9854" s="29"/>
      <c r="D9854" s="29"/>
      <c r="E9854" s="20"/>
      <c r="F9854" s="20"/>
      <c r="AC9854" s="20"/>
      <c r="AG9854" s="29"/>
    </row>
    <row r="9855" spans="2:33">
      <c r="B9855" s="29"/>
      <c r="D9855" s="29"/>
      <c r="E9855" s="20"/>
      <c r="F9855" s="20"/>
      <c r="AC9855" s="20"/>
      <c r="AG9855" s="29"/>
    </row>
    <row r="9856" spans="2:33">
      <c r="B9856" s="29"/>
      <c r="D9856" s="29"/>
      <c r="E9856" s="20"/>
      <c r="F9856" s="20"/>
      <c r="AC9856" s="20"/>
      <c r="AG9856" s="29"/>
    </row>
    <row r="9857" spans="2:33">
      <c r="B9857" s="29"/>
      <c r="D9857" s="29"/>
      <c r="E9857" s="20"/>
      <c r="F9857" s="20"/>
      <c r="AC9857" s="20"/>
      <c r="AG9857" s="29"/>
    </row>
    <row r="9858" spans="2:33">
      <c r="B9858" s="29"/>
      <c r="D9858" s="29"/>
      <c r="E9858" s="20"/>
      <c r="F9858" s="20"/>
      <c r="AC9858" s="20"/>
      <c r="AG9858" s="29"/>
    </row>
    <row r="9859" spans="2:33">
      <c r="B9859" s="29"/>
      <c r="D9859" s="29"/>
      <c r="E9859" s="20"/>
      <c r="F9859" s="20"/>
      <c r="AC9859" s="20"/>
      <c r="AG9859" s="29"/>
    </row>
    <row r="9860" spans="2:33">
      <c r="B9860" s="29"/>
      <c r="D9860" s="29"/>
      <c r="E9860" s="20"/>
      <c r="F9860" s="20"/>
      <c r="AC9860" s="20"/>
      <c r="AG9860" s="29"/>
    </row>
    <row r="9861" spans="2:33">
      <c r="B9861" s="29"/>
      <c r="D9861" s="29"/>
      <c r="E9861" s="20"/>
      <c r="F9861" s="20"/>
      <c r="AC9861" s="20"/>
      <c r="AG9861" s="29"/>
    </row>
    <row r="9862" spans="2:33">
      <c r="B9862" s="29"/>
      <c r="D9862" s="29"/>
      <c r="E9862" s="20"/>
      <c r="F9862" s="20"/>
      <c r="AC9862" s="20"/>
      <c r="AG9862" s="29"/>
    </row>
    <row r="9863" spans="2:33">
      <c r="B9863" s="29"/>
      <c r="D9863" s="29"/>
      <c r="E9863" s="20"/>
      <c r="F9863" s="20"/>
      <c r="AC9863" s="20"/>
      <c r="AG9863" s="29"/>
    </row>
    <row r="9864" spans="2:33">
      <c r="B9864" s="29"/>
      <c r="D9864" s="29"/>
      <c r="E9864" s="20"/>
      <c r="F9864" s="20"/>
      <c r="AC9864" s="20"/>
      <c r="AG9864" s="29"/>
    </row>
    <row r="9865" spans="2:33">
      <c r="B9865" s="29"/>
      <c r="D9865" s="29"/>
      <c r="E9865" s="20"/>
      <c r="F9865" s="20"/>
      <c r="AC9865" s="20"/>
      <c r="AG9865" s="29"/>
    </row>
    <row r="9866" spans="2:33">
      <c r="B9866" s="29"/>
      <c r="D9866" s="29"/>
      <c r="E9866" s="20"/>
      <c r="F9866" s="20"/>
      <c r="AC9866" s="20"/>
      <c r="AG9866" s="29"/>
    </row>
    <row r="9867" spans="2:33">
      <c r="B9867" s="29"/>
      <c r="D9867" s="29"/>
      <c r="E9867" s="20"/>
      <c r="F9867" s="20"/>
      <c r="AC9867" s="20"/>
      <c r="AG9867" s="29"/>
    </row>
    <row r="9868" spans="2:33">
      <c r="B9868" s="29"/>
      <c r="D9868" s="29"/>
      <c r="E9868" s="20"/>
      <c r="F9868" s="20"/>
      <c r="AC9868" s="20"/>
      <c r="AG9868" s="29"/>
    </row>
    <row r="9869" spans="2:33">
      <c r="B9869" s="29"/>
      <c r="D9869" s="29"/>
      <c r="E9869" s="20"/>
      <c r="F9869" s="20"/>
      <c r="AC9869" s="20"/>
      <c r="AG9869" s="29"/>
    </row>
    <row r="9870" spans="2:33">
      <c r="B9870" s="29"/>
      <c r="D9870" s="29"/>
      <c r="E9870" s="20"/>
      <c r="F9870" s="20"/>
      <c r="AC9870" s="20"/>
      <c r="AG9870" s="29"/>
    </row>
    <row r="9871" spans="2:33">
      <c r="B9871" s="29"/>
      <c r="D9871" s="29"/>
      <c r="E9871" s="20"/>
      <c r="F9871" s="20"/>
      <c r="AC9871" s="20"/>
      <c r="AG9871" s="29"/>
    </row>
    <row r="9872" spans="2:33">
      <c r="B9872" s="29"/>
      <c r="D9872" s="29"/>
      <c r="E9872" s="20"/>
      <c r="F9872" s="20"/>
      <c r="AC9872" s="20"/>
      <c r="AG9872" s="29"/>
    </row>
    <row r="9873" spans="2:33">
      <c r="B9873" s="29"/>
      <c r="D9873" s="29"/>
      <c r="E9873" s="20"/>
      <c r="F9873" s="20"/>
      <c r="AC9873" s="20"/>
      <c r="AG9873" s="29"/>
    </row>
    <row r="9874" spans="2:33">
      <c r="B9874" s="29"/>
      <c r="D9874" s="29"/>
      <c r="E9874" s="20"/>
      <c r="F9874" s="20"/>
      <c r="AC9874" s="20"/>
      <c r="AG9874" s="29"/>
    </row>
    <row r="9875" spans="2:33">
      <c r="B9875" s="29"/>
      <c r="D9875" s="29"/>
      <c r="E9875" s="20"/>
      <c r="F9875" s="20"/>
      <c r="AC9875" s="20"/>
      <c r="AG9875" s="29"/>
    </row>
    <row r="9876" spans="2:33">
      <c r="B9876" s="29"/>
      <c r="D9876" s="29"/>
      <c r="E9876" s="20"/>
      <c r="F9876" s="20"/>
      <c r="AC9876" s="20"/>
      <c r="AG9876" s="29"/>
    </row>
    <row r="9877" spans="2:33">
      <c r="B9877" s="29"/>
      <c r="D9877" s="29"/>
      <c r="E9877" s="20"/>
      <c r="F9877" s="20"/>
      <c r="AC9877" s="20"/>
      <c r="AG9877" s="29"/>
    </row>
    <row r="9878" spans="2:33">
      <c r="B9878" s="29"/>
      <c r="D9878" s="29"/>
      <c r="E9878" s="20"/>
      <c r="F9878" s="20"/>
      <c r="AC9878" s="20"/>
      <c r="AG9878" s="29"/>
    </row>
    <row r="9879" spans="2:33">
      <c r="B9879" s="29"/>
      <c r="D9879" s="29"/>
      <c r="E9879" s="20"/>
      <c r="F9879" s="20"/>
      <c r="AC9879" s="20"/>
      <c r="AG9879" s="29"/>
    </row>
    <row r="9880" spans="2:33">
      <c r="B9880" s="29"/>
      <c r="D9880" s="29"/>
      <c r="E9880" s="20"/>
      <c r="F9880" s="20"/>
      <c r="AC9880" s="20"/>
      <c r="AG9880" s="29"/>
    </row>
    <row r="9881" spans="2:33">
      <c r="B9881" s="29"/>
      <c r="D9881" s="29"/>
      <c r="E9881" s="20"/>
      <c r="F9881" s="20"/>
      <c r="AC9881" s="20"/>
      <c r="AG9881" s="29"/>
    </row>
    <row r="9882" spans="2:33">
      <c r="B9882" s="29"/>
      <c r="D9882" s="29"/>
      <c r="E9882" s="20"/>
      <c r="F9882" s="20"/>
      <c r="AC9882" s="20"/>
      <c r="AG9882" s="29"/>
    </row>
    <row r="9883" spans="2:33">
      <c r="B9883" s="29"/>
      <c r="D9883" s="29"/>
      <c r="E9883" s="20"/>
      <c r="F9883" s="20"/>
      <c r="AC9883" s="20"/>
      <c r="AG9883" s="29"/>
    </row>
    <row r="9884" spans="2:33">
      <c r="B9884" s="29"/>
      <c r="D9884" s="29"/>
      <c r="E9884" s="20"/>
      <c r="F9884" s="20"/>
      <c r="AC9884" s="20"/>
      <c r="AG9884" s="29"/>
    </row>
    <row r="9885" spans="2:33">
      <c r="B9885" s="29"/>
      <c r="D9885" s="29"/>
      <c r="E9885" s="20"/>
      <c r="F9885" s="20"/>
      <c r="AC9885" s="20"/>
      <c r="AG9885" s="29"/>
    </row>
    <row r="9886" spans="2:33">
      <c r="B9886" s="29"/>
      <c r="D9886" s="29"/>
      <c r="E9886" s="20"/>
      <c r="F9886" s="20"/>
      <c r="AC9886" s="20"/>
      <c r="AG9886" s="29"/>
    </row>
    <row r="9887" spans="2:33">
      <c r="B9887" s="29"/>
      <c r="D9887" s="29"/>
      <c r="E9887" s="20"/>
      <c r="F9887" s="20"/>
      <c r="AC9887" s="20"/>
      <c r="AG9887" s="29"/>
    </row>
    <row r="9888" spans="2:33">
      <c r="B9888" s="29"/>
      <c r="D9888" s="29"/>
      <c r="E9888" s="20"/>
      <c r="F9888" s="20"/>
      <c r="AC9888" s="20"/>
      <c r="AG9888" s="29"/>
    </row>
    <row r="9889" spans="2:33">
      <c r="B9889" s="29"/>
      <c r="D9889" s="29"/>
      <c r="E9889" s="20"/>
      <c r="F9889" s="20"/>
      <c r="AC9889" s="20"/>
      <c r="AG9889" s="29"/>
    </row>
    <row r="9890" spans="2:33">
      <c r="B9890" s="29"/>
      <c r="D9890" s="29"/>
      <c r="E9890" s="20"/>
      <c r="F9890" s="20"/>
      <c r="AC9890" s="20"/>
      <c r="AG9890" s="29"/>
    </row>
    <row r="9891" spans="2:33">
      <c r="B9891" s="29"/>
      <c r="D9891" s="29"/>
      <c r="E9891" s="20"/>
      <c r="F9891" s="20"/>
      <c r="AC9891" s="20"/>
      <c r="AG9891" s="29"/>
    </row>
    <row r="9892" spans="2:33">
      <c r="B9892" s="29"/>
      <c r="D9892" s="29"/>
      <c r="E9892" s="20"/>
      <c r="F9892" s="20"/>
      <c r="AC9892" s="20"/>
      <c r="AG9892" s="29"/>
    </row>
    <row r="9893" spans="2:33">
      <c r="B9893" s="29"/>
      <c r="D9893" s="29"/>
      <c r="E9893" s="20"/>
      <c r="F9893" s="20"/>
      <c r="AC9893" s="20"/>
      <c r="AG9893" s="29"/>
    </row>
    <row r="9894" spans="2:33">
      <c r="B9894" s="29"/>
      <c r="D9894" s="29"/>
      <c r="E9894" s="20"/>
      <c r="F9894" s="20"/>
      <c r="AC9894" s="20"/>
      <c r="AG9894" s="29"/>
    </row>
    <row r="9895" spans="2:33">
      <c r="B9895" s="29"/>
      <c r="D9895" s="29"/>
      <c r="E9895" s="20"/>
      <c r="F9895" s="20"/>
      <c r="AC9895" s="20"/>
      <c r="AG9895" s="29"/>
    </row>
    <row r="9896" spans="2:33">
      <c r="B9896" s="29"/>
      <c r="D9896" s="29"/>
      <c r="E9896" s="20"/>
      <c r="F9896" s="20"/>
      <c r="AC9896" s="20"/>
      <c r="AG9896" s="29"/>
    </row>
    <row r="9897" spans="2:33">
      <c r="B9897" s="29"/>
      <c r="D9897" s="29"/>
      <c r="E9897" s="20"/>
      <c r="F9897" s="20"/>
      <c r="AC9897" s="20"/>
      <c r="AG9897" s="29"/>
    </row>
    <row r="9898" spans="2:33">
      <c r="B9898" s="29"/>
      <c r="D9898" s="29"/>
      <c r="E9898" s="20"/>
      <c r="F9898" s="20"/>
      <c r="AC9898" s="20"/>
      <c r="AG9898" s="29"/>
    </row>
    <row r="9899" spans="2:33">
      <c r="B9899" s="29"/>
      <c r="D9899" s="29"/>
      <c r="E9899" s="20"/>
      <c r="F9899" s="20"/>
      <c r="AC9899" s="20"/>
      <c r="AG9899" s="29"/>
    </row>
    <row r="9900" spans="2:33">
      <c r="B9900" s="29"/>
      <c r="D9900" s="29"/>
      <c r="E9900" s="20"/>
      <c r="F9900" s="20"/>
      <c r="AC9900" s="20"/>
      <c r="AG9900" s="29"/>
    </row>
    <row r="9901" spans="2:33">
      <c r="B9901" s="29"/>
      <c r="D9901" s="29"/>
      <c r="E9901" s="20"/>
      <c r="F9901" s="20"/>
      <c r="AC9901" s="20"/>
      <c r="AG9901" s="29"/>
    </row>
    <row r="9902" spans="2:33">
      <c r="B9902" s="29"/>
      <c r="D9902" s="29"/>
      <c r="E9902" s="20"/>
      <c r="F9902" s="20"/>
      <c r="AC9902" s="20"/>
      <c r="AG9902" s="29"/>
    </row>
    <row r="9903" spans="2:33">
      <c r="B9903" s="29"/>
      <c r="D9903" s="29"/>
      <c r="E9903" s="20"/>
      <c r="F9903" s="20"/>
      <c r="AC9903" s="20"/>
      <c r="AG9903" s="29"/>
    </row>
    <row r="9904" spans="2:33">
      <c r="B9904" s="29"/>
      <c r="D9904" s="29"/>
      <c r="E9904" s="20"/>
      <c r="F9904" s="20"/>
      <c r="AC9904" s="20"/>
      <c r="AG9904" s="29"/>
    </row>
    <row r="9905" spans="2:33">
      <c r="B9905" s="29"/>
      <c r="D9905" s="29"/>
      <c r="E9905" s="20"/>
      <c r="F9905" s="20"/>
      <c r="AC9905" s="20"/>
      <c r="AG9905" s="29"/>
    </row>
    <row r="9906" spans="2:33">
      <c r="B9906" s="29"/>
      <c r="D9906" s="29"/>
      <c r="E9906" s="20"/>
      <c r="F9906" s="20"/>
      <c r="AC9906" s="20"/>
      <c r="AG9906" s="29"/>
    </row>
    <row r="9907" spans="2:33">
      <c r="B9907" s="29"/>
      <c r="D9907" s="29"/>
      <c r="E9907" s="20"/>
      <c r="F9907" s="20"/>
      <c r="AC9907" s="20"/>
      <c r="AG9907" s="29"/>
    </row>
    <row r="9908" spans="2:33">
      <c r="B9908" s="29"/>
      <c r="D9908" s="29"/>
      <c r="E9908" s="20"/>
      <c r="F9908" s="20"/>
      <c r="AC9908" s="20"/>
      <c r="AG9908" s="29"/>
    </row>
    <row r="9909" spans="2:33">
      <c r="B9909" s="29"/>
      <c r="D9909" s="29"/>
      <c r="E9909" s="20"/>
      <c r="F9909" s="20"/>
      <c r="AC9909" s="20"/>
      <c r="AG9909" s="29"/>
    </row>
    <row r="9910" spans="2:33">
      <c r="B9910" s="29"/>
      <c r="D9910" s="29"/>
      <c r="E9910" s="20"/>
      <c r="F9910" s="20"/>
      <c r="AC9910" s="20"/>
      <c r="AG9910" s="29"/>
    </row>
    <row r="9911" spans="2:33">
      <c r="B9911" s="29"/>
      <c r="D9911" s="29"/>
      <c r="E9911" s="20"/>
      <c r="F9911" s="20"/>
      <c r="AC9911" s="20"/>
      <c r="AG9911" s="29"/>
    </row>
    <row r="9912" spans="2:33">
      <c r="B9912" s="29"/>
      <c r="D9912" s="29"/>
      <c r="E9912" s="20"/>
      <c r="F9912" s="20"/>
      <c r="AC9912" s="20"/>
      <c r="AG9912" s="29"/>
    </row>
    <row r="9913" spans="2:33">
      <c r="B9913" s="29"/>
      <c r="D9913" s="29"/>
      <c r="E9913" s="20"/>
      <c r="F9913" s="20"/>
      <c r="AC9913" s="20"/>
      <c r="AG9913" s="29"/>
    </row>
    <row r="9914" spans="2:33">
      <c r="B9914" s="29"/>
      <c r="D9914" s="29"/>
      <c r="E9914" s="20"/>
      <c r="F9914" s="20"/>
      <c r="AC9914" s="20"/>
      <c r="AG9914" s="29"/>
    </row>
    <row r="9915" spans="2:33">
      <c r="B9915" s="29"/>
      <c r="D9915" s="29"/>
      <c r="E9915" s="20"/>
      <c r="F9915" s="20"/>
      <c r="AC9915" s="20"/>
      <c r="AG9915" s="29"/>
    </row>
    <row r="9916" spans="2:33">
      <c r="B9916" s="29"/>
      <c r="D9916" s="29"/>
      <c r="E9916" s="20"/>
      <c r="F9916" s="20"/>
      <c r="AC9916" s="20"/>
      <c r="AG9916" s="29"/>
    </row>
    <row r="9917" spans="2:33">
      <c r="B9917" s="29"/>
      <c r="D9917" s="29"/>
      <c r="E9917" s="20"/>
      <c r="F9917" s="20"/>
      <c r="AC9917" s="20"/>
      <c r="AG9917" s="29"/>
    </row>
    <row r="9918" spans="2:33">
      <c r="B9918" s="29"/>
      <c r="D9918" s="29"/>
      <c r="E9918" s="20"/>
      <c r="F9918" s="20"/>
      <c r="AC9918" s="20"/>
      <c r="AG9918" s="29"/>
    </row>
    <row r="9919" spans="2:33">
      <c r="B9919" s="29"/>
      <c r="D9919" s="29"/>
      <c r="E9919" s="20"/>
      <c r="F9919" s="20"/>
      <c r="AC9919" s="20"/>
      <c r="AG9919" s="29"/>
    </row>
    <row r="9920" spans="2:33">
      <c r="B9920" s="29"/>
      <c r="D9920" s="29"/>
      <c r="E9920" s="20"/>
      <c r="F9920" s="20"/>
      <c r="AC9920" s="20"/>
      <c r="AG9920" s="29"/>
    </row>
    <row r="9921" spans="2:33">
      <c r="B9921" s="29"/>
      <c r="D9921" s="29"/>
      <c r="E9921" s="20"/>
      <c r="F9921" s="20"/>
      <c r="AC9921" s="20"/>
      <c r="AG9921" s="29"/>
    </row>
    <row r="9922" spans="2:33">
      <c r="B9922" s="29"/>
      <c r="D9922" s="29"/>
      <c r="E9922" s="20"/>
      <c r="F9922" s="20"/>
      <c r="AC9922" s="20"/>
      <c r="AG9922" s="29"/>
    </row>
    <row r="9923" spans="2:33">
      <c r="B9923" s="29"/>
      <c r="D9923" s="29"/>
      <c r="E9923" s="20"/>
      <c r="F9923" s="20"/>
      <c r="AC9923" s="20"/>
      <c r="AG9923" s="29"/>
    </row>
    <row r="9924" spans="2:33">
      <c r="B9924" s="29"/>
      <c r="D9924" s="29"/>
      <c r="E9924" s="20"/>
      <c r="F9924" s="20"/>
      <c r="AC9924" s="20"/>
      <c r="AG9924" s="29"/>
    </row>
    <row r="9925" spans="2:33">
      <c r="B9925" s="29"/>
      <c r="D9925" s="29"/>
      <c r="E9925" s="20"/>
      <c r="F9925" s="20"/>
      <c r="AC9925" s="20"/>
      <c r="AG9925" s="29"/>
    </row>
    <row r="9926" spans="2:33">
      <c r="B9926" s="29"/>
      <c r="D9926" s="29"/>
      <c r="E9926" s="20"/>
      <c r="F9926" s="20"/>
      <c r="AC9926" s="20"/>
      <c r="AG9926" s="29"/>
    </row>
    <row r="9927" spans="2:33">
      <c r="B9927" s="29"/>
      <c r="D9927" s="29"/>
      <c r="E9927" s="20"/>
      <c r="F9927" s="20"/>
      <c r="AC9927" s="20"/>
      <c r="AG9927" s="29"/>
    </row>
    <row r="9928" spans="2:33">
      <c r="B9928" s="29"/>
      <c r="D9928" s="29"/>
      <c r="E9928" s="20"/>
      <c r="F9928" s="20"/>
      <c r="AC9928" s="20"/>
      <c r="AG9928" s="29"/>
    </row>
    <row r="9929" spans="2:33">
      <c r="B9929" s="29"/>
      <c r="D9929" s="29"/>
      <c r="E9929" s="20"/>
      <c r="F9929" s="20"/>
      <c r="AC9929" s="20"/>
      <c r="AG9929" s="29"/>
    </row>
    <row r="9930" spans="2:33">
      <c r="B9930" s="29"/>
      <c r="D9930" s="29"/>
      <c r="E9930" s="20"/>
      <c r="F9930" s="20"/>
      <c r="AC9930" s="20"/>
      <c r="AG9930" s="29"/>
    </row>
    <row r="9931" spans="2:33">
      <c r="B9931" s="29"/>
      <c r="D9931" s="29"/>
      <c r="E9931" s="20"/>
      <c r="F9931" s="20"/>
      <c r="AC9931" s="20"/>
      <c r="AG9931" s="29"/>
    </row>
    <row r="9932" spans="2:33">
      <c r="B9932" s="29"/>
      <c r="D9932" s="29"/>
      <c r="E9932" s="20"/>
      <c r="F9932" s="20"/>
      <c r="AC9932" s="20"/>
      <c r="AG9932" s="29"/>
    </row>
    <row r="9933" spans="2:33">
      <c r="B9933" s="29"/>
      <c r="D9933" s="29"/>
      <c r="E9933" s="20"/>
      <c r="F9933" s="20"/>
      <c r="AC9933" s="20"/>
      <c r="AG9933" s="29"/>
    </row>
    <row r="9934" spans="2:33">
      <c r="B9934" s="29"/>
      <c r="D9934" s="29"/>
      <c r="E9934" s="20"/>
      <c r="F9934" s="20"/>
      <c r="AC9934" s="20"/>
      <c r="AG9934" s="29"/>
    </row>
    <row r="9935" spans="2:33">
      <c r="B9935" s="29"/>
      <c r="D9935" s="29"/>
      <c r="E9935" s="20"/>
      <c r="F9935" s="20"/>
      <c r="AC9935" s="20"/>
      <c r="AG9935" s="29"/>
    </row>
    <row r="9936" spans="2:33">
      <c r="B9936" s="29"/>
      <c r="D9936" s="29"/>
      <c r="E9936" s="20"/>
      <c r="F9936" s="20"/>
      <c r="AC9936" s="20"/>
      <c r="AG9936" s="29"/>
    </row>
    <row r="9937" spans="2:33">
      <c r="B9937" s="29"/>
      <c r="D9937" s="29"/>
      <c r="E9937" s="20"/>
      <c r="F9937" s="20"/>
      <c r="AC9937" s="20"/>
      <c r="AG9937" s="29"/>
    </row>
    <row r="9938" spans="2:33">
      <c r="B9938" s="29"/>
      <c r="D9938" s="29"/>
      <c r="E9938" s="20"/>
      <c r="F9938" s="20"/>
      <c r="AC9938" s="20"/>
      <c r="AG9938" s="29"/>
    </row>
    <row r="9939" spans="2:33">
      <c r="B9939" s="29"/>
      <c r="D9939" s="29"/>
      <c r="E9939" s="20"/>
      <c r="F9939" s="20"/>
      <c r="AC9939" s="20"/>
      <c r="AG9939" s="29"/>
    </row>
    <row r="9940" spans="2:33">
      <c r="B9940" s="29"/>
      <c r="D9940" s="29"/>
      <c r="E9940" s="20"/>
      <c r="F9940" s="20"/>
      <c r="AC9940" s="20"/>
      <c r="AG9940" s="29"/>
    </row>
    <row r="9941" spans="2:33">
      <c r="B9941" s="29"/>
      <c r="D9941" s="29"/>
      <c r="E9941" s="20"/>
      <c r="F9941" s="20"/>
      <c r="AC9941" s="20"/>
      <c r="AG9941" s="29"/>
    </row>
    <row r="9942" spans="2:33">
      <c r="B9942" s="29"/>
      <c r="D9942" s="29"/>
      <c r="E9942" s="20"/>
      <c r="F9942" s="20"/>
      <c r="AC9942" s="20"/>
      <c r="AG9942" s="29"/>
    </row>
    <row r="9943" spans="2:33">
      <c r="B9943" s="29"/>
      <c r="D9943" s="29"/>
      <c r="E9943" s="20"/>
      <c r="F9943" s="20"/>
      <c r="AC9943" s="20"/>
      <c r="AG9943" s="29"/>
    </row>
    <row r="9944" spans="2:33">
      <c r="B9944" s="29"/>
      <c r="D9944" s="29"/>
      <c r="E9944" s="20"/>
      <c r="F9944" s="20"/>
      <c r="AC9944" s="20"/>
      <c r="AG9944" s="29"/>
    </row>
    <row r="9945" spans="2:33">
      <c r="B9945" s="29"/>
      <c r="D9945" s="29"/>
      <c r="E9945" s="20"/>
      <c r="F9945" s="20"/>
      <c r="AC9945" s="20"/>
      <c r="AG9945" s="29"/>
    </row>
    <row r="9946" spans="2:33">
      <c r="B9946" s="29"/>
      <c r="D9946" s="29"/>
      <c r="E9946" s="20"/>
      <c r="F9946" s="20"/>
      <c r="AC9946" s="20"/>
      <c r="AG9946" s="29"/>
    </row>
    <row r="9947" spans="2:33">
      <c r="B9947" s="29"/>
      <c r="D9947" s="29"/>
      <c r="E9947" s="20"/>
      <c r="F9947" s="20"/>
      <c r="AC9947" s="20"/>
      <c r="AG9947" s="29"/>
    </row>
    <row r="9948" spans="2:33">
      <c r="B9948" s="29"/>
      <c r="D9948" s="29"/>
      <c r="E9948" s="20"/>
      <c r="F9948" s="20"/>
      <c r="AC9948" s="20"/>
      <c r="AG9948" s="29"/>
    </row>
    <row r="9949" spans="2:33">
      <c r="B9949" s="29"/>
      <c r="D9949" s="29"/>
      <c r="E9949" s="20"/>
      <c r="F9949" s="20"/>
      <c r="AC9949" s="20"/>
      <c r="AG9949" s="29"/>
    </row>
    <row r="9950" spans="2:33">
      <c r="B9950" s="29"/>
      <c r="D9950" s="29"/>
      <c r="E9950" s="20"/>
      <c r="F9950" s="20"/>
      <c r="AC9950" s="20"/>
      <c r="AG9950" s="29"/>
    </row>
    <row r="9951" spans="2:33">
      <c r="B9951" s="29"/>
      <c r="D9951" s="29"/>
      <c r="E9951" s="20"/>
      <c r="F9951" s="20"/>
      <c r="AC9951" s="20"/>
      <c r="AG9951" s="29"/>
    </row>
    <row r="9952" spans="2:33">
      <c r="B9952" s="29"/>
      <c r="D9952" s="29"/>
      <c r="E9952" s="20"/>
      <c r="F9952" s="20"/>
      <c r="AC9952" s="20"/>
      <c r="AG9952" s="29"/>
    </row>
    <row r="9953" spans="2:33">
      <c r="B9953" s="29"/>
      <c r="D9953" s="29"/>
      <c r="E9953" s="20"/>
      <c r="F9953" s="20"/>
      <c r="AC9953" s="20"/>
      <c r="AG9953" s="29"/>
    </row>
    <row r="9954" spans="2:33">
      <c r="B9954" s="29"/>
      <c r="D9954" s="29"/>
      <c r="E9954" s="20"/>
      <c r="F9954" s="20"/>
      <c r="AC9954" s="20"/>
      <c r="AG9954" s="29"/>
    </row>
    <row r="9955" spans="2:33">
      <c r="B9955" s="29"/>
      <c r="D9955" s="29"/>
      <c r="E9955" s="20"/>
      <c r="F9955" s="20"/>
      <c r="AC9955" s="20"/>
      <c r="AG9955" s="29"/>
    </row>
    <row r="9956" spans="2:33">
      <c r="B9956" s="29"/>
      <c r="D9956" s="29"/>
      <c r="E9956" s="20"/>
      <c r="F9956" s="20"/>
      <c r="AC9956" s="20"/>
      <c r="AG9956" s="29"/>
    </row>
    <row r="9957" spans="2:33">
      <c r="B9957" s="29"/>
      <c r="D9957" s="29"/>
      <c r="E9957" s="20"/>
      <c r="F9957" s="20"/>
      <c r="AC9957" s="20"/>
      <c r="AG9957" s="29"/>
    </row>
    <row r="9958" spans="2:33">
      <c r="B9958" s="29"/>
      <c r="D9958" s="29"/>
      <c r="E9958" s="20"/>
      <c r="F9958" s="20"/>
      <c r="AC9958" s="20"/>
      <c r="AG9958" s="29"/>
    </row>
    <row r="9959" spans="2:33">
      <c r="B9959" s="29"/>
      <c r="D9959" s="29"/>
      <c r="E9959" s="20"/>
      <c r="F9959" s="20"/>
      <c r="AC9959" s="20"/>
      <c r="AG9959" s="29"/>
    </row>
    <row r="9960" spans="2:33">
      <c r="B9960" s="29"/>
      <c r="D9960" s="29"/>
      <c r="E9960" s="20"/>
      <c r="F9960" s="20"/>
      <c r="AC9960" s="20"/>
      <c r="AG9960" s="29"/>
    </row>
    <row r="9961" spans="2:33">
      <c r="B9961" s="29"/>
      <c r="D9961" s="29"/>
      <c r="E9961" s="20"/>
      <c r="F9961" s="20"/>
      <c r="AC9961" s="20"/>
      <c r="AG9961" s="29"/>
    </row>
    <row r="9962" spans="2:33">
      <c r="B9962" s="29"/>
      <c r="D9962" s="29"/>
      <c r="E9962" s="20"/>
      <c r="F9962" s="20"/>
      <c r="AC9962" s="20"/>
      <c r="AG9962" s="29"/>
    </row>
    <row r="9963" spans="2:33">
      <c r="B9963" s="29"/>
      <c r="D9963" s="29"/>
      <c r="E9963" s="20"/>
      <c r="F9963" s="20"/>
      <c r="AC9963" s="20"/>
      <c r="AG9963" s="29"/>
    </row>
    <row r="9964" spans="2:33">
      <c r="B9964" s="29"/>
      <c r="D9964" s="29"/>
      <c r="E9964" s="20"/>
      <c r="F9964" s="20"/>
      <c r="AC9964" s="20"/>
      <c r="AG9964" s="29"/>
    </row>
    <row r="9965" spans="2:33">
      <c r="B9965" s="29"/>
      <c r="D9965" s="29"/>
      <c r="E9965" s="20"/>
      <c r="F9965" s="20"/>
      <c r="AC9965" s="20"/>
      <c r="AG9965" s="29"/>
    </row>
    <row r="9966" spans="2:33">
      <c r="B9966" s="29"/>
      <c r="D9966" s="29"/>
      <c r="E9966" s="20"/>
      <c r="F9966" s="20"/>
      <c r="AC9966" s="20"/>
      <c r="AG9966" s="29"/>
    </row>
    <row r="9967" spans="2:33">
      <c r="B9967" s="29"/>
      <c r="D9967" s="29"/>
      <c r="E9967" s="20"/>
      <c r="F9967" s="20"/>
      <c r="AC9967" s="20"/>
      <c r="AG9967" s="29"/>
    </row>
    <row r="9968" spans="2:33">
      <c r="B9968" s="29"/>
      <c r="D9968" s="29"/>
      <c r="E9968" s="20"/>
      <c r="F9968" s="20"/>
      <c r="AC9968" s="20"/>
      <c r="AG9968" s="29"/>
    </row>
    <row r="9969" spans="2:33">
      <c r="B9969" s="29"/>
      <c r="D9969" s="29"/>
      <c r="E9969" s="20"/>
      <c r="F9969" s="20"/>
      <c r="AC9969" s="20"/>
      <c r="AG9969" s="29"/>
    </row>
    <row r="9970" spans="2:33">
      <c r="B9970" s="29"/>
      <c r="D9970" s="29"/>
      <c r="E9970" s="20"/>
      <c r="F9970" s="20"/>
      <c r="AC9970" s="20"/>
      <c r="AG9970" s="29"/>
    </row>
    <row r="9971" spans="2:33">
      <c r="B9971" s="29"/>
      <c r="D9971" s="29"/>
      <c r="E9971" s="20"/>
      <c r="F9971" s="20"/>
      <c r="AC9971" s="20"/>
      <c r="AG9971" s="29"/>
    </row>
    <row r="9972" spans="2:33">
      <c r="B9972" s="29"/>
      <c r="D9972" s="29"/>
      <c r="E9972" s="20"/>
      <c r="F9972" s="20"/>
      <c r="AC9972" s="20"/>
      <c r="AG9972" s="29"/>
    </row>
    <row r="9973" spans="2:33">
      <c r="B9973" s="29"/>
      <c r="D9973" s="29"/>
      <c r="E9973" s="20"/>
      <c r="F9973" s="20"/>
      <c r="AC9973" s="20"/>
      <c r="AG9973" s="29"/>
    </row>
    <row r="9974" spans="2:33">
      <c r="B9974" s="29"/>
      <c r="D9974" s="29"/>
      <c r="E9974" s="20"/>
      <c r="F9974" s="20"/>
      <c r="AC9974" s="20"/>
      <c r="AG9974" s="29"/>
    </row>
    <row r="9975" spans="2:33">
      <c r="B9975" s="29"/>
      <c r="D9975" s="29"/>
      <c r="E9975" s="20"/>
      <c r="F9975" s="20"/>
      <c r="AC9975" s="20"/>
      <c r="AG9975" s="29"/>
    </row>
    <row r="9976" spans="2:33">
      <c r="B9976" s="29"/>
      <c r="D9976" s="29"/>
      <c r="E9976" s="20"/>
      <c r="F9976" s="20"/>
      <c r="AC9976" s="20"/>
      <c r="AG9976" s="29"/>
    </row>
    <row r="9977" spans="2:33">
      <c r="B9977" s="29"/>
      <c r="D9977" s="29"/>
      <c r="E9977" s="20"/>
      <c r="F9977" s="20"/>
      <c r="AC9977" s="20"/>
      <c r="AG9977" s="29"/>
    </row>
    <row r="9978" spans="2:33">
      <c r="B9978" s="29"/>
      <c r="D9978" s="29"/>
      <c r="E9978" s="20"/>
      <c r="F9978" s="20"/>
      <c r="AC9978" s="20"/>
      <c r="AG9978" s="29"/>
    </row>
    <row r="9979" spans="2:33">
      <c r="B9979" s="29"/>
      <c r="D9979" s="29"/>
      <c r="E9979" s="20"/>
      <c r="F9979" s="20"/>
      <c r="AC9979" s="20"/>
      <c r="AG9979" s="29"/>
    </row>
    <row r="9980" spans="2:33">
      <c r="B9980" s="29"/>
      <c r="D9980" s="29"/>
      <c r="E9980" s="20"/>
      <c r="F9980" s="20"/>
      <c r="AC9980" s="20"/>
      <c r="AG9980" s="29"/>
    </row>
    <row r="9981" spans="2:33">
      <c r="B9981" s="29"/>
      <c r="D9981" s="29"/>
      <c r="E9981" s="20"/>
      <c r="F9981" s="20"/>
      <c r="AC9981" s="20"/>
      <c r="AG9981" s="29"/>
    </row>
    <row r="9982" spans="2:33">
      <c r="B9982" s="29"/>
      <c r="D9982" s="29"/>
      <c r="E9982" s="20"/>
      <c r="F9982" s="20"/>
      <c r="AC9982" s="20"/>
      <c r="AG9982" s="29"/>
    </row>
    <row r="9983" spans="2:33">
      <c r="B9983" s="29"/>
      <c r="D9983" s="29"/>
      <c r="E9983" s="20"/>
      <c r="F9983" s="20"/>
      <c r="AC9983" s="20"/>
      <c r="AG9983" s="29"/>
    </row>
    <row r="9984" spans="2:33">
      <c r="B9984" s="29"/>
      <c r="D9984" s="29"/>
      <c r="E9984" s="20"/>
      <c r="F9984" s="20"/>
      <c r="AC9984" s="20"/>
      <c r="AG9984" s="29"/>
    </row>
    <row r="9985" spans="2:33">
      <c r="B9985" s="29"/>
      <c r="D9985" s="29"/>
      <c r="E9985" s="20"/>
      <c r="F9985" s="20"/>
      <c r="AC9985" s="20"/>
      <c r="AG9985" s="29"/>
    </row>
    <row r="9986" spans="2:33">
      <c r="B9986" s="29"/>
      <c r="D9986" s="29"/>
      <c r="E9986" s="20"/>
      <c r="F9986" s="20"/>
      <c r="AC9986" s="20"/>
      <c r="AG9986" s="29"/>
    </row>
    <row r="9987" spans="2:33">
      <c r="B9987" s="29"/>
      <c r="D9987" s="29"/>
      <c r="E9987" s="20"/>
      <c r="F9987" s="20"/>
      <c r="AC9987" s="20"/>
      <c r="AG9987" s="29"/>
    </row>
    <row r="9988" spans="2:33">
      <c r="B9988" s="29"/>
      <c r="D9988" s="29"/>
      <c r="E9988" s="20"/>
      <c r="F9988" s="20"/>
      <c r="AC9988" s="20"/>
      <c r="AG9988" s="29"/>
    </row>
    <row r="9989" spans="2:33">
      <c r="B9989" s="29"/>
      <c r="D9989" s="29"/>
      <c r="E9989" s="20"/>
      <c r="F9989" s="20"/>
      <c r="AC9989" s="20"/>
      <c r="AG9989" s="29"/>
    </row>
    <row r="9990" spans="2:33">
      <c r="B9990" s="29"/>
      <c r="D9990" s="29"/>
      <c r="E9990" s="20"/>
      <c r="F9990" s="20"/>
      <c r="AC9990" s="20"/>
      <c r="AG9990" s="29"/>
    </row>
    <row r="9991" spans="2:33">
      <c r="B9991" s="29"/>
      <c r="D9991" s="29"/>
      <c r="E9991" s="20"/>
      <c r="F9991" s="20"/>
      <c r="AC9991" s="20"/>
      <c r="AG9991" s="29"/>
    </row>
    <row r="9992" spans="2:33">
      <c r="B9992" s="29"/>
      <c r="D9992" s="29"/>
      <c r="E9992" s="20"/>
      <c r="F9992" s="20"/>
      <c r="AC9992" s="20"/>
      <c r="AG9992" s="29"/>
    </row>
    <row r="9993" spans="2:33">
      <c r="B9993" s="29"/>
      <c r="D9993" s="29"/>
      <c r="E9993" s="20"/>
      <c r="F9993" s="20"/>
      <c r="AC9993" s="20"/>
      <c r="AG9993" s="29"/>
    </row>
    <row r="9994" spans="2:33">
      <c r="B9994" s="29"/>
      <c r="D9994" s="29"/>
      <c r="E9994" s="20"/>
      <c r="F9994" s="20"/>
      <c r="AC9994" s="20"/>
      <c r="AG9994" s="29"/>
    </row>
    <row r="9995" spans="2:33">
      <c r="B9995" s="29"/>
      <c r="D9995" s="29"/>
      <c r="E9995" s="20"/>
      <c r="F9995" s="20"/>
      <c r="AC9995" s="20"/>
      <c r="AG9995" s="29"/>
    </row>
    <row r="9996" spans="2:33">
      <c r="B9996" s="29"/>
      <c r="D9996" s="29"/>
      <c r="E9996" s="20"/>
      <c r="F9996" s="20"/>
      <c r="AC9996" s="20"/>
      <c r="AG9996" s="29"/>
    </row>
    <row r="9997" spans="2:33">
      <c r="B9997" s="29"/>
      <c r="D9997" s="29"/>
      <c r="E9997" s="20"/>
      <c r="F9997" s="20"/>
      <c r="AC9997" s="20"/>
      <c r="AG9997" s="29"/>
    </row>
    <row r="9998" spans="2:33">
      <c r="B9998" s="29"/>
      <c r="D9998" s="29"/>
      <c r="E9998" s="20"/>
      <c r="F9998" s="20"/>
      <c r="AC9998" s="20"/>
      <c r="AG9998" s="29"/>
    </row>
    <row r="9999" spans="2:33">
      <c r="B9999" s="29"/>
      <c r="D9999" s="29"/>
      <c r="E9999" s="20"/>
      <c r="F9999" s="20"/>
      <c r="AC9999" s="20"/>
      <c r="AG9999" s="29"/>
    </row>
    <row r="10000" spans="2:33">
      <c r="B10000" s="29"/>
      <c r="D10000" s="29"/>
      <c r="E10000" s="20"/>
      <c r="F10000" s="20"/>
      <c r="AC10000" s="20"/>
      <c r="AG10000" s="29"/>
    </row>
    <row r="10001" spans="2:33">
      <c r="B10001" s="29"/>
      <c r="D10001" s="29"/>
      <c r="E10001" s="20"/>
      <c r="F10001" s="20"/>
      <c r="AC10001" s="20"/>
      <c r="AG10001" s="29"/>
    </row>
    <row r="10002" spans="2:33">
      <c r="B10002" s="29"/>
      <c r="D10002" s="29"/>
      <c r="E10002" s="20"/>
      <c r="F10002" s="20"/>
      <c r="AC10002" s="20"/>
      <c r="AG10002" s="29"/>
    </row>
    <row r="10003" spans="2:33">
      <c r="B10003" s="29"/>
      <c r="D10003" s="29"/>
      <c r="E10003" s="20"/>
      <c r="F10003" s="20"/>
      <c r="AC10003" s="20"/>
      <c r="AG10003" s="29"/>
    </row>
    <row r="10004" spans="2:33">
      <c r="B10004" s="29"/>
      <c r="D10004" s="29"/>
      <c r="E10004" s="20"/>
      <c r="F10004" s="20"/>
      <c r="AC10004" s="20"/>
      <c r="AG10004" s="29"/>
    </row>
    <row r="10005" spans="2:33">
      <c r="B10005" s="29"/>
      <c r="D10005" s="29"/>
      <c r="E10005" s="20"/>
      <c r="F10005" s="20"/>
      <c r="AC10005" s="20"/>
      <c r="AG10005" s="29"/>
    </row>
    <row r="10006" spans="2:33">
      <c r="B10006" s="29"/>
      <c r="D10006" s="29"/>
      <c r="E10006" s="20"/>
      <c r="F10006" s="20"/>
      <c r="AC10006" s="20"/>
      <c r="AG10006" s="29"/>
    </row>
    <row r="10007" spans="2:33">
      <c r="B10007" s="29"/>
      <c r="D10007" s="29"/>
      <c r="E10007" s="20"/>
      <c r="F10007" s="20"/>
      <c r="AC10007" s="20"/>
      <c r="AG10007" s="29"/>
    </row>
    <row r="10008" spans="2:33">
      <c r="B10008" s="29"/>
      <c r="D10008" s="29"/>
      <c r="E10008" s="20"/>
      <c r="F10008" s="20"/>
      <c r="AC10008" s="20"/>
      <c r="AG10008" s="29"/>
    </row>
    <row r="10009" spans="2:33">
      <c r="B10009" s="29"/>
      <c r="D10009" s="29"/>
      <c r="E10009" s="20"/>
      <c r="F10009" s="20"/>
      <c r="AC10009" s="20"/>
      <c r="AG10009" s="29"/>
    </row>
    <row r="10010" spans="2:33">
      <c r="B10010" s="29"/>
      <c r="D10010" s="29"/>
      <c r="E10010" s="20"/>
      <c r="F10010" s="20"/>
      <c r="AC10010" s="20"/>
      <c r="AG10010" s="29"/>
    </row>
    <row r="10011" spans="2:33">
      <c r="B10011" s="29"/>
      <c r="D10011" s="29"/>
      <c r="E10011" s="20"/>
      <c r="F10011" s="20"/>
      <c r="AC10011" s="20"/>
      <c r="AG10011" s="29"/>
    </row>
    <row r="10012" spans="2:33">
      <c r="B10012" s="29"/>
      <c r="D10012" s="29"/>
      <c r="E10012" s="20"/>
      <c r="F10012" s="20"/>
      <c r="AC10012" s="20"/>
      <c r="AG10012" s="29"/>
    </row>
    <row r="10013" spans="2:33">
      <c r="B10013" s="29"/>
      <c r="D10013" s="29"/>
      <c r="E10013" s="20"/>
      <c r="F10013" s="20"/>
      <c r="AC10013" s="20"/>
      <c r="AG10013" s="29"/>
    </row>
    <row r="10014" spans="2:33">
      <c r="B10014" s="29"/>
      <c r="D10014" s="29"/>
      <c r="E10014" s="20"/>
      <c r="F10014" s="20"/>
      <c r="AC10014" s="20"/>
      <c r="AG10014" s="29"/>
    </row>
    <row r="10015" spans="2:33">
      <c r="B10015" s="29"/>
      <c r="D10015" s="29"/>
      <c r="E10015" s="20"/>
      <c r="F10015" s="20"/>
      <c r="AC10015" s="20"/>
      <c r="AG10015" s="29"/>
    </row>
    <row r="10016" spans="2:33">
      <c r="B10016" s="29"/>
      <c r="D10016" s="29"/>
      <c r="E10016" s="20"/>
      <c r="F10016" s="20"/>
      <c r="AC10016" s="20"/>
      <c r="AG10016" s="29"/>
    </row>
    <row r="10017" spans="2:33">
      <c r="B10017" s="29"/>
      <c r="D10017" s="29"/>
      <c r="E10017" s="20"/>
      <c r="F10017" s="20"/>
      <c r="AC10017" s="20"/>
      <c r="AG10017" s="29"/>
    </row>
    <row r="10018" spans="2:33">
      <c r="B10018" s="29"/>
      <c r="D10018" s="29"/>
      <c r="E10018" s="20"/>
      <c r="F10018" s="20"/>
      <c r="AC10018" s="20"/>
      <c r="AG10018" s="29"/>
    </row>
    <row r="10019" spans="2:33">
      <c r="B10019" s="29"/>
      <c r="D10019" s="29"/>
      <c r="E10019" s="20"/>
      <c r="F10019" s="20"/>
      <c r="AC10019" s="20"/>
      <c r="AG10019" s="29"/>
    </row>
    <row r="10020" spans="2:33">
      <c r="B10020" s="29"/>
      <c r="D10020" s="29"/>
      <c r="E10020" s="20"/>
      <c r="F10020" s="20"/>
      <c r="AC10020" s="20"/>
      <c r="AG10020" s="29"/>
    </row>
    <row r="10021" spans="2:33">
      <c r="B10021" s="29"/>
      <c r="D10021" s="29"/>
      <c r="E10021" s="20"/>
      <c r="F10021" s="20"/>
      <c r="AC10021" s="20"/>
      <c r="AG10021" s="29"/>
    </row>
    <row r="10022" spans="2:33">
      <c r="B10022" s="29"/>
      <c r="D10022" s="29"/>
      <c r="E10022" s="20"/>
      <c r="F10022" s="20"/>
      <c r="AC10022" s="20"/>
      <c r="AG10022" s="29"/>
    </row>
    <row r="10023" spans="2:33">
      <c r="B10023" s="29"/>
      <c r="D10023" s="29"/>
      <c r="E10023" s="20"/>
      <c r="F10023" s="20"/>
      <c r="AC10023" s="20"/>
      <c r="AG10023" s="29"/>
    </row>
    <row r="10024" spans="2:33">
      <c r="B10024" s="29"/>
      <c r="D10024" s="29"/>
      <c r="E10024" s="20"/>
      <c r="F10024" s="20"/>
      <c r="AC10024" s="20"/>
      <c r="AG10024" s="29"/>
    </row>
    <row r="10025" spans="2:33">
      <c r="B10025" s="29"/>
      <c r="D10025" s="29"/>
      <c r="E10025" s="20"/>
      <c r="F10025" s="20"/>
      <c r="AC10025" s="20"/>
      <c r="AG10025" s="29"/>
    </row>
    <row r="10026" spans="2:33">
      <c r="B10026" s="29"/>
      <c r="D10026" s="29"/>
      <c r="E10026" s="20"/>
      <c r="F10026" s="20"/>
      <c r="AC10026" s="20"/>
      <c r="AG10026" s="29"/>
    </row>
    <row r="10027" spans="2:33">
      <c r="B10027" s="29"/>
      <c r="D10027" s="29"/>
      <c r="E10027" s="20"/>
      <c r="F10027" s="20"/>
      <c r="AC10027" s="20"/>
      <c r="AG10027" s="29"/>
    </row>
    <row r="10028" spans="2:33">
      <c r="B10028" s="29"/>
      <c r="D10028" s="29"/>
      <c r="E10028" s="20"/>
      <c r="F10028" s="20"/>
      <c r="AC10028" s="20"/>
      <c r="AG10028" s="29"/>
    </row>
    <row r="10029" spans="2:33">
      <c r="B10029" s="29"/>
      <c r="D10029" s="29"/>
      <c r="E10029" s="20"/>
      <c r="F10029" s="20"/>
      <c r="AC10029" s="20"/>
      <c r="AG10029" s="29"/>
    </row>
    <row r="10030" spans="2:33">
      <c r="B10030" s="29"/>
      <c r="D10030" s="29"/>
      <c r="E10030" s="20"/>
      <c r="F10030" s="20"/>
      <c r="AC10030" s="20"/>
      <c r="AG10030" s="29"/>
    </row>
    <row r="10031" spans="2:33">
      <c r="B10031" s="29"/>
      <c r="D10031" s="29"/>
      <c r="E10031" s="20"/>
      <c r="F10031" s="20"/>
      <c r="AC10031" s="20"/>
      <c r="AG10031" s="29"/>
    </row>
    <row r="10032" spans="2:33">
      <c r="B10032" s="29"/>
      <c r="D10032" s="29"/>
      <c r="E10032" s="20"/>
      <c r="F10032" s="20"/>
      <c r="AC10032" s="20"/>
      <c r="AG10032" s="29"/>
    </row>
    <row r="10033" spans="2:33">
      <c r="B10033" s="29"/>
      <c r="D10033" s="29"/>
      <c r="E10033" s="20"/>
      <c r="F10033" s="20"/>
      <c r="AC10033" s="20"/>
      <c r="AG10033" s="29"/>
    </row>
    <row r="10034" spans="2:33">
      <c r="B10034" s="29"/>
      <c r="D10034" s="29"/>
      <c r="E10034" s="20"/>
      <c r="F10034" s="20"/>
      <c r="AC10034" s="20"/>
      <c r="AG10034" s="29"/>
    </row>
    <row r="10035" spans="2:33">
      <c r="B10035" s="29"/>
      <c r="D10035" s="29"/>
      <c r="E10035" s="20"/>
      <c r="F10035" s="20"/>
      <c r="AC10035" s="20"/>
      <c r="AG10035" s="29"/>
    </row>
    <row r="10036" spans="2:33">
      <c r="B10036" s="29"/>
      <c r="D10036" s="29"/>
      <c r="E10036" s="20"/>
      <c r="F10036" s="20"/>
      <c r="AC10036" s="20"/>
      <c r="AG10036" s="29"/>
    </row>
    <row r="10037" spans="2:33">
      <c r="B10037" s="29"/>
      <c r="D10037" s="29"/>
      <c r="E10037" s="20"/>
      <c r="F10037" s="20"/>
      <c r="AC10037" s="20"/>
      <c r="AG10037" s="29"/>
    </row>
    <row r="10038" spans="2:33">
      <c r="B10038" s="29"/>
      <c r="D10038" s="29"/>
      <c r="E10038" s="20"/>
      <c r="F10038" s="20"/>
      <c r="AC10038" s="20"/>
      <c r="AG10038" s="29"/>
    </row>
    <row r="10039" spans="2:33">
      <c r="B10039" s="29"/>
      <c r="D10039" s="29"/>
      <c r="E10039" s="20"/>
      <c r="F10039" s="20"/>
      <c r="AC10039" s="20"/>
      <c r="AG10039" s="29"/>
    </row>
    <row r="10040" spans="2:33">
      <c r="B10040" s="29"/>
      <c r="D10040" s="29"/>
      <c r="E10040" s="20"/>
      <c r="F10040" s="20"/>
      <c r="AC10040" s="20"/>
      <c r="AG10040" s="29"/>
    </row>
    <row r="10041" spans="2:33">
      <c r="B10041" s="29"/>
      <c r="D10041" s="29"/>
      <c r="E10041" s="20"/>
      <c r="F10041" s="20"/>
      <c r="AC10041" s="20"/>
      <c r="AG10041" s="29"/>
    </row>
    <row r="10042" spans="2:33">
      <c r="B10042" s="29"/>
      <c r="D10042" s="29"/>
      <c r="E10042" s="20"/>
      <c r="F10042" s="20"/>
      <c r="AC10042" s="20"/>
      <c r="AG10042" s="29"/>
    </row>
    <row r="10043" spans="2:33">
      <c r="B10043" s="29"/>
      <c r="D10043" s="29"/>
      <c r="E10043" s="20"/>
      <c r="F10043" s="20"/>
      <c r="AC10043" s="20"/>
      <c r="AG10043" s="29"/>
    </row>
    <row r="10044" spans="2:33">
      <c r="B10044" s="29"/>
      <c r="D10044" s="29"/>
      <c r="E10044" s="20"/>
      <c r="F10044" s="20"/>
      <c r="AC10044" s="20"/>
      <c r="AG10044" s="29"/>
    </row>
    <row r="10045" spans="2:33">
      <c r="B10045" s="29"/>
      <c r="D10045" s="29"/>
      <c r="E10045" s="20"/>
      <c r="F10045" s="20"/>
      <c r="AC10045" s="20"/>
      <c r="AG10045" s="29"/>
    </row>
    <row r="10046" spans="2:33">
      <c r="B10046" s="29"/>
      <c r="D10046" s="29"/>
      <c r="E10046" s="20"/>
      <c r="F10046" s="20"/>
      <c r="AC10046" s="20"/>
      <c r="AG10046" s="29"/>
    </row>
    <row r="10047" spans="2:33">
      <c r="B10047" s="29"/>
      <c r="D10047" s="29"/>
      <c r="E10047" s="20"/>
      <c r="F10047" s="20"/>
      <c r="AC10047" s="20"/>
      <c r="AG10047" s="29"/>
    </row>
    <row r="10048" spans="2:33">
      <c r="B10048" s="29"/>
      <c r="D10048" s="29"/>
      <c r="E10048" s="20"/>
      <c r="F10048" s="20"/>
      <c r="AC10048" s="20"/>
      <c r="AG10048" s="29"/>
    </row>
    <row r="10049" spans="2:33">
      <c r="B10049" s="29"/>
      <c r="D10049" s="29"/>
      <c r="E10049" s="20"/>
      <c r="F10049" s="20"/>
      <c r="AC10049" s="20"/>
      <c r="AG10049" s="29"/>
    </row>
    <row r="10050" spans="2:33">
      <c r="B10050" s="29"/>
      <c r="D10050" s="29"/>
      <c r="E10050" s="20"/>
      <c r="F10050" s="20"/>
      <c r="AC10050" s="20"/>
      <c r="AG10050" s="29"/>
    </row>
    <row r="10051" spans="2:33">
      <c r="B10051" s="29"/>
      <c r="D10051" s="29"/>
      <c r="E10051" s="20"/>
      <c r="F10051" s="20"/>
      <c r="AC10051" s="20"/>
      <c r="AG10051" s="29"/>
    </row>
    <row r="10052" spans="2:33">
      <c r="B10052" s="29"/>
      <c r="D10052" s="29"/>
      <c r="E10052" s="20"/>
      <c r="F10052" s="20"/>
      <c r="AC10052" s="20"/>
      <c r="AG10052" s="29"/>
    </row>
    <row r="10053" spans="2:33">
      <c r="B10053" s="29"/>
      <c r="D10053" s="29"/>
      <c r="E10053" s="20"/>
      <c r="F10053" s="20"/>
      <c r="AC10053" s="20"/>
      <c r="AG10053" s="29"/>
    </row>
    <row r="10054" spans="2:33">
      <c r="B10054" s="29"/>
      <c r="D10054" s="29"/>
      <c r="E10054" s="20"/>
      <c r="F10054" s="20"/>
      <c r="AC10054" s="20"/>
      <c r="AG10054" s="29"/>
    </row>
    <row r="10055" spans="2:33">
      <c r="B10055" s="29"/>
      <c r="D10055" s="29"/>
      <c r="E10055" s="20"/>
      <c r="F10055" s="20"/>
      <c r="AC10055" s="20"/>
      <c r="AG10055" s="29"/>
    </row>
    <row r="10056" spans="2:33">
      <c r="B10056" s="29"/>
      <c r="D10056" s="29"/>
      <c r="E10056" s="20"/>
      <c r="F10056" s="20"/>
      <c r="AC10056" s="20"/>
      <c r="AG10056" s="29"/>
    </row>
    <row r="10057" spans="2:33">
      <c r="B10057" s="29"/>
      <c r="D10057" s="29"/>
      <c r="E10057" s="20"/>
      <c r="F10057" s="20"/>
      <c r="AC10057" s="20"/>
      <c r="AG10057" s="29"/>
    </row>
    <row r="10058" spans="2:33">
      <c r="B10058" s="29"/>
      <c r="D10058" s="29"/>
      <c r="E10058" s="20"/>
      <c r="F10058" s="20"/>
      <c r="AC10058" s="20"/>
      <c r="AG10058" s="29"/>
    </row>
    <row r="10059" spans="2:33">
      <c r="B10059" s="29"/>
      <c r="D10059" s="29"/>
      <c r="E10059" s="20"/>
      <c r="F10059" s="20"/>
      <c r="AC10059" s="20"/>
      <c r="AG10059" s="29"/>
    </row>
    <row r="10060" spans="2:33">
      <c r="B10060" s="29"/>
      <c r="D10060" s="29"/>
      <c r="E10060" s="20"/>
      <c r="F10060" s="20"/>
      <c r="AC10060" s="20"/>
      <c r="AG10060" s="29"/>
    </row>
    <row r="10061" spans="2:33">
      <c r="B10061" s="29"/>
      <c r="D10061" s="29"/>
      <c r="E10061" s="20"/>
      <c r="F10061" s="20"/>
      <c r="AC10061" s="20"/>
      <c r="AG10061" s="29"/>
    </row>
    <row r="10062" spans="2:33">
      <c r="B10062" s="29"/>
      <c r="D10062" s="29"/>
      <c r="E10062" s="20"/>
      <c r="F10062" s="20"/>
      <c r="AC10062" s="20"/>
      <c r="AG10062" s="29"/>
    </row>
    <row r="10063" spans="2:33">
      <c r="B10063" s="29"/>
      <c r="D10063" s="29"/>
      <c r="E10063" s="20"/>
      <c r="F10063" s="20"/>
      <c r="AC10063" s="20"/>
      <c r="AG10063" s="29"/>
    </row>
    <row r="10064" spans="2:33">
      <c r="B10064" s="29"/>
      <c r="D10064" s="29"/>
      <c r="E10064" s="20"/>
      <c r="F10064" s="20"/>
      <c r="AC10064" s="20"/>
      <c r="AG10064" s="29"/>
    </row>
    <row r="10065" spans="2:33">
      <c r="B10065" s="29"/>
      <c r="D10065" s="29"/>
      <c r="E10065" s="20"/>
      <c r="F10065" s="20"/>
      <c r="AC10065" s="20"/>
      <c r="AG10065" s="29"/>
    </row>
    <row r="10066" spans="2:33">
      <c r="B10066" s="29"/>
      <c r="D10066" s="29"/>
      <c r="E10066" s="20"/>
      <c r="F10066" s="20"/>
      <c r="AC10066" s="20"/>
      <c r="AG10066" s="29"/>
    </row>
    <row r="10067" spans="2:33">
      <c r="B10067" s="29"/>
      <c r="D10067" s="29"/>
      <c r="E10067" s="20"/>
      <c r="F10067" s="20"/>
      <c r="AC10067" s="20"/>
      <c r="AG10067" s="29"/>
    </row>
    <row r="10068" spans="2:33">
      <c r="B10068" s="29"/>
      <c r="D10068" s="29"/>
      <c r="E10068" s="20"/>
      <c r="F10068" s="20"/>
      <c r="AC10068" s="20"/>
      <c r="AG10068" s="29"/>
    </row>
    <row r="10069" spans="2:33">
      <c r="B10069" s="29"/>
      <c r="D10069" s="29"/>
      <c r="E10069" s="20"/>
      <c r="F10069" s="20"/>
      <c r="AC10069" s="20"/>
      <c r="AG10069" s="29"/>
    </row>
    <row r="10070" spans="2:33">
      <c r="B10070" s="29"/>
      <c r="D10070" s="29"/>
      <c r="E10070" s="20"/>
      <c r="F10070" s="20"/>
      <c r="AC10070" s="20"/>
      <c r="AG10070" s="29"/>
    </row>
    <row r="10071" spans="2:33">
      <c r="B10071" s="29"/>
      <c r="D10071" s="29"/>
      <c r="E10071" s="20"/>
      <c r="F10071" s="20"/>
      <c r="AC10071" s="20"/>
      <c r="AG10071" s="29"/>
    </row>
    <row r="10072" spans="2:33">
      <c r="B10072" s="29"/>
      <c r="D10072" s="29"/>
      <c r="E10072" s="20"/>
      <c r="F10072" s="20"/>
      <c r="AC10072" s="20"/>
      <c r="AG10072" s="29"/>
    </row>
    <row r="10073" spans="2:33">
      <c r="B10073" s="29"/>
      <c r="D10073" s="29"/>
      <c r="E10073" s="20"/>
      <c r="F10073" s="20"/>
      <c r="AC10073" s="20"/>
      <c r="AG10073" s="29"/>
    </row>
    <row r="10074" spans="2:33">
      <c r="B10074" s="29"/>
      <c r="D10074" s="29"/>
      <c r="E10074" s="20"/>
      <c r="F10074" s="20"/>
      <c r="AC10074" s="20"/>
      <c r="AG10074" s="29"/>
    </row>
    <row r="10075" spans="2:33">
      <c r="B10075" s="29"/>
      <c r="D10075" s="29"/>
      <c r="E10075" s="20"/>
      <c r="F10075" s="20"/>
      <c r="AC10075" s="20"/>
      <c r="AG10075" s="29"/>
    </row>
    <row r="10076" spans="2:33">
      <c r="B10076" s="29"/>
      <c r="D10076" s="29"/>
      <c r="E10076" s="20"/>
      <c r="F10076" s="20"/>
      <c r="AC10076" s="20"/>
      <c r="AG10076" s="29"/>
    </row>
    <row r="10077" spans="2:33">
      <c r="B10077" s="29"/>
      <c r="D10077" s="29"/>
      <c r="E10077" s="20"/>
      <c r="F10077" s="20"/>
      <c r="AC10077" s="20"/>
      <c r="AG10077" s="29"/>
    </row>
    <row r="10078" spans="2:33">
      <c r="B10078" s="29"/>
      <c r="D10078" s="29"/>
      <c r="E10078" s="20"/>
      <c r="F10078" s="20"/>
      <c r="AC10078" s="20"/>
      <c r="AG10078" s="29"/>
    </row>
    <row r="10079" spans="2:33">
      <c r="B10079" s="29"/>
      <c r="D10079" s="29"/>
      <c r="E10079" s="20"/>
      <c r="F10079" s="20"/>
      <c r="AC10079" s="20"/>
      <c r="AG10079" s="29"/>
    </row>
    <row r="10080" spans="2:33">
      <c r="B10080" s="29"/>
      <c r="D10080" s="29"/>
      <c r="E10080" s="20"/>
      <c r="F10080" s="20"/>
      <c r="AC10080" s="20"/>
      <c r="AG10080" s="29"/>
    </row>
    <row r="10081" spans="2:33">
      <c r="B10081" s="29"/>
      <c r="D10081" s="29"/>
      <c r="E10081" s="20"/>
      <c r="F10081" s="20"/>
      <c r="AC10081" s="20"/>
      <c r="AG10081" s="29"/>
    </row>
    <row r="10082" spans="2:33">
      <c r="B10082" s="29"/>
      <c r="D10082" s="29"/>
      <c r="E10082" s="20"/>
      <c r="F10082" s="20"/>
      <c r="AC10082" s="20"/>
      <c r="AG10082" s="29"/>
    </row>
    <row r="10083" spans="2:33">
      <c r="B10083" s="29"/>
      <c r="D10083" s="29"/>
      <c r="E10083" s="20"/>
      <c r="F10083" s="20"/>
      <c r="AC10083" s="20"/>
      <c r="AG10083" s="29"/>
    </row>
    <row r="10084" spans="2:33">
      <c r="B10084" s="29"/>
      <c r="D10084" s="29"/>
      <c r="E10084" s="20"/>
      <c r="F10084" s="20"/>
      <c r="AC10084" s="20"/>
      <c r="AG10084" s="29"/>
    </row>
    <row r="10085" spans="2:33">
      <c r="B10085" s="29"/>
      <c r="D10085" s="29"/>
      <c r="E10085" s="20"/>
      <c r="F10085" s="20"/>
      <c r="AC10085" s="20"/>
      <c r="AG10085" s="29"/>
    </row>
    <row r="10086" spans="2:33">
      <c r="B10086" s="29"/>
      <c r="D10086" s="29"/>
      <c r="E10086" s="20"/>
      <c r="F10086" s="20"/>
      <c r="AC10086" s="20"/>
      <c r="AG10086" s="29"/>
    </row>
    <row r="10087" spans="2:33">
      <c r="B10087" s="29"/>
      <c r="D10087" s="29"/>
      <c r="E10087" s="20"/>
      <c r="F10087" s="20"/>
      <c r="AC10087" s="20"/>
      <c r="AG10087" s="29"/>
    </row>
    <row r="10088" spans="2:33">
      <c r="B10088" s="29"/>
      <c r="D10088" s="29"/>
      <c r="E10088" s="20"/>
      <c r="F10088" s="20"/>
      <c r="AC10088" s="20"/>
      <c r="AG10088" s="29"/>
    </row>
    <row r="10089" spans="2:33">
      <c r="B10089" s="29"/>
      <c r="D10089" s="29"/>
      <c r="E10089" s="20"/>
      <c r="F10089" s="20"/>
      <c r="AC10089" s="20"/>
      <c r="AG10089" s="29"/>
    </row>
    <row r="10090" spans="2:33">
      <c r="B10090" s="29"/>
      <c r="D10090" s="29"/>
      <c r="E10090" s="20"/>
      <c r="F10090" s="20"/>
      <c r="AC10090" s="20"/>
      <c r="AG10090" s="29"/>
    </row>
    <row r="10091" spans="2:33">
      <c r="B10091" s="29"/>
      <c r="D10091" s="29"/>
      <c r="E10091" s="20"/>
      <c r="F10091" s="20"/>
      <c r="AC10091" s="20"/>
      <c r="AG10091" s="29"/>
    </row>
    <row r="10092" spans="2:33">
      <c r="B10092" s="29"/>
      <c r="D10092" s="29"/>
      <c r="E10092" s="20"/>
      <c r="F10092" s="20"/>
      <c r="AC10092" s="20"/>
      <c r="AG10092" s="29"/>
    </row>
    <row r="10093" spans="2:33">
      <c r="B10093" s="29"/>
      <c r="D10093" s="29"/>
      <c r="E10093" s="20"/>
      <c r="F10093" s="20"/>
      <c r="AC10093" s="20"/>
      <c r="AG10093" s="29"/>
    </row>
    <row r="10094" spans="2:33">
      <c r="B10094" s="29"/>
      <c r="D10094" s="29"/>
      <c r="E10094" s="20"/>
      <c r="F10094" s="20"/>
      <c r="AC10094" s="20"/>
      <c r="AG10094" s="29"/>
    </row>
    <row r="10095" spans="2:33">
      <c r="B10095" s="29"/>
      <c r="D10095" s="29"/>
      <c r="E10095" s="20"/>
      <c r="F10095" s="20"/>
      <c r="AC10095" s="20"/>
      <c r="AG10095" s="29"/>
    </row>
    <row r="10096" spans="2:33">
      <c r="B10096" s="29"/>
      <c r="D10096" s="29"/>
      <c r="E10096" s="20"/>
      <c r="F10096" s="20"/>
      <c r="AC10096" s="20"/>
      <c r="AG10096" s="29"/>
    </row>
    <row r="10097" spans="2:33">
      <c r="B10097" s="29"/>
      <c r="D10097" s="29"/>
      <c r="E10097" s="20"/>
      <c r="F10097" s="20"/>
      <c r="AC10097" s="20"/>
      <c r="AG10097" s="29"/>
    </row>
    <row r="10098" spans="2:33">
      <c r="B10098" s="29"/>
      <c r="D10098" s="29"/>
      <c r="E10098" s="20"/>
      <c r="F10098" s="20"/>
      <c r="AC10098" s="20"/>
      <c r="AG10098" s="29"/>
    </row>
    <row r="10099" spans="2:33">
      <c r="B10099" s="29"/>
      <c r="D10099" s="29"/>
      <c r="E10099" s="20"/>
      <c r="F10099" s="20"/>
      <c r="AC10099" s="20"/>
      <c r="AG10099" s="29"/>
    </row>
    <row r="10100" spans="2:33">
      <c r="B10100" s="29"/>
      <c r="D10100" s="29"/>
      <c r="E10100" s="20"/>
      <c r="F10100" s="20"/>
      <c r="AC10100" s="20"/>
      <c r="AG10100" s="29"/>
    </row>
    <row r="10101" spans="2:33">
      <c r="B10101" s="29"/>
      <c r="D10101" s="29"/>
      <c r="E10101" s="20"/>
      <c r="F10101" s="20"/>
      <c r="AC10101" s="20"/>
      <c r="AG10101" s="29"/>
    </row>
    <row r="10102" spans="2:33">
      <c r="B10102" s="29"/>
      <c r="D10102" s="29"/>
      <c r="E10102" s="20"/>
      <c r="F10102" s="20"/>
      <c r="AC10102" s="20"/>
      <c r="AG10102" s="29"/>
    </row>
    <row r="10103" spans="2:33">
      <c r="B10103" s="29"/>
      <c r="D10103" s="29"/>
      <c r="E10103" s="20"/>
      <c r="F10103" s="20"/>
      <c r="AC10103" s="20"/>
      <c r="AG10103" s="29"/>
    </row>
    <row r="10104" spans="2:33">
      <c r="B10104" s="29"/>
      <c r="D10104" s="29"/>
      <c r="E10104" s="20"/>
      <c r="F10104" s="20"/>
      <c r="AC10104" s="20"/>
      <c r="AG10104" s="29"/>
    </row>
    <row r="10105" spans="2:33">
      <c r="B10105" s="29"/>
      <c r="D10105" s="29"/>
      <c r="E10105" s="20"/>
      <c r="F10105" s="20"/>
      <c r="AC10105" s="20"/>
      <c r="AG10105" s="29"/>
    </row>
    <row r="10106" spans="2:33">
      <c r="B10106" s="29"/>
      <c r="D10106" s="29"/>
      <c r="E10106" s="20"/>
      <c r="F10106" s="20"/>
      <c r="AC10106" s="20"/>
      <c r="AG10106" s="29"/>
    </row>
    <row r="10107" spans="2:33">
      <c r="B10107" s="29"/>
      <c r="D10107" s="29"/>
      <c r="E10107" s="20"/>
      <c r="F10107" s="20"/>
      <c r="AC10107" s="20"/>
      <c r="AG10107" s="29"/>
    </row>
    <row r="10108" spans="2:33">
      <c r="B10108" s="29"/>
      <c r="D10108" s="29"/>
      <c r="E10108" s="20"/>
      <c r="F10108" s="20"/>
      <c r="AC10108" s="20"/>
      <c r="AG10108" s="29"/>
    </row>
    <row r="10109" spans="2:33">
      <c r="B10109" s="29"/>
      <c r="D10109" s="29"/>
      <c r="E10109" s="20"/>
      <c r="F10109" s="20"/>
      <c r="AC10109" s="20"/>
      <c r="AG10109" s="29"/>
    </row>
    <row r="10110" spans="2:33">
      <c r="B10110" s="29"/>
      <c r="D10110" s="29"/>
      <c r="E10110" s="20"/>
      <c r="F10110" s="20"/>
      <c r="AC10110" s="20"/>
      <c r="AG10110" s="29"/>
    </row>
    <row r="10111" spans="2:33">
      <c r="B10111" s="29"/>
      <c r="D10111" s="29"/>
      <c r="E10111" s="20"/>
      <c r="F10111" s="20"/>
      <c r="AC10111" s="20"/>
      <c r="AG10111" s="29"/>
    </row>
    <row r="10112" spans="2:33">
      <c r="B10112" s="29"/>
      <c r="D10112" s="29"/>
      <c r="E10112" s="20"/>
      <c r="F10112" s="20"/>
      <c r="AC10112" s="20"/>
      <c r="AG10112" s="29"/>
    </row>
    <row r="10113" spans="2:33">
      <c r="B10113" s="29"/>
      <c r="D10113" s="29"/>
      <c r="E10113" s="20"/>
      <c r="F10113" s="20"/>
      <c r="AC10113" s="20"/>
      <c r="AG10113" s="29"/>
    </row>
    <row r="10114" spans="2:33">
      <c r="B10114" s="29"/>
      <c r="D10114" s="29"/>
      <c r="E10114" s="20"/>
      <c r="F10114" s="20"/>
      <c r="AC10114" s="20"/>
      <c r="AG10114" s="29"/>
    </row>
    <row r="10115" spans="2:33">
      <c r="B10115" s="29"/>
      <c r="D10115" s="29"/>
      <c r="E10115" s="20"/>
      <c r="F10115" s="20"/>
      <c r="AC10115" s="20"/>
      <c r="AG10115" s="29"/>
    </row>
    <row r="10116" spans="2:33">
      <c r="B10116" s="29"/>
      <c r="D10116" s="29"/>
      <c r="E10116" s="20"/>
      <c r="F10116" s="20"/>
      <c r="AC10116" s="20"/>
      <c r="AG10116" s="29"/>
    </row>
    <row r="10117" spans="2:33">
      <c r="B10117" s="29"/>
      <c r="D10117" s="29"/>
      <c r="E10117" s="20"/>
      <c r="F10117" s="20"/>
      <c r="AC10117" s="20"/>
      <c r="AG10117" s="29"/>
    </row>
    <row r="10118" spans="2:33">
      <c r="B10118" s="29"/>
      <c r="D10118" s="29"/>
      <c r="E10118" s="20"/>
      <c r="F10118" s="20"/>
      <c r="AC10118" s="20"/>
      <c r="AG10118" s="29"/>
    </row>
    <row r="10119" spans="2:33">
      <c r="B10119" s="29"/>
      <c r="D10119" s="29"/>
      <c r="E10119" s="20"/>
      <c r="F10119" s="20"/>
      <c r="AC10119" s="20"/>
      <c r="AG10119" s="29"/>
    </row>
    <row r="10120" spans="2:33">
      <c r="B10120" s="29"/>
      <c r="D10120" s="29"/>
      <c r="E10120" s="20"/>
      <c r="F10120" s="20"/>
      <c r="AC10120" s="20"/>
      <c r="AG10120" s="29"/>
    </row>
    <row r="10121" spans="2:33">
      <c r="B10121" s="29"/>
      <c r="D10121" s="29"/>
      <c r="E10121" s="20"/>
      <c r="F10121" s="20"/>
      <c r="AC10121" s="20"/>
      <c r="AG10121" s="29"/>
    </row>
    <row r="10122" spans="2:33">
      <c r="B10122" s="29"/>
      <c r="D10122" s="29"/>
      <c r="E10122" s="20"/>
      <c r="F10122" s="20"/>
      <c r="AC10122" s="20"/>
      <c r="AG10122" s="29"/>
    </row>
    <row r="10123" spans="2:33">
      <c r="B10123" s="29"/>
      <c r="D10123" s="29"/>
      <c r="E10123" s="20"/>
      <c r="F10123" s="20"/>
      <c r="AC10123" s="20"/>
      <c r="AG10123" s="29"/>
    </row>
    <row r="10124" spans="2:33">
      <c r="B10124" s="29"/>
      <c r="D10124" s="29"/>
      <c r="E10124" s="20"/>
      <c r="F10124" s="20"/>
      <c r="AC10124" s="20"/>
      <c r="AG10124" s="29"/>
    </row>
    <row r="10125" spans="2:33">
      <c r="B10125" s="29"/>
      <c r="D10125" s="29"/>
      <c r="E10125" s="20"/>
      <c r="F10125" s="20"/>
      <c r="AC10125" s="20"/>
      <c r="AG10125" s="29"/>
    </row>
    <row r="10126" spans="2:33">
      <c r="B10126" s="29"/>
      <c r="D10126" s="29"/>
      <c r="E10126" s="20"/>
      <c r="F10126" s="20"/>
      <c r="AC10126" s="20"/>
      <c r="AG10126" s="29"/>
    </row>
    <row r="10127" spans="2:33">
      <c r="B10127" s="29"/>
      <c r="D10127" s="29"/>
      <c r="E10127" s="20"/>
      <c r="F10127" s="20"/>
      <c r="AC10127" s="20"/>
      <c r="AG10127" s="29"/>
    </row>
    <row r="10128" spans="2:33">
      <c r="B10128" s="29"/>
      <c r="D10128" s="29"/>
      <c r="E10128" s="20"/>
      <c r="F10128" s="20"/>
      <c r="AC10128" s="20"/>
      <c r="AG10128" s="29"/>
    </row>
    <row r="10129" spans="2:33">
      <c r="B10129" s="29"/>
      <c r="D10129" s="29"/>
      <c r="E10129" s="20"/>
      <c r="F10129" s="20"/>
      <c r="AC10129" s="20"/>
      <c r="AG10129" s="29"/>
    </row>
    <row r="10130" spans="2:33">
      <c r="B10130" s="29"/>
      <c r="D10130" s="29"/>
      <c r="E10130" s="20"/>
      <c r="F10130" s="20"/>
      <c r="AC10130" s="20"/>
      <c r="AG10130" s="29"/>
    </row>
    <row r="10131" spans="2:33">
      <c r="B10131" s="29"/>
      <c r="D10131" s="29"/>
      <c r="E10131" s="20"/>
      <c r="F10131" s="20"/>
      <c r="AC10131" s="20"/>
      <c r="AG10131" s="29"/>
    </row>
    <row r="10132" spans="2:33">
      <c r="B10132" s="29"/>
      <c r="D10132" s="29"/>
      <c r="E10132" s="20"/>
      <c r="F10132" s="20"/>
      <c r="AC10132" s="20"/>
      <c r="AG10132" s="29"/>
    </row>
    <row r="10133" spans="2:33">
      <c r="B10133" s="29"/>
      <c r="D10133" s="29"/>
      <c r="E10133" s="20"/>
      <c r="F10133" s="20"/>
      <c r="AC10133" s="20"/>
      <c r="AG10133" s="29"/>
    </row>
    <row r="10134" spans="2:33">
      <c r="B10134" s="29"/>
      <c r="D10134" s="29"/>
      <c r="E10134" s="20"/>
      <c r="F10134" s="20"/>
      <c r="AC10134" s="20"/>
      <c r="AG10134" s="29"/>
    </row>
    <row r="10135" spans="2:33">
      <c r="B10135" s="29"/>
      <c r="D10135" s="29"/>
      <c r="E10135" s="20"/>
      <c r="F10135" s="20"/>
      <c r="AC10135" s="20"/>
      <c r="AG10135" s="29"/>
    </row>
    <row r="10136" spans="2:33">
      <c r="B10136" s="29"/>
      <c r="D10136" s="29"/>
      <c r="E10136" s="20"/>
      <c r="F10136" s="20"/>
      <c r="AC10136" s="20"/>
      <c r="AG10136" s="29"/>
    </row>
    <row r="10137" spans="2:33">
      <c r="B10137" s="29"/>
      <c r="D10137" s="29"/>
      <c r="E10137" s="20"/>
      <c r="F10137" s="20"/>
      <c r="AC10137" s="20"/>
      <c r="AG10137" s="29"/>
    </row>
    <row r="10138" spans="2:33">
      <c r="B10138" s="29"/>
      <c r="D10138" s="29"/>
      <c r="E10138" s="20"/>
      <c r="F10138" s="20"/>
      <c r="AC10138" s="20"/>
      <c r="AG10138" s="29"/>
    </row>
    <row r="10139" spans="2:33">
      <c r="B10139" s="29"/>
      <c r="D10139" s="29"/>
      <c r="E10139" s="20"/>
      <c r="F10139" s="20"/>
      <c r="AC10139" s="20"/>
      <c r="AG10139" s="29"/>
    </row>
    <row r="10140" spans="2:33">
      <c r="B10140" s="29"/>
      <c r="D10140" s="29"/>
      <c r="E10140" s="20"/>
      <c r="F10140" s="20"/>
      <c r="AC10140" s="20"/>
      <c r="AG10140" s="29"/>
    </row>
    <row r="10141" spans="2:33">
      <c r="B10141" s="29"/>
      <c r="D10141" s="29"/>
      <c r="E10141" s="20"/>
      <c r="F10141" s="20"/>
      <c r="AC10141" s="20"/>
      <c r="AG10141" s="29"/>
    </row>
    <row r="10142" spans="2:33">
      <c r="B10142" s="29"/>
      <c r="D10142" s="29"/>
      <c r="E10142" s="20"/>
      <c r="F10142" s="20"/>
      <c r="AC10142" s="20"/>
      <c r="AG10142" s="29"/>
    </row>
    <row r="10143" spans="2:33">
      <c r="B10143" s="29"/>
      <c r="D10143" s="29"/>
      <c r="E10143" s="20"/>
      <c r="F10143" s="20"/>
      <c r="AC10143" s="20"/>
      <c r="AG10143" s="29"/>
    </row>
    <row r="10144" spans="2:33">
      <c r="B10144" s="29"/>
      <c r="D10144" s="29"/>
      <c r="E10144" s="20"/>
      <c r="F10144" s="20"/>
      <c r="AC10144" s="20"/>
      <c r="AG10144" s="29"/>
    </row>
    <row r="10145" spans="2:33">
      <c r="B10145" s="29"/>
      <c r="D10145" s="29"/>
      <c r="E10145" s="20"/>
      <c r="F10145" s="20"/>
      <c r="AC10145" s="20"/>
      <c r="AG10145" s="29"/>
    </row>
    <row r="10146" spans="2:33">
      <c r="B10146" s="29"/>
      <c r="D10146" s="29"/>
      <c r="E10146" s="20"/>
      <c r="F10146" s="20"/>
      <c r="AC10146" s="20"/>
      <c r="AG10146" s="29"/>
    </row>
    <row r="10147" spans="2:33">
      <c r="B10147" s="29"/>
      <c r="D10147" s="29"/>
      <c r="E10147" s="20"/>
      <c r="F10147" s="20"/>
      <c r="AC10147" s="20"/>
      <c r="AG10147" s="29"/>
    </row>
    <row r="10148" spans="2:33">
      <c r="B10148" s="29"/>
      <c r="D10148" s="29"/>
      <c r="E10148" s="20"/>
      <c r="F10148" s="20"/>
      <c r="AC10148" s="20"/>
      <c r="AG10148" s="29"/>
    </row>
    <row r="10149" spans="2:33">
      <c r="B10149" s="29"/>
      <c r="D10149" s="29"/>
      <c r="E10149" s="20"/>
      <c r="F10149" s="20"/>
      <c r="AC10149" s="20"/>
      <c r="AG10149" s="29"/>
    </row>
    <row r="10150" spans="2:33">
      <c r="B10150" s="29"/>
      <c r="D10150" s="29"/>
      <c r="E10150" s="20"/>
      <c r="F10150" s="20"/>
      <c r="AC10150" s="20"/>
      <c r="AG10150" s="29"/>
    </row>
    <row r="10151" spans="2:33">
      <c r="B10151" s="29"/>
      <c r="D10151" s="29"/>
      <c r="E10151" s="20"/>
      <c r="F10151" s="20"/>
      <c r="AC10151" s="20"/>
      <c r="AG10151" s="29"/>
    </row>
    <row r="10152" spans="2:33">
      <c r="B10152" s="29"/>
      <c r="D10152" s="29"/>
      <c r="E10152" s="20"/>
      <c r="F10152" s="20"/>
      <c r="AC10152" s="20"/>
      <c r="AG10152" s="29"/>
    </row>
    <row r="10153" spans="2:33">
      <c r="B10153" s="29"/>
      <c r="D10153" s="29"/>
      <c r="E10153" s="20"/>
      <c r="F10153" s="20"/>
      <c r="AC10153" s="20"/>
      <c r="AG10153" s="29"/>
    </row>
    <row r="10154" spans="2:33">
      <c r="B10154" s="29"/>
      <c r="D10154" s="29"/>
      <c r="E10154" s="20"/>
      <c r="F10154" s="20"/>
      <c r="AC10154" s="20"/>
      <c r="AG10154" s="29"/>
    </row>
    <row r="10155" spans="2:33">
      <c r="B10155" s="29"/>
      <c r="D10155" s="29"/>
      <c r="E10155" s="20"/>
      <c r="F10155" s="20"/>
      <c r="AC10155" s="20"/>
      <c r="AG10155" s="29"/>
    </row>
    <row r="10156" spans="2:33">
      <c r="B10156" s="29"/>
      <c r="D10156" s="29"/>
      <c r="E10156" s="20"/>
      <c r="F10156" s="20"/>
      <c r="AC10156" s="20"/>
      <c r="AG10156" s="29"/>
    </row>
    <row r="10157" spans="2:33">
      <c r="B10157" s="29"/>
      <c r="D10157" s="29"/>
      <c r="E10157" s="20"/>
      <c r="F10157" s="20"/>
      <c r="AC10157" s="20"/>
      <c r="AG10157" s="29"/>
    </row>
    <row r="10158" spans="2:33">
      <c r="B10158" s="29"/>
      <c r="D10158" s="29"/>
      <c r="E10158" s="20"/>
      <c r="F10158" s="20"/>
      <c r="AC10158" s="20"/>
      <c r="AG10158" s="29"/>
    </row>
    <row r="10159" spans="2:33">
      <c r="B10159" s="29"/>
      <c r="D10159" s="29"/>
      <c r="E10159" s="20"/>
      <c r="F10159" s="20"/>
      <c r="AC10159" s="20"/>
      <c r="AG10159" s="29"/>
    </row>
    <row r="10160" spans="2:33">
      <c r="B10160" s="29"/>
      <c r="D10160" s="29"/>
      <c r="E10160" s="20"/>
      <c r="F10160" s="20"/>
      <c r="AC10160" s="20"/>
      <c r="AG10160" s="29"/>
    </row>
    <row r="10161" spans="2:33">
      <c r="B10161" s="29"/>
      <c r="D10161" s="29"/>
      <c r="E10161" s="20"/>
      <c r="F10161" s="20"/>
      <c r="AC10161" s="20"/>
      <c r="AG10161" s="29"/>
    </row>
    <row r="10162" spans="2:33">
      <c r="B10162" s="29"/>
      <c r="D10162" s="29"/>
      <c r="E10162" s="20"/>
      <c r="F10162" s="20"/>
      <c r="AC10162" s="20"/>
      <c r="AG10162" s="29"/>
    </row>
    <row r="10163" spans="2:33">
      <c r="B10163" s="29"/>
      <c r="D10163" s="29"/>
      <c r="E10163" s="20"/>
      <c r="F10163" s="20"/>
      <c r="AC10163" s="20"/>
      <c r="AG10163" s="29"/>
    </row>
    <row r="10164" spans="2:33">
      <c r="B10164" s="29"/>
      <c r="D10164" s="29"/>
      <c r="E10164" s="20"/>
      <c r="F10164" s="20"/>
      <c r="AC10164" s="20"/>
      <c r="AG10164" s="29"/>
    </row>
    <row r="10165" spans="2:33">
      <c r="B10165" s="29"/>
      <c r="D10165" s="29"/>
      <c r="E10165" s="20"/>
      <c r="F10165" s="20"/>
      <c r="AC10165" s="20"/>
      <c r="AG10165" s="29"/>
    </row>
    <row r="10166" spans="2:33">
      <c r="B10166" s="29"/>
      <c r="D10166" s="29"/>
      <c r="E10166" s="20"/>
      <c r="F10166" s="20"/>
      <c r="AC10166" s="20"/>
      <c r="AG10166" s="29"/>
    </row>
    <row r="10167" spans="2:33">
      <c r="B10167" s="29"/>
      <c r="D10167" s="29"/>
      <c r="E10167" s="20"/>
      <c r="F10167" s="20"/>
      <c r="AC10167" s="20"/>
      <c r="AG10167" s="29"/>
    </row>
    <row r="10168" spans="2:33">
      <c r="B10168" s="29"/>
      <c r="D10168" s="29"/>
      <c r="E10168" s="20"/>
      <c r="F10168" s="20"/>
      <c r="AC10168" s="20"/>
      <c r="AG10168" s="29"/>
    </row>
    <row r="10169" spans="2:33">
      <c r="B10169" s="29"/>
      <c r="D10169" s="29"/>
      <c r="E10169" s="20"/>
      <c r="F10169" s="20"/>
      <c r="AC10169" s="20"/>
      <c r="AG10169" s="29"/>
    </row>
    <row r="10170" spans="2:33">
      <c r="B10170" s="29"/>
      <c r="D10170" s="29"/>
      <c r="E10170" s="20"/>
      <c r="F10170" s="20"/>
      <c r="AC10170" s="20"/>
      <c r="AG10170" s="29"/>
    </row>
    <row r="10171" spans="2:33">
      <c r="B10171" s="29"/>
      <c r="D10171" s="29"/>
      <c r="E10171" s="20"/>
      <c r="F10171" s="20"/>
      <c r="AC10171" s="20"/>
      <c r="AG10171" s="29"/>
    </row>
    <row r="10172" spans="2:33">
      <c r="B10172" s="29"/>
      <c r="D10172" s="29"/>
      <c r="E10172" s="20"/>
      <c r="F10172" s="20"/>
      <c r="AC10172" s="20"/>
      <c r="AG10172" s="29"/>
    </row>
    <row r="10173" spans="2:33">
      <c r="B10173" s="29"/>
      <c r="D10173" s="29"/>
      <c r="E10173" s="20"/>
      <c r="F10173" s="20"/>
      <c r="AC10173" s="20"/>
      <c r="AG10173" s="29"/>
    </row>
    <row r="10174" spans="2:33">
      <c r="B10174" s="29"/>
      <c r="D10174" s="29"/>
      <c r="E10174" s="20"/>
      <c r="F10174" s="20"/>
      <c r="AC10174" s="20"/>
      <c r="AG10174" s="29"/>
    </row>
    <row r="10175" spans="2:33">
      <c r="B10175" s="29"/>
      <c r="D10175" s="29"/>
      <c r="E10175" s="20"/>
      <c r="F10175" s="20"/>
      <c r="AC10175" s="20"/>
      <c r="AG10175" s="29"/>
    </row>
    <row r="10176" spans="2:33">
      <c r="B10176" s="29"/>
      <c r="D10176" s="29"/>
      <c r="E10176" s="20"/>
      <c r="F10176" s="20"/>
      <c r="AC10176" s="20"/>
      <c r="AG10176" s="29"/>
    </row>
    <row r="10177" spans="2:33">
      <c r="B10177" s="29"/>
      <c r="D10177" s="29"/>
      <c r="E10177" s="20"/>
      <c r="F10177" s="20"/>
      <c r="AC10177" s="20"/>
      <c r="AG10177" s="29"/>
    </row>
    <row r="10178" spans="2:33">
      <c r="B10178" s="29"/>
      <c r="D10178" s="29"/>
      <c r="E10178" s="20"/>
      <c r="F10178" s="20"/>
      <c r="AC10178" s="20"/>
      <c r="AG10178" s="29"/>
    </row>
    <row r="10179" spans="2:33">
      <c r="B10179" s="29"/>
      <c r="D10179" s="29"/>
      <c r="E10179" s="20"/>
      <c r="F10179" s="20"/>
      <c r="AC10179" s="20"/>
      <c r="AG10179" s="29"/>
    </row>
    <row r="10180" spans="2:33">
      <c r="B10180" s="29"/>
      <c r="D10180" s="29"/>
      <c r="E10180" s="20"/>
      <c r="F10180" s="20"/>
      <c r="AC10180" s="20"/>
      <c r="AG10180" s="29"/>
    </row>
    <row r="10181" spans="2:33">
      <c r="B10181" s="29"/>
      <c r="D10181" s="29"/>
      <c r="E10181" s="20"/>
      <c r="F10181" s="20"/>
      <c r="AC10181" s="20"/>
      <c r="AG10181" s="29"/>
    </row>
    <row r="10182" spans="2:33">
      <c r="B10182" s="29"/>
      <c r="D10182" s="29"/>
      <c r="E10182" s="20"/>
      <c r="F10182" s="20"/>
      <c r="AC10182" s="20"/>
      <c r="AG10182" s="29"/>
    </row>
    <row r="10183" spans="2:33">
      <c r="B10183" s="29"/>
      <c r="D10183" s="29"/>
      <c r="E10183" s="20"/>
      <c r="F10183" s="20"/>
      <c r="AC10183" s="20"/>
      <c r="AG10183" s="29"/>
    </row>
    <row r="10184" spans="2:33">
      <c r="B10184" s="29"/>
      <c r="D10184" s="29"/>
      <c r="E10184" s="20"/>
      <c r="F10184" s="20"/>
      <c r="AC10184" s="20"/>
      <c r="AG10184" s="29"/>
    </row>
    <row r="10185" spans="2:33">
      <c r="B10185" s="29"/>
      <c r="D10185" s="29"/>
      <c r="E10185" s="20"/>
      <c r="F10185" s="20"/>
      <c r="AC10185" s="20"/>
      <c r="AG10185" s="29"/>
    </row>
    <row r="10186" spans="2:33">
      <c r="B10186" s="29"/>
      <c r="D10186" s="29"/>
      <c r="E10186" s="20"/>
      <c r="F10186" s="20"/>
      <c r="AC10186" s="20"/>
      <c r="AG10186" s="29"/>
    </row>
    <row r="10187" spans="2:33">
      <c r="B10187" s="29"/>
      <c r="D10187" s="29"/>
      <c r="E10187" s="20"/>
      <c r="F10187" s="20"/>
      <c r="AC10187" s="20"/>
      <c r="AG10187" s="29"/>
    </row>
    <row r="10188" spans="2:33">
      <c r="B10188" s="29"/>
      <c r="D10188" s="29"/>
      <c r="E10188" s="20"/>
      <c r="F10188" s="20"/>
      <c r="AC10188" s="20"/>
      <c r="AG10188" s="29"/>
    </row>
    <row r="10189" spans="2:33">
      <c r="B10189" s="29"/>
      <c r="D10189" s="29"/>
      <c r="E10189" s="20"/>
      <c r="F10189" s="20"/>
      <c r="AC10189" s="20"/>
      <c r="AG10189" s="29"/>
    </row>
    <row r="10190" spans="2:33">
      <c r="B10190" s="29"/>
      <c r="D10190" s="29"/>
      <c r="E10190" s="20"/>
      <c r="F10190" s="20"/>
      <c r="AC10190" s="20"/>
      <c r="AG10190" s="29"/>
    </row>
    <row r="10191" spans="2:33">
      <c r="B10191" s="29"/>
      <c r="D10191" s="29"/>
      <c r="E10191" s="20"/>
      <c r="F10191" s="20"/>
      <c r="AC10191" s="20"/>
      <c r="AG10191" s="29"/>
    </row>
    <row r="10192" spans="2:33">
      <c r="B10192" s="29"/>
      <c r="D10192" s="29"/>
      <c r="E10192" s="20"/>
      <c r="F10192" s="20"/>
      <c r="AC10192" s="20"/>
      <c r="AG10192" s="29"/>
    </row>
    <row r="10193" spans="2:33">
      <c r="B10193" s="29"/>
      <c r="D10193" s="29"/>
      <c r="E10193" s="20"/>
      <c r="F10193" s="20"/>
      <c r="AC10193" s="20"/>
      <c r="AG10193" s="29"/>
    </row>
    <row r="10194" spans="2:33">
      <c r="B10194" s="29"/>
      <c r="D10194" s="29"/>
      <c r="E10194" s="20"/>
      <c r="F10194" s="20"/>
      <c r="AC10194" s="20"/>
      <c r="AG10194" s="29"/>
    </row>
    <row r="10195" spans="2:33">
      <c r="B10195" s="29"/>
      <c r="D10195" s="29"/>
      <c r="E10195" s="20"/>
      <c r="F10195" s="20"/>
      <c r="AC10195" s="20"/>
      <c r="AG10195" s="29"/>
    </row>
    <row r="10196" spans="2:33">
      <c r="B10196" s="29"/>
      <c r="D10196" s="29"/>
      <c r="E10196" s="20"/>
      <c r="F10196" s="20"/>
      <c r="AC10196" s="20"/>
      <c r="AG10196" s="29"/>
    </row>
    <row r="10197" spans="2:33">
      <c r="B10197" s="29"/>
      <c r="D10197" s="29"/>
      <c r="E10197" s="20"/>
      <c r="F10197" s="20"/>
      <c r="AC10197" s="20"/>
      <c r="AG10197" s="29"/>
    </row>
    <row r="10198" spans="2:33">
      <c r="B10198" s="29"/>
      <c r="D10198" s="29"/>
      <c r="E10198" s="20"/>
      <c r="F10198" s="20"/>
      <c r="AC10198" s="20"/>
      <c r="AG10198" s="29"/>
    </row>
    <row r="10199" spans="2:33">
      <c r="B10199" s="29"/>
      <c r="D10199" s="29"/>
      <c r="E10199" s="20"/>
      <c r="F10199" s="20"/>
      <c r="AC10199" s="20"/>
      <c r="AG10199" s="29"/>
    </row>
    <row r="10200" spans="2:33">
      <c r="B10200" s="29"/>
      <c r="D10200" s="29"/>
      <c r="E10200" s="20"/>
      <c r="F10200" s="20"/>
      <c r="AC10200" s="20"/>
      <c r="AG10200" s="29"/>
    </row>
    <row r="10201" spans="2:33">
      <c r="B10201" s="29"/>
      <c r="D10201" s="29"/>
      <c r="E10201" s="20"/>
      <c r="F10201" s="20"/>
      <c r="AC10201" s="20"/>
      <c r="AG10201" s="29"/>
    </row>
    <row r="10202" spans="2:33">
      <c r="B10202" s="29"/>
      <c r="D10202" s="29"/>
      <c r="E10202" s="20"/>
      <c r="F10202" s="20"/>
      <c r="AC10202" s="20"/>
      <c r="AG10202" s="29"/>
    </row>
    <row r="10203" spans="2:33">
      <c r="B10203" s="29"/>
      <c r="D10203" s="29"/>
      <c r="E10203" s="20"/>
      <c r="F10203" s="20"/>
      <c r="AC10203" s="20"/>
      <c r="AG10203" s="29"/>
    </row>
    <row r="10204" spans="2:33">
      <c r="B10204" s="29"/>
      <c r="D10204" s="29"/>
      <c r="E10204" s="20"/>
      <c r="F10204" s="20"/>
      <c r="AC10204" s="20"/>
      <c r="AG10204" s="29"/>
    </row>
    <row r="10205" spans="2:33">
      <c r="B10205" s="29"/>
      <c r="D10205" s="29"/>
      <c r="E10205" s="20"/>
      <c r="F10205" s="20"/>
      <c r="AC10205" s="20"/>
      <c r="AG10205" s="29"/>
    </row>
    <row r="10206" spans="2:33">
      <c r="B10206" s="29"/>
      <c r="D10206" s="29"/>
      <c r="E10206" s="20"/>
      <c r="F10206" s="20"/>
      <c r="AC10206" s="20"/>
      <c r="AG10206" s="29"/>
    </row>
    <row r="10207" spans="2:33">
      <c r="B10207" s="29"/>
      <c r="D10207" s="29"/>
      <c r="E10207" s="20"/>
      <c r="F10207" s="20"/>
      <c r="AC10207" s="20"/>
      <c r="AG10207" s="29"/>
    </row>
    <row r="10208" spans="2:33">
      <c r="B10208" s="29"/>
      <c r="D10208" s="29"/>
      <c r="E10208" s="20"/>
      <c r="F10208" s="20"/>
      <c r="AC10208" s="20"/>
      <c r="AG10208" s="29"/>
    </row>
    <row r="10209" spans="2:33">
      <c r="B10209" s="29"/>
      <c r="D10209" s="29"/>
      <c r="E10209" s="20"/>
      <c r="F10209" s="20"/>
      <c r="AC10209" s="20"/>
      <c r="AG10209" s="29"/>
    </row>
    <row r="10210" spans="2:33">
      <c r="B10210" s="29"/>
      <c r="D10210" s="29"/>
      <c r="E10210" s="20"/>
      <c r="F10210" s="20"/>
      <c r="AC10210" s="20"/>
      <c r="AG10210" s="29"/>
    </row>
    <row r="10211" spans="2:33">
      <c r="B10211" s="29"/>
      <c r="D10211" s="29"/>
      <c r="E10211" s="20"/>
      <c r="F10211" s="20"/>
      <c r="AC10211" s="20"/>
      <c r="AG10211" s="29"/>
    </row>
    <row r="10212" spans="2:33">
      <c r="B10212" s="29"/>
      <c r="D10212" s="29"/>
      <c r="E10212" s="20"/>
      <c r="F10212" s="20"/>
      <c r="AC10212" s="20"/>
      <c r="AG10212" s="29"/>
    </row>
    <row r="10213" spans="2:33">
      <c r="B10213" s="29"/>
      <c r="D10213" s="29"/>
      <c r="E10213" s="20"/>
      <c r="F10213" s="20"/>
      <c r="AC10213" s="20"/>
      <c r="AG10213" s="29"/>
    </row>
    <row r="10214" spans="2:33">
      <c r="B10214" s="29"/>
      <c r="D10214" s="29"/>
      <c r="E10214" s="20"/>
      <c r="F10214" s="20"/>
      <c r="AC10214" s="20"/>
      <c r="AG10214" s="29"/>
    </row>
    <row r="10215" spans="2:33">
      <c r="B10215" s="29"/>
      <c r="D10215" s="29"/>
      <c r="E10215" s="20"/>
      <c r="F10215" s="20"/>
      <c r="AC10215" s="20"/>
      <c r="AG10215" s="29"/>
    </row>
    <row r="10216" spans="2:33">
      <c r="B10216" s="29"/>
      <c r="D10216" s="29"/>
      <c r="E10216" s="20"/>
      <c r="F10216" s="20"/>
      <c r="AC10216" s="20"/>
      <c r="AG10216" s="29"/>
    </row>
    <row r="10217" spans="2:33">
      <c r="B10217" s="29"/>
      <c r="D10217" s="29"/>
      <c r="E10217" s="20"/>
      <c r="F10217" s="20"/>
      <c r="AC10217" s="20"/>
      <c r="AG10217" s="29"/>
    </row>
    <row r="10218" spans="2:33">
      <c r="B10218" s="29"/>
      <c r="D10218" s="29"/>
      <c r="E10218" s="20"/>
      <c r="F10218" s="20"/>
      <c r="AC10218" s="20"/>
      <c r="AG10218" s="29"/>
    </row>
    <row r="10219" spans="2:33">
      <c r="B10219" s="29"/>
      <c r="D10219" s="29"/>
      <c r="E10219" s="20"/>
      <c r="F10219" s="20"/>
      <c r="AC10219" s="20"/>
      <c r="AG10219" s="29"/>
    </row>
    <row r="10220" spans="2:33">
      <c r="B10220" s="29"/>
      <c r="D10220" s="29"/>
      <c r="E10220" s="20"/>
      <c r="F10220" s="20"/>
      <c r="AC10220" s="20"/>
      <c r="AG10220" s="29"/>
    </row>
    <row r="10221" spans="2:33">
      <c r="B10221" s="29"/>
      <c r="D10221" s="29"/>
      <c r="E10221" s="20"/>
      <c r="F10221" s="20"/>
      <c r="AC10221" s="20"/>
      <c r="AG10221" s="29"/>
    </row>
    <row r="10222" spans="2:33">
      <c r="B10222" s="29"/>
      <c r="D10222" s="29"/>
      <c r="E10222" s="20"/>
      <c r="F10222" s="20"/>
      <c r="AC10222" s="20"/>
      <c r="AG10222" s="29"/>
    </row>
    <row r="10223" spans="2:33">
      <c r="B10223" s="29"/>
      <c r="D10223" s="29"/>
      <c r="E10223" s="20"/>
      <c r="F10223" s="20"/>
      <c r="AC10223" s="20"/>
      <c r="AG10223" s="29"/>
    </row>
    <row r="10224" spans="2:33">
      <c r="B10224" s="29"/>
      <c r="D10224" s="29"/>
      <c r="E10224" s="20"/>
      <c r="F10224" s="20"/>
      <c r="AC10224" s="20"/>
      <c r="AG10224" s="29"/>
    </row>
    <row r="10225" spans="2:33">
      <c r="B10225" s="29"/>
      <c r="D10225" s="29"/>
      <c r="E10225" s="20"/>
      <c r="F10225" s="20"/>
      <c r="AC10225" s="20"/>
      <c r="AG10225" s="29"/>
    </row>
    <row r="10226" spans="2:33">
      <c r="B10226" s="29"/>
      <c r="D10226" s="29"/>
      <c r="E10226" s="20"/>
      <c r="F10226" s="20"/>
      <c r="AC10226" s="20"/>
      <c r="AG10226" s="29"/>
    </row>
    <row r="10227" spans="2:33">
      <c r="B10227" s="29"/>
      <c r="D10227" s="29"/>
      <c r="E10227" s="20"/>
      <c r="F10227" s="20"/>
      <c r="AC10227" s="20"/>
      <c r="AG10227" s="29"/>
    </row>
    <row r="10228" spans="2:33">
      <c r="B10228" s="29"/>
      <c r="D10228" s="29"/>
      <c r="E10228" s="20"/>
      <c r="F10228" s="20"/>
      <c r="AC10228" s="20"/>
      <c r="AG10228" s="29"/>
    </row>
    <row r="10229" spans="2:33">
      <c r="B10229" s="29"/>
      <c r="D10229" s="29"/>
      <c r="E10229" s="20"/>
      <c r="F10229" s="20"/>
      <c r="AC10229" s="20"/>
      <c r="AG10229" s="29"/>
    </row>
    <row r="10230" spans="2:33">
      <c r="B10230" s="29"/>
      <c r="D10230" s="29"/>
      <c r="E10230" s="20"/>
      <c r="F10230" s="20"/>
      <c r="AC10230" s="20"/>
      <c r="AG10230" s="29"/>
    </row>
    <row r="10231" spans="2:33">
      <c r="B10231" s="29"/>
      <c r="D10231" s="29"/>
      <c r="E10231" s="20"/>
      <c r="F10231" s="20"/>
      <c r="AC10231" s="20"/>
      <c r="AG10231" s="29"/>
    </row>
    <row r="10232" spans="2:33">
      <c r="B10232" s="29"/>
      <c r="D10232" s="29"/>
      <c r="E10232" s="20"/>
      <c r="F10232" s="20"/>
      <c r="AC10232" s="20"/>
      <c r="AG10232" s="29"/>
    </row>
    <row r="10233" spans="2:33">
      <c r="B10233" s="29"/>
      <c r="D10233" s="29"/>
      <c r="E10233" s="20"/>
      <c r="F10233" s="20"/>
      <c r="AC10233" s="20"/>
      <c r="AG10233" s="29"/>
    </row>
    <row r="10234" spans="2:33">
      <c r="B10234" s="29"/>
      <c r="D10234" s="29"/>
      <c r="E10234" s="20"/>
      <c r="F10234" s="20"/>
      <c r="AC10234" s="20"/>
      <c r="AG10234" s="29"/>
    </row>
    <row r="10235" spans="2:33">
      <c r="B10235" s="29"/>
      <c r="D10235" s="29"/>
      <c r="E10235" s="20"/>
      <c r="F10235" s="20"/>
      <c r="AC10235" s="20"/>
      <c r="AG10235" s="29"/>
    </row>
    <row r="10236" spans="2:33">
      <c r="B10236" s="29"/>
      <c r="D10236" s="29"/>
      <c r="E10236" s="20"/>
      <c r="F10236" s="20"/>
      <c r="AC10236" s="20"/>
      <c r="AG10236" s="29"/>
    </row>
    <row r="10237" spans="2:33">
      <c r="B10237" s="29"/>
      <c r="D10237" s="29"/>
      <c r="E10237" s="20"/>
      <c r="F10237" s="20"/>
      <c r="AC10237" s="20"/>
      <c r="AG10237" s="29"/>
    </row>
    <row r="10238" spans="2:33">
      <c r="B10238" s="29"/>
      <c r="D10238" s="29"/>
      <c r="E10238" s="20"/>
      <c r="F10238" s="20"/>
      <c r="AC10238" s="20"/>
      <c r="AG10238" s="29"/>
    </row>
    <row r="10239" spans="2:33">
      <c r="B10239" s="29"/>
      <c r="D10239" s="29"/>
      <c r="E10239" s="20"/>
      <c r="F10239" s="20"/>
      <c r="AC10239" s="20"/>
      <c r="AG10239" s="29"/>
    </row>
    <row r="10240" spans="2:33">
      <c r="B10240" s="29"/>
      <c r="D10240" s="29"/>
      <c r="E10240" s="20"/>
      <c r="F10240" s="20"/>
      <c r="AC10240" s="20"/>
      <c r="AG10240" s="29"/>
    </row>
    <row r="10241" spans="2:33">
      <c r="B10241" s="29"/>
      <c r="D10241" s="29"/>
      <c r="E10241" s="20"/>
      <c r="F10241" s="20"/>
      <c r="AC10241" s="20"/>
      <c r="AG10241" s="29"/>
    </row>
    <row r="10242" spans="2:33">
      <c r="B10242" s="29"/>
      <c r="D10242" s="29"/>
      <c r="E10242" s="20"/>
      <c r="F10242" s="20"/>
      <c r="AC10242" s="20"/>
      <c r="AG10242" s="29"/>
    </row>
    <row r="10243" spans="2:33">
      <c r="B10243" s="29"/>
      <c r="D10243" s="29"/>
      <c r="E10243" s="20"/>
      <c r="F10243" s="20"/>
      <c r="AC10243" s="20"/>
      <c r="AG10243" s="29"/>
    </row>
    <row r="10244" spans="2:33">
      <c r="B10244" s="29"/>
      <c r="D10244" s="29"/>
      <c r="E10244" s="20"/>
      <c r="F10244" s="20"/>
      <c r="AC10244" s="20"/>
      <c r="AG10244" s="29"/>
    </row>
    <row r="10245" spans="2:33">
      <c r="B10245" s="29"/>
      <c r="D10245" s="29"/>
      <c r="E10245" s="20"/>
      <c r="F10245" s="20"/>
      <c r="AC10245" s="20"/>
      <c r="AG10245" s="29"/>
    </row>
    <row r="10246" spans="2:33">
      <c r="B10246" s="29"/>
      <c r="D10246" s="29"/>
      <c r="E10246" s="20"/>
      <c r="F10246" s="20"/>
      <c r="AC10246" s="20"/>
      <c r="AG10246" s="29"/>
    </row>
    <row r="10247" spans="2:33">
      <c r="B10247" s="29"/>
      <c r="D10247" s="29"/>
      <c r="E10247" s="20"/>
      <c r="F10247" s="20"/>
      <c r="AC10247" s="20"/>
      <c r="AG10247" s="29"/>
    </row>
    <row r="10248" spans="2:33">
      <c r="B10248" s="29"/>
      <c r="D10248" s="29"/>
      <c r="E10248" s="20"/>
      <c r="F10248" s="20"/>
      <c r="AC10248" s="20"/>
      <c r="AG10248" s="29"/>
    </row>
    <row r="10249" spans="2:33">
      <c r="B10249" s="29"/>
      <c r="D10249" s="29"/>
      <c r="E10249" s="20"/>
      <c r="F10249" s="20"/>
      <c r="AC10249" s="20"/>
      <c r="AG10249" s="29"/>
    </row>
    <row r="10250" spans="2:33">
      <c r="B10250" s="29"/>
      <c r="D10250" s="29"/>
      <c r="E10250" s="20"/>
      <c r="F10250" s="20"/>
      <c r="AC10250" s="20"/>
      <c r="AG10250" s="29"/>
    </row>
    <row r="10251" spans="2:33">
      <c r="B10251" s="29"/>
      <c r="D10251" s="29"/>
      <c r="E10251" s="20"/>
      <c r="F10251" s="20"/>
      <c r="AC10251" s="20"/>
      <c r="AG10251" s="29"/>
    </row>
    <row r="10252" spans="2:33">
      <c r="B10252" s="29"/>
      <c r="D10252" s="29"/>
      <c r="E10252" s="20"/>
      <c r="F10252" s="20"/>
      <c r="AC10252" s="20"/>
      <c r="AG10252" s="29"/>
    </row>
    <row r="10253" spans="2:33">
      <c r="B10253" s="29"/>
      <c r="D10253" s="29"/>
      <c r="E10253" s="20"/>
      <c r="F10253" s="20"/>
      <c r="AC10253" s="20"/>
      <c r="AG10253" s="29"/>
    </row>
    <row r="10254" spans="2:33">
      <c r="B10254" s="29"/>
      <c r="D10254" s="29"/>
      <c r="E10254" s="20"/>
      <c r="F10254" s="20"/>
      <c r="AC10254" s="20"/>
      <c r="AG10254" s="29"/>
    </row>
    <row r="10255" spans="2:33">
      <c r="B10255" s="29"/>
      <c r="D10255" s="29"/>
      <c r="E10255" s="20"/>
      <c r="F10255" s="20"/>
      <c r="AC10255" s="20"/>
      <c r="AG10255" s="29"/>
    </row>
    <row r="10256" spans="2:33">
      <c r="B10256" s="29"/>
      <c r="D10256" s="29"/>
      <c r="E10256" s="20"/>
      <c r="F10256" s="20"/>
      <c r="AC10256" s="20"/>
      <c r="AG10256" s="29"/>
    </row>
    <row r="10257" spans="2:33">
      <c r="B10257" s="29"/>
      <c r="D10257" s="29"/>
      <c r="E10257" s="20"/>
      <c r="F10257" s="20"/>
      <c r="AC10257" s="20"/>
      <c r="AG10257" s="29"/>
    </row>
    <row r="10258" spans="2:33">
      <c r="B10258" s="29"/>
      <c r="D10258" s="29"/>
      <c r="E10258" s="20"/>
      <c r="F10258" s="20"/>
      <c r="AC10258" s="20"/>
      <c r="AG10258" s="29"/>
    </row>
    <row r="10259" spans="2:33">
      <c r="B10259" s="29"/>
      <c r="D10259" s="29"/>
      <c r="E10259" s="20"/>
      <c r="F10259" s="20"/>
      <c r="AC10259" s="20"/>
      <c r="AG10259" s="29"/>
    </row>
    <row r="10260" spans="2:33">
      <c r="B10260" s="29"/>
      <c r="D10260" s="29"/>
      <c r="E10260" s="20"/>
      <c r="F10260" s="20"/>
      <c r="AC10260" s="20"/>
      <c r="AG10260" s="29"/>
    </row>
    <row r="10261" spans="2:33">
      <c r="B10261" s="29"/>
      <c r="D10261" s="29"/>
      <c r="E10261" s="20"/>
      <c r="F10261" s="20"/>
      <c r="AC10261" s="20"/>
      <c r="AG10261" s="29"/>
    </row>
    <row r="10262" spans="2:33">
      <c r="B10262" s="29"/>
      <c r="D10262" s="29"/>
      <c r="E10262" s="20"/>
      <c r="F10262" s="20"/>
      <c r="AC10262" s="20"/>
      <c r="AG10262" s="29"/>
    </row>
    <row r="10263" spans="2:33">
      <c r="B10263" s="29"/>
      <c r="D10263" s="29"/>
      <c r="E10263" s="20"/>
      <c r="F10263" s="20"/>
      <c r="AC10263" s="20"/>
      <c r="AG10263" s="29"/>
    </row>
    <row r="10264" spans="2:33">
      <c r="B10264" s="29"/>
      <c r="D10264" s="29"/>
      <c r="E10264" s="20"/>
      <c r="F10264" s="20"/>
      <c r="AC10264" s="20"/>
      <c r="AG10264" s="29"/>
    </row>
    <row r="10265" spans="2:33">
      <c r="B10265" s="29"/>
      <c r="D10265" s="29"/>
      <c r="E10265" s="20"/>
      <c r="F10265" s="20"/>
      <c r="AC10265" s="20"/>
      <c r="AG10265" s="29"/>
    </row>
    <row r="10266" spans="2:33">
      <c r="B10266" s="29"/>
      <c r="D10266" s="29"/>
      <c r="E10266" s="20"/>
      <c r="F10266" s="20"/>
      <c r="AC10266" s="20"/>
      <c r="AG10266" s="29"/>
    </row>
    <row r="10267" spans="2:33">
      <c r="B10267" s="29"/>
      <c r="D10267" s="29"/>
      <c r="E10267" s="20"/>
      <c r="F10267" s="20"/>
      <c r="AC10267" s="20"/>
      <c r="AG10267" s="29"/>
    </row>
    <row r="10268" spans="2:33">
      <c r="B10268" s="29"/>
      <c r="D10268" s="29"/>
      <c r="E10268" s="20"/>
      <c r="F10268" s="20"/>
      <c r="AC10268" s="20"/>
      <c r="AG10268" s="29"/>
    </row>
    <row r="10269" spans="2:33">
      <c r="B10269" s="29"/>
      <c r="D10269" s="29"/>
      <c r="E10269" s="20"/>
      <c r="F10269" s="20"/>
      <c r="AC10269" s="20"/>
      <c r="AG10269" s="29"/>
    </row>
    <row r="10270" spans="2:33">
      <c r="B10270" s="29"/>
      <c r="D10270" s="29"/>
      <c r="E10270" s="20"/>
      <c r="F10270" s="20"/>
      <c r="AC10270" s="20"/>
      <c r="AG10270" s="29"/>
    </row>
    <row r="10271" spans="2:33">
      <c r="B10271" s="29"/>
      <c r="D10271" s="29"/>
      <c r="E10271" s="20"/>
      <c r="F10271" s="20"/>
      <c r="AC10271" s="20"/>
      <c r="AG10271" s="29"/>
    </row>
    <row r="10272" spans="2:33">
      <c r="B10272" s="29"/>
      <c r="D10272" s="29"/>
      <c r="E10272" s="20"/>
      <c r="F10272" s="20"/>
      <c r="AC10272" s="20"/>
      <c r="AG10272" s="29"/>
    </row>
    <row r="10273" spans="2:33">
      <c r="B10273" s="29"/>
      <c r="D10273" s="29"/>
      <c r="E10273" s="20"/>
      <c r="F10273" s="20"/>
      <c r="AC10273" s="20"/>
      <c r="AG10273" s="29"/>
    </row>
    <row r="10274" spans="2:33">
      <c r="B10274" s="29"/>
      <c r="D10274" s="29"/>
      <c r="E10274" s="20"/>
      <c r="F10274" s="20"/>
      <c r="AC10274" s="20"/>
      <c r="AG10274" s="29"/>
    </row>
    <row r="10275" spans="2:33">
      <c r="B10275" s="29"/>
      <c r="D10275" s="29"/>
      <c r="E10275" s="20"/>
      <c r="F10275" s="20"/>
      <c r="AC10275" s="20"/>
      <c r="AG10275" s="29"/>
    </row>
    <row r="10276" spans="2:33">
      <c r="B10276" s="29"/>
      <c r="D10276" s="29"/>
      <c r="E10276" s="20"/>
      <c r="F10276" s="20"/>
      <c r="AC10276" s="20"/>
      <c r="AG10276" s="29"/>
    </row>
    <row r="10277" spans="2:33">
      <c r="B10277" s="29"/>
      <c r="D10277" s="29"/>
      <c r="E10277" s="20"/>
      <c r="F10277" s="20"/>
      <c r="AC10277" s="20"/>
      <c r="AG10277" s="29"/>
    </row>
    <row r="10278" spans="2:33">
      <c r="B10278" s="29"/>
      <c r="D10278" s="29"/>
      <c r="E10278" s="20"/>
      <c r="F10278" s="20"/>
      <c r="AC10278" s="20"/>
      <c r="AG10278" s="29"/>
    </row>
    <row r="10279" spans="2:33">
      <c r="B10279" s="29"/>
      <c r="D10279" s="29"/>
      <c r="E10279" s="20"/>
      <c r="F10279" s="20"/>
      <c r="AC10279" s="20"/>
      <c r="AG10279" s="29"/>
    </row>
    <row r="10280" spans="2:33">
      <c r="B10280" s="29"/>
      <c r="D10280" s="29"/>
      <c r="E10280" s="20"/>
      <c r="F10280" s="20"/>
      <c r="AC10280" s="20"/>
      <c r="AG10280" s="29"/>
    </row>
    <row r="10281" spans="2:33">
      <c r="B10281" s="29"/>
      <c r="D10281" s="29"/>
      <c r="E10281" s="20"/>
      <c r="F10281" s="20"/>
      <c r="AC10281" s="20"/>
      <c r="AG10281" s="29"/>
    </row>
    <row r="10282" spans="2:33">
      <c r="B10282" s="29"/>
      <c r="D10282" s="29"/>
      <c r="E10282" s="20"/>
      <c r="F10282" s="20"/>
      <c r="AC10282" s="20"/>
      <c r="AG10282" s="29"/>
    </row>
    <row r="10283" spans="2:33">
      <c r="B10283" s="29"/>
      <c r="D10283" s="29"/>
      <c r="E10283" s="20"/>
      <c r="F10283" s="20"/>
      <c r="AC10283" s="20"/>
      <c r="AG10283" s="29"/>
    </row>
    <row r="10284" spans="2:33">
      <c r="B10284" s="29"/>
      <c r="D10284" s="29"/>
      <c r="E10284" s="20"/>
      <c r="F10284" s="20"/>
      <c r="AC10284" s="20"/>
      <c r="AG10284" s="29"/>
    </row>
    <row r="10285" spans="2:33">
      <c r="B10285" s="29"/>
      <c r="D10285" s="29"/>
      <c r="E10285" s="20"/>
      <c r="F10285" s="20"/>
      <c r="AC10285" s="20"/>
      <c r="AG10285" s="29"/>
    </row>
    <row r="10286" spans="2:33">
      <c r="B10286" s="29"/>
      <c r="D10286" s="29"/>
      <c r="E10286" s="20"/>
      <c r="F10286" s="20"/>
      <c r="AC10286" s="20"/>
      <c r="AG10286" s="29"/>
    </row>
    <row r="10287" spans="2:33">
      <c r="B10287" s="29"/>
      <c r="D10287" s="29"/>
      <c r="E10287" s="20"/>
      <c r="F10287" s="20"/>
      <c r="AC10287" s="20"/>
      <c r="AG10287" s="29"/>
    </row>
    <row r="10288" spans="2:33">
      <c r="B10288" s="29"/>
      <c r="D10288" s="29"/>
      <c r="E10288" s="20"/>
      <c r="F10288" s="20"/>
      <c r="AC10288" s="20"/>
      <c r="AG10288" s="29"/>
    </row>
    <row r="10289" spans="2:33">
      <c r="B10289" s="29"/>
      <c r="D10289" s="29"/>
      <c r="E10289" s="20"/>
      <c r="F10289" s="20"/>
      <c r="AC10289" s="20"/>
      <c r="AG10289" s="29"/>
    </row>
    <row r="10290" spans="2:33">
      <c r="B10290" s="29"/>
      <c r="D10290" s="29"/>
      <c r="E10290" s="20"/>
      <c r="F10290" s="20"/>
      <c r="AC10290" s="20"/>
      <c r="AG10290" s="29"/>
    </row>
    <row r="10291" spans="2:33">
      <c r="B10291" s="29"/>
      <c r="D10291" s="29"/>
      <c r="E10291" s="20"/>
      <c r="F10291" s="20"/>
      <c r="AC10291" s="20"/>
      <c r="AG10291" s="29"/>
    </row>
    <row r="10292" spans="2:33">
      <c r="B10292" s="29"/>
      <c r="D10292" s="29"/>
      <c r="E10292" s="20"/>
      <c r="F10292" s="20"/>
      <c r="AC10292" s="20"/>
      <c r="AG10292" s="29"/>
    </row>
    <row r="10293" spans="2:33">
      <c r="B10293" s="29"/>
      <c r="D10293" s="29"/>
      <c r="E10293" s="20"/>
      <c r="F10293" s="20"/>
      <c r="AC10293" s="20"/>
      <c r="AG10293" s="29"/>
    </row>
    <row r="10294" spans="2:33">
      <c r="B10294" s="29"/>
      <c r="D10294" s="29"/>
      <c r="E10294" s="20"/>
      <c r="F10294" s="20"/>
      <c r="AC10294" s="20"/>
      <c r="AG10294" s="29"/>
    </row>
    <row r="10295" spans="2:33">
      <c r="B10295" s="29"/>
      <c r="D10295" s="29"/>
      <c r="E10295" s="20"/>
      <c r="F10295" s="20"/>
      <c r="AC10295" s="20"/>
      <c r="AG10295" s="29"/>
    </row>
    <row r="10296" spans="2:33">
      <c r="B10296" s="29"/>
      <c r="D10296" s="29"/>
      <c r="E10296" s="20"/>
      <c r="F10296" s="20"/>
      <c r="AC10296" s="20"/>
      <c r="AG10296" s="29"/>
    </row>
    <row r="10297" spans="2:33">
      <c r="B10297" s="29"/>
      <c r="D10297" s="29"/>
      <c r="E10297" s="20"/>
      <c r="F10297" s="20"/>
      <c r="AC10297" s="20"/>
      <c r="AG10297" s="29"/>
    </row>
    <row r="10298" spans="2:33">
      <c r="B10298" s="29"/>
      <c r="D10298" s="29"/>
      <c r="E10298" s="20"/>
      <c r="F10298" s="20"/>
      <c r="AC10298" s="20"/>
      <c r="AG10298" s="29"/>
    </row>
    <row r="10299" spans="2:33">
      <c r="B10299" s="29"/>
      <c r="D10299" s="29"/>
      <c r="E10299" s="20"/>
      <c r="F10299" s="20"/>
      <c r="AC10299" s="20"/>
      <c r="AG10299" s="29"/>
    </row>
    <row r="10300" spans="2:33">
      <c r="B10300" s="29"/>
      <c r="D10300" s="29"/>
      <c r="E10300" s="20"/>
      <c r="F10300" s="20"/>
      <c r="AC10300" s="20"/>
      <c r="AG10300" s="29"/>
    </row>
    <row r="10301" spans="2:33">
      <c r="B10301" s="29"/>
      <c r="D10301" s="29"/>
      <c r="E10301" s="20"/>
      <c r="F10301" s="20"/>
      <c r="AC10301" s="20"/>
      <c r="AG10301" s="29"/>
    </row>
    <row r="10302" spans="2:33">
      <c r="B10302" s="29"/>
      <c r="D10302" s="29"/>
      <c r="E10302" s="20"/>
      <c r="F10302" s="20"/>
      <c r="AC10302" s="20"/>
      <c r="AG10302" s="29"/>
    </row>
    <row r="10303" spans="2:33">
      <c r="B10303" s="29"/>
      <c r="D10303" s="29"/>
      <c r="E10303" s="20"/>
      <c r="F10303" s="20"/>
      <c r="AC10303" s="20"/>
      <c r="AG10303" s="29"/>
    </row>
    <row r="10304" spans="2:33">
      <c r="B10304" s="29"/>
      <c r="D10304" s="29"/>
      <c r="E10304" s="20"/>
      <c r="F10304" s="20"/>
      <c r="AC10304" s="20"/>
      <c r="AG10304" s="29"/>
    </row>
    <row r="10305" spans="2:33">
      <c r="B10305" s="29"/>
      <c r="D10305" s="29"/>
      <c r="E10305" s="20"/>
      <c r="F10305" s="20"/>
      <c r="AC10305" s="20"/>
      <c r="AG10305" s="29"/>
    </row>
    <row r="10306" spans="2:33">
      <c r="B10306" s="29"/>
      <c r="D10306" s="29"/>
      <c r="E10306" s="20"/>
      <c r="F10306" s="20"/>
      <c r="AC10306" s="20"/>
      <c r="AG10306" s="29"/>
    </row>
    <row r="10307" spans="2:33">
      <c r="B10307" s="29"/>
      <c r="D10307" s="29"/>
      <c r="E10307" s="20"/>
      <c r="F10307" s="20"/>
      <c r="AC10307" s="20"/>
      <c r="AG10307" s="29"/>
    </row>
    <row r="10308" spans="2:33">
      <c r="B10308" s="29"/>
      <c r="D10308" s="29"/>
      <c r="E10308" s="20"/>
      <c r="F10308" s="20"/>
      <c r="AC10308" s="20"/>
      <c r="AG10308" s="29"/>
    </row>
    <row r="10309" spans="2:33">
      <c r="B10309" s="29"/>
      <c r="D10309" s="29"/>
      <c r="E10309" s="20"/>
      <c r="F10309" s="20"/>
      <c r="AC10309" s="20"/>
      <c r="AG10309" s="29"/>
    </row>
    <row r="10310" spans="2:33">
      <c r="B10310" s="29"/>
      <c r="D10310" s="29"/>
      <c r="E10310" s="20"/>
      <c r="F10310" s="20"/>
      <c r="AC10310" s="20"/>
      <c r="AG10310" s="29"/>
    </row>
    <row r="10311" spans="2:33">
      <c r="B10311" s="29"/>
      <c r="D10311" s="29"/>
      <c r="E10311" s="20"/>
      <c r="F10311" s="20"/>
      <c r="AC10311" s="20"/>
      <c r="AG10311" s="29"/>
    </row>
    <row r="10312" spans="2:33">
      <c r="B10312" s="29"/>
      <c r="D10312" s="29"/>
      <c r="E10312" s="20"/>
      <c r="F10312" s="20"/>
      <c r="AC10312" s="20"/>
      <c r="AG10312" s="29"/>
    </row>
    <row r="10313" spans="2:33">
      <c r="B10313" s="29"/>
      <c r="D10313" s="29"/>
      <c r="E10313" s="20"/>
      <c r="F10313" s="20"/>
      <c r="AC10313" s="20"/>
      <c r="AG10313" s="29"/>
    </row>
    <row r="10314" spans="2:33">
      <c r="B10314" s="29"/>
      <c r="D10314" s="29"/>
      <c r="E10314" s="20"/>
      <c r="F10314" s="20"/>
      <c r="AC10314" s="20"/>
      <c r="AG10314" s="29"/>
    </row>
    <row r="10315" spans="2:33">
      <c r="B10315" s="29"/>
      <c r="D10315" s="29"/>
      <c r="E10315" s="20"/>
      <c r="F10315" s="20"/>
      <c r="AC10315" s="20"/>
      <c r="AG10315" s="29"/>
    </row>
    <row r="10316" spans="2:33">
      <c r="B10316" s="29"/>
      <c r="D10316" s="29"/>
      <c r="E10316" s="20"/>
      <c r="F10316" s="20"/>
      <c r="AC10316" s="20"/>
      <c r="AG10316" s="29"/>
    </row>
    <row r="10317" spans="2:33">
      <c r="B10317" s="29"/>
      <c r="D10317" s="29"/>
      <c r="E10317" s="20"/>
      <c r="F10317" s="20"/>
      <c r="AC10317" s="20"/>
      <c r="AG10317" s="29"/>
    </row>
    <row r="10318" spans="2:33">
      <c r="B10318" s="29"/>
      <c r="D10318" s="29"/>
      <c r="E10318" s="20"/>
      <c r="F10318" s="20"/>
      <c r="AC10318" s="20"/>
      <c r="AG10318" s="29"/>
    </row>
    <row r="10319" spans="2:33">
      <c r="B10319" s="29"/>
      <c r="D10319" s="29"/>
      <c r="E10319" s="20"/>
      <c r="F10319" s="20"/>
      <c r="AC10319" s="20"/>
      <c r="AG10319" s="29"/>
    </row>
    <row r="10320" spans="2:33">
      <c r="B10320" s="29"/>
      <c r="D10320" s="29"/>
      <c r="E10320" s="20"/>
      <c r="F10320" s="20"/>
      <c r="AC10320" s="20"/>
      <c r="AG10320" s="29"/>
    </row>
    <row r="10321" spans="2:33">
      <c r="B10321" s="29"/>
      <c r="D10321" s="29"/>
      <c r="E10321" s="20"/>
      <c r="F10321" s="20"/>
      <c r="AC10321" s="20"/>
      <c r="AG10321" s="29"/>
    </row>
    <row r="10322" spans="2:33">
      <c r="B10322" s="29"/>
      <c r="D10322" s="29"/>
      <c r="E10322" s="20"/>
      <c r="F10322" s="20"/>
      <c r="AC10322" s="20"/>
      <c r="AG10322" s="29"/>
    </row>
    <row r="10323" spans="2:33">
      <c r="B10323" s="29"/>
      <c r="D10323" s="29"/>
      <c r="E10323" s="20"/>
      <c r="F10323" s="20"/>
      <c r="AC10323" s="20"/>
      <c r="AG10323" s="29"/>
    </row>
    <row r="10324" spans="2:33">
      <c r="B10324" s="29"/>
      <c r="D10324" s="29"/>
      <c r="E10324" s="20"/>
      <c r="F10324" s="20"/>
      <c r="AC10324" s="20"/>
      <c r="AG10324" s="29"/>
    </row>
    <row r="10325" spans="2:33">
      <c r="B10325" s="29"/>
      <c r="D10325" s="29"/>
      <c r="E10325" s="20"/>
      <c r="F10325" s="20"/>
      <c r="AC10325" s="20"/>
      <c r="AG10325" s="29"/>
    </row>
    <row r="10326" spans="2:33">
      <c r="B10326" s="29"/>
      <c r="D10326" s="29"/>
      <c r="E10326" s="20"/>
      <c r="F10326" s="20"/>
      <c r="AC10326" s="20"/>
      <c r="AG10326" s="29"/>
    </row>
    <row r="10327" spans="2:33">
      <c r="B10327" s="29"/>
      <c r="D10327" s="29"/>
      <c r="E10327" s="20"/>
      <c r="F10327" s="20"/>
      <c r="AC10327" s="20"/>
      <c r="AG10327" s="29"/>
    </row>
    <row r="10328" spans="2:33">
      <c r="B10328" s="29"/>
      <c r="D10328" s="29"/>
      <c r="E10328" s="20"/>
      <c r="F10328" s="20"/>
      <c r="AC10328" s="20"/>
      <c r="AG10328" s="29"/>
    </row>
    <row r="10329" spans="2:33">
      <c r="B10329" s="29"/>
      <c r="D10329" s="29"/>
      <c r="E10329" s="20"/>
      <c r="F10329" s="20"/>
      <c r="AC10329" s="20"/>
      <c r="AG10329" s="29"/>
    </row>
    <row r="10330" spans="2:33">
      <c r="B10330" s="29"/>
      <c r="D10330" s="29"/>
      <c r="E10330" s="20"/>
      <c r="F10330" s="20"/>
      <c r="AC10330" s="20"/>
      <c r="AG10330" s="29"/>
    </row>
    <row r="10331" spans="2:33">
      <c r="B10331" s="29"/>
      <c r="D10331" s="29"/>
      <c r="E10331" s="20"/>
      <c r="F10331" s="20"/>
      <c r="AC10331" s="20"/>
      <c r="AG10331" s="29"/>
    </row>
    <row r="10332" spans="2:33">
      <c r="B10332" s="29"/>
      <c r="D10332" s="29"/>
      <c r="E10332" s="20"/>
      <c r="F10332" s="20"/>
      <c r="AC10332" s="20"/>
      <c r="AG10332" s="29"/>
    </row>
    <row r="10333" spans="2:33">
      <c r="B10333" s="29"/>
      <c r="D10333" s="29"/>
      <c r="E10333" s="20"/>
      <c r="F10333" s="20"/>
      <c r="AC10333" s="20"/>
      <c r="AG10333" s="29"/>
    </row>
    <row r="10334" spans="2:33">
      <c r="B10334" s="29"/>
      <c r="D10334" s="29"/>
      <c r="E10334" s="20"/>
      <c r="F10334" s="20"/>
      <c r="AC10334" s="20"/>
      <c r="AG10334" s="29"/>
    </row>
    <row r="10335" spans="2:33">
      <c r="B10335" s="29"/>
      <c r="D10335" s="29"/>
      <c r="E10335" s="20"/>
      <c r="F10335" s="20"/>
      <c r="AC10335" s="20"/>
      <c r="AG10335" s="29"/>
    </row>
    <row r="10336" spans="2:33">
      <c r="B10336" s="29"/>
      <c r="D10336" s="29"/>
      <c r="E10336" s="20"/>
      <c r="F10336" s="20"/>
      <c r="AC10336" s="20"/>
      <c r="AG10336" s="29"/>
    </row>
    <row r="10337" spans="2:33">
      <c r="B10337" s="29"/>
      <c r="D10337" s="29"/>
      <c r="E10337" s="20"/>
      <c r="F10337" s="20"/>
      <c r="AC10337" s="20"/>
      <c r="AG10337" s="29"/>
    </row>
    <row r="10338" spans="2:33">
      <c r="B10338" s="29"/>
      <c r="D10338" s="29"/>
      <c r="E10338" s="20"/>
      <c r="F10338" s="20"/>
      <c r="AC10338" s="20"/>
      <c r="AG10338" s="29"/>
    </row>
    <row r="10339" spans="2:33">
      <c r="B10339" s="29"/>
      <c r="D10339" s="29"/>
      <c r="E10339" s="20"/>
      <c r="F10339" s="20"/>
      <c r="AC10339" s="20"/>
      <c r="AG10339" s="29"/>
    </row>
    <row r="10340" spans="2:33">
      <c r="B10340" s="29"/>
      <c r="D10340" s="29"/>
      <c r="E10340" s="20"/>
      <c r="F10340" s="20"/>
      <c r="AC10340" s="20"/>
      <c r="AG10340" s="29"/>
    </row>
    <row r="10341" spans="2:33">
      <c r="B10341" s="29"/>
      <c r="D10341" s="29"/>
      <c r="E10341" s="20"/>
      <c r="F10341" s="20"/>
      <c r="AC10341" s="20"/>
      <c r="AG10341" s="29"/>
    </row>
    <row r="10342" spans="2:33">
      <c r="B10342" s="29"/>
      <c r="D10342" s="29"/>
      <c r="E10342" s="20"/>
      <c r="F10342" s="20"/>
      <c r="AC10342" s="20"/>
      <c r="AG10342" s="29"/>
    </row>
    <row r="10343" spans="2:33">
      <c r="B10343" s="29"/>
      <c r="D10343" s="29"/>
      <c r="E10343" s="20"/>
      <c r="F10343" s="20"/>
      <c r="AC10343" s="20"/>
      <c r="AG10343" s="29"/>
    </row>
    <row r="10344" spans="2:33">
      <c r="B10344" s="29"/>
      <c r="D10344" s="29"/>
      <c r="E10344" s="20"/>
      <c r="F10344" s="20"/>
      <c r="AC10344" s="20"/>
      <c r="AG10344" s="29"/>
    </row>
    <row r="10345" spans="2:33">
      <c r="B10345" s="29"/>
      <c r="D10345" s="29"/>
      <c r="E10345" s="20"/>
      <c r="F10345" s="20"/>
      <c r="AC10345" s="20"/>
      <c r="AG10345" s="29"/>
    </row>
    <row r="10346" spans="2:33">
      <c r="B10346" s="29"/>
      <c r="D10346" s="29"/>
      <c r="E10346" s="20"/>
      <c r="F10346" s="20"/>
      <c r="AC10346" s="20"/>
      <c r="AG10346" s="29"/>
    </row>
    <row r="10347" spans="2:33">
      <c r="B10347" s="29"/>
      <c r="D10347" s="29"/>
      <c r="E10347" s="20"/>
      <c r="F10347" s="20"/>
      <c r="AC10347" s="20"/>
      <c r="AG10347" s="29"/>
    </row>
    <row r="10348" spans="2:33">
      <c r="B10348" s="29"/>
      <c r="D10348" s="29"/>
      <c r="E10348" s="20"/>
      <c r="F10348" s="20"/>
      <c r="AC10348" s="20"/>
      <c r="AG10348" s="29"/>
    </row>
    <row r="10349" spans="2:33">
      <c r="B10349" s="29"/>
      <c r="D10349" s="29"/>
      <c r="E10349" s="20"/>
      <c r="F10349" s="20"/>
      <c r="AC10349" s="20"/>
      <c r="AG10349" s="29"/>
    </row>
    <row r="10350" spans="2:33">
      <c r="B10350" s="29"/>
      <c r="D10350" s="29"/>
      <c r="E10350" s="20"/>
      <c r="F10350" s="20"/>
      <c r="AC10350" s="20"/>
      <c r="AG10350" s="29"/>
    </row>
    <row r="10351" spans="2:33">
      <c r="B10351" s="29"/>
      <c r="D10351" s="29"/>
      <c r="E10351" s="20"/>
      <c r="F10351" s="20"/>
      <c r="AC10351" s="20"/>
      <c r="AG10351" s="29"/>
    </row>
    <row r="10352" spans="2:33">
      <c r="B10352" s="29"/>
      <c r="D10352" s="29"/>
      <c r="E10352" s="20"/>
      <c r="F10352" s="20"/>
      <c r="AC10352" s="20"/>
      <c r="AG10352" s="29"/>
    </row>
    <row r="10353" spans="2:33">
      <c r="B10353" s="29"/>
      <c r="D10353" s="29"/>
      <c r="E10353" s="20"/>
      <c r="F10353" s="20"/>
      <c r="AC10353" s="20"/>
      <c r="AG10353" s="29"/>
    </row>
    <row r="10354" spans="2:33">
      <c r="B10354" s="29"/>
      <c r="D10354" s="29"/>
      <c r="E10354" s="20"/>
      <c r="F10354" s="20"/>
      <c r="AC10354" s="20"/>
      <c r="AG10354" s="29"/>
    </row>
    <row r="10355" spans="2:33">
      <c r="B10355" s="29"/>
      <c r="D10355" s="29"/>
      <c r="E10355" s="20"/>
      <c r="F10355" s="20"/>
      <c r="AC10355" s="20"/>
      <c r="AG10355" s="29"/>
    </row>
    <row r="10356" spans="2:33">
      <c r="B10356" s="29"/>
      <c r="D10356" s="29"/>
      <c r="E10356" s="20"/>
      <c r="F10356" s="20"/>
      <c r="AC10356" s="20"/>
      <c r="AG10356" s="29"/>
    </row>
    <row r="10357" spans="2:33">
      <c r="B10357" s="29"/>
      <c r="D10357" s="29"/>
      <c r="E10357" s="20"/>
      <c r="F10357" s="20"/>
      <c r="AC10357" s="20"/>
      <c r="AG10357" s="29"/>
    </row>
    <row r="10358" spans="2:33">
      <c r="B10358" s="29"/>
      <c r="D10358" s="29"/>
      <c r="E10358" s="20"/>
      <c r="F10358" s="20"/>
      <c r="AC10358" s="20"/>
      <c r="AG10358" s="29"/>
    </row>
    <row r="10359" spans="2:33">
      <c r="B10359" s="29"/>
      <c r="D10359" s="29"/>
      <c r="E10359" s="20"/>
      <c r="F10359" s="20"/>
      <c r="AC10359" s="20"/>
      <c r="AG10359" s="29"/>
    </row>
    <row r="10360" spans="2:33">
      <c r="B10360" s="29"/>
      <c r="D10360" s="29"/>
      <c r="E10360" s="20"/>
      <c r="F10360" s="20"/>
      <c r="AC10360" s="20"/>
      <c r="AG10360" s="29"/>
    </row>
    <row r="10361" spans="2:33">
      <c r="B10361" s="29"/>
      <c r="D10361" s="29"/>
      <c r="E10361" s="20"/>
      <c r="F10361" s="20"/>
      <c r="AC10361" s="20"/>
      <c r="AG10361" s="29"/>
    </row>
    <row r="10362" spans="2:33">
      <c r="B10362" s="29"/>
      <c r="D10362" s="29"/>
      <c r="E10362" s="20"/>
      <c r="F10362" s="20"/>
      <c r="AC10362" s="20"/>
      <c r="AG10362" s="29"/>
    </row>
    <row r="10363" spans="2:33">
      <c r="B10363" s="29"/>
      <c r="D10363" s="29"/>
      <c r="E10363" s="20"/>
      <c r="F10363" s="20"/>
      <c r="AC10363" s="20"/>
      <c r="AG10363" s="29"/>
    </row>
    <row r="10364" spans="2:33">
      <c r="B10364" s="29"/>
      <c r="D10364" s="29"/>
      <c r="E10364" s="20"/>
      <c r="F10364" s="20"/>
      <c r="AC10364" s="20"/>
      <c r="AG10364" s="29"/>
    </row>
    <row r="10365" spans="2:33">
      <c r="B10365" s="29"/>
      <c r="D10365" s="29"/>
      <c r="E10365" s="20"/>
      <c r="F10365" s="20"/>
      <c r="AC10365" s="20"/>
      <c r="AG10365" s="29"/>
    </row>
    <row r="10366" spans="2:33">
      <c r="B10366" s="29"/>
      <c r="D10366" s="29"/>
      <c r="E10366" s="20"/>
      <c r="F10366" s="20"/>
      <c r="AC10366" s="20"/>
      <c r="AG10366" s="29"/>
    </row>
    <row r="10367" spans="2:33">
      <c r="B10367" s="29"/>
      <c r="D10367" s="29"/>
      <c r="E10367" s="20"/>
      <c r="F10367" s="20"/>
      <c r="AC10367" s="20"/>
      <c r="AG10367" s="29"/>
    </row>
    <row r="10368" spans="2:33">
      <c r="B10368" s="29"/>
      <c r="D10368" s="29"/>
      <c r="E10368" s="20"/>
      <c r="F10368" s="20"/>
      <c r="AC10368" s="20"/>
      <c r="AG10368" s="29"/>
    </row>
    <row r="10369" spans="2:33">
      <c r="B10369" s="29"/>
      <c r="D10369" s="29"/>
      <c r="E10369" s="20"/>
      <c r="F10369" s="20"/>
      <c r="AC10369" s="20"/>
      <c r="AG10369" s="29"/>
    </row>
    <row r="10370" spans="2:33">
      <c r="B10370" s="29"/>
      <c r="D10370" s="29"/>
      <c r="E10370" s="20"/>
      <c r="F10370" s="20"/>
      <c r="AC10370" s="20"/>
      <c r="AG10370" s="29"/>
    </row>
    <row r="10371" spans="2:33">
      <c r="B10371" s="29"/>
      <c r="D10371" s="29"/>
      <c r="E10371" s="20"/>
      <c r="F10371" s="20"/>
      <c r="AC10371" s="20"/>
      <c r="AG10371" s="29"/>
    </row>
    <row r="10372" spans="2:33">
      <c r="B10372" s="29"/>
      <c r="D10372" s="29"/>
      <c r="E10372" s="20"/>
      <c r="F10372" s="20"/>
      <c r="AC10372" s="20"/>
      <c r="AG10372" s="29"/>
    </row>
    <row r="10373" spans="2:33">
      <c r="B10373" s="29"/>
      <c r="D10373" s="29"/>
      <c r="E10373" s="20"/>
      <c r="F10373" s="20"/>
      <c r="AC10373" s="20"/>
      <c r="AG10373" s="29"/>
    </row>
    <row r="10374" spans="2:33">
      <c r="B10374" s="29"/>
      <c r="D10374" s="29"/>
      <c r="E10374" s="20"/>
      <c r="F10374" s="20"/>
      <c r="AC10374" s="20"/>
      <c r="AG10374" s="29"/>
    </row>
    <row r="10375" spans="2:33">
      <c r="B10375" s="29"/>
      <c r="D10375" s="29"/>
      <c r="E10375" s="20"/>
      <c r="F10375" s="20"/>
      <c r="AC10375" s="20"/>
      <c r="AG10375" s="29"/>
    </row>
    <row r="10376" spans="2:33">
      <c r="B10376" s="29"/>
      <c r="D10376" s="29"/>
      <c r="E10376" s="20"/>
      <c r="F10376" s="20"/>
      <c r="AC10376" s="20"/>
      <c r="AG10376" s="29"/>
    </row>
    <row r="10377" spans="2:33">
      <c r="B10377" s="29"/>
      <c r="D10377" s="29"/>
      <c r="E10377" s="20"/>
      <c r="F10377" s="20"/>
      <c r="AC10377" s="20"/>
      <c r="AG10377" s="29"/>
    </row>
    <row r="10378" spans="2:33">
      <c r="B10378" s="29"/>
      <c r="D10378" s="29"/>
      <c r="E10378" s="20"/>
      <c r="F10378" s="20"/>
      <c r="AC10378" s="20"/>
      <c r="AG10378" s="29"/>
    </row>
    <row r="10379" spans="2:33">
      <c r="B10379" s="29"/>
      <c r="D10379" s="29"/>
      <c r="E10379" s="20"/>
      <c r="F10379" s="20"/>
      <c r="AC10379" s="20"/>
      <c r="AG10379" s="29"/>
    </row>
    <row r="10380" spans="2:33">
      <c r="B10380" s="29"/>
      <c r="D10380" s="29"/>
      <c r="E10380" s="20"/>
      <c r="F10380" s="20"/>
      <c r="AC10380" s="20"/>
      <c r="AG10380" s="29"/>
    </row>
    <row r="10381" spans="2:33">
      <c r="B10381" s="29"/>
      <c r="D10381" s="29"/>
      <c r="E10381" s="20"/>
      <c r="F10381" s="20"/>
      <c r="AC10381" s="20"/>
      <c r="AG10381" s="29"/>
    </row>
    <row r="10382" spans="2:33">
      <c r="B10382" s="29"/>
      <c r="D10382" s="29"/>
      <c r="E10382" s="20"/>
      <c r="F10382" s="20"/>
      <c r="AC10382" s="20"/>
      <c r="AG10382" s="29"/>
    </row>
    <row r="10383" spans="2:33">
      <c r="B10383" s="29"/>
      <c r="D10383" s="29"/>
      <c r="E10383" s="20"/>
      <c r="F10383" s="20"/>
      <c r="AC10383" s="20"/>
      <c r="AG10383" s="29"/>
    </row>
    <row r="10384" spans="2:33">
      <c r="B10384" s="29"/>
      <c r="D10384" s="29"/>
      <c r="E10384" s="20"/>
      <c r="F10384" s="20"/>
      <c r="AC10384" s="20"/>
      <c r="AG10384" s="29"/>
    </row>
    <row r="10385" spans="2:33">
      <c r="B10385" s="29"/>
      <c r="D10385" s="29"/>
      <c r="E10385" s="20"/>
      <c r="F10385" s="20"/>
      <c r="AC10385" s="20"/>
      <c r="AG10385" s="29"/>
    </row>
    <row r="10386" spans="2:33">
      <c r="B10386" s="29"/>
      <c r="D10386" s="29"/>
      <c r="E10386" s="20"/>
      <c r="F10386" s="20"/>
      <c r="AC10386" s="20"/>
      <c r="AG10386" s="29"/>
    </row>
    <row r="10387" spans="2:33">
      <c r="B10387" s="29"/>
      <c r="D10387" s="29"/>
      <c r="E10387" s="20"/>
      <c r="F10387" s="20"/>
      <c r="AC10387" s="20"/>
      <c r="AG10387" s="29"/>
    </row>
    <row r="10388" spans="2:33">
      <c r="B10388" s="29"/>
      <c r="D10388" s="29"/>
      <c r="E10388" s="20"/>
      <c r="F10388" s="20"/>
      <c r="AC10388" s="20"/>
      <c r="AG10388" s="29"/>
    </row>
    <row r="10389" spans="2:33">
      <c r="B10389" s="29"/>
      <c r="D10389" s="29"/>
      <c r="E10389" s="20"/>
      <c r="F10389" s="20"/>
      <c r="AC10389" s="20"/>
      <c r="AG10389" s="29"/>
    </row>
    <row r="10390" spans="2:33">
      <c r="B10390" s="29"/>
      <c r="D10390" s="29"/>
      <c r="E10390" s="20"/>
      <c r="F10390" s="20"/>
      <c r="AC10390" s="20"/>
      <c r="AG10390" s="29"/>
    </row>
    <row r="10391" spans="2:33">
      <c r="B10391" s="29"/>
      <c r="D10391" s="29"/>
      <c r="E10391" s="20"/>
      <c r="F10391" s="20"/>
      <c r="AC10391" s="20"/>
      <c r="AG10391" s="29"/>
    </row>
    <row r="10392" spans="2:33">
      <c r="B10392" s="29"/>
      <c r="D10392" s="29"/>
      <c r="E10392" s="20"/>
      <c r="F10392" s="20"/>
      <c r="AC10392" s="20"/>
      <c r="AG10392" s="29"/>
    </row>
    <row r="10393" spans="2:33">
      <c r="B10393" s="29"/>
      <c r="D10393" s="29"/>
      <c r="E10393" s="20"/>
      <c r="F10393" s="20"/>
      <c r="AC10393" s="20"/>
      <c r="AG10393" s="29"/>
    </row>
    <row r="10394" spans="2:33">
      <c r="B10394" s="29"/>
      <c r="D10394" s="29"/>
      <c r="E10394" s="20"/>
      <c r="F10394" s="20"/>
      <c r="AC10394" s="20"/>
      <c r="AG10394" s="29"/>
    </row>
    <row r="10395" spans="2:33">
      <c r="B10395" s="29"/>
      <c r="D10395" s="29"/>
      <c r="E10395" s="20"/>
      <c r="F10395" s="20"/>
      <c r="AC10395" s="20"/>
      <c r="AG10395" s="29"/>
    </row>
    <row r="10396" spans="2:33">
      <c r="B10396" s="29"/>
      <c r="D10396" s="29"/>
      <c r="E10396" s="20"/>
      <c r="F10396" s="20"/>
      <c r="AC10396" s="20"/>
      <c r="AG10396" s="29"/>
    </row>
    <row r="10397" spans="2:33">
      <c r="B10397" s="29"/>
      <c r="D10397" s="29"/>
      <c r="E10397" s="20"/>
      <c r="F10397" s="20"/>
      <c r="AC10397" s="20"/>
      <c r="AG10397" s="29"/>
    </row>
    <row r="10398" spans="2:33">
      <c r="B10398" s="29"/>
      <c r="D10398" s="29"/>
      <c r="E10398" s="20"/>
      <c r="F10398" s="20"/>
      <c r="AC10398" s="20"/>
      <c r="AG10398" s="29"/>
    </row>
    <row r="10399" spans="2:33">
      <c r="B10399" s="29"/>
      <c r="D10399" s="29"/>
      <c r="E10399" s="20"/>
      <c r="F10399" s="20"/>
      <c r="AC10399" s="20"/>
      <c r="AG10399" s="29"/>
    </row>
    <row r="10400" spans="2:33">
      <c r="B10400" s="29"/>
      <c r="D10400" s="29"/>
      <c r="E10400" s="20"/>
      <c r="F10400" s="20"/>
      <c r="AC10400" s="20"/>
      <c r="AG10400" s="29"/>
    </row>
    <row r="10401" spans="2:33">
      <c r="B10401" s="29"/>
      <c r="D10401" s="29"/>
      <c r="E10401" s="20"/>
      <c r="F10401" s="20"/>
      <c r="AC10401" s="20"/>
      <c r="AG10401" s="29"/>
    </row>
    <row r="10402" spans="2:33">
      <c r="B10402" s="29"/>
      <c r="D10402" s="29"/>
      <c r="E10402" s="20"/>
      <c r="F10402" s="20"/>
      <c r="AC10402" s="20"/>
      <c r="AG10402" s="29"/>
    </row>
    <row r="10403" spans="2:33">
      <c r="B10403" s="29"/>
      <c r="D10403" s="29"/>
      <c r="E10403" s="20"/>
      <c r="F10403" s="20"/>
      <c r="AC10403" s="20"/>
      <c r="AG10403" s="29"/>
    </row>
    <row r="10404" spans="2:33">
      <c r="B10404" s="29"/>
      <c r="D10404" s="29"/>
      <c r="E10404" s="20"/>
      <c r="F10404" s="20"/>
      <c r="AC10404" s="20"/>
      <c r="AG10404" s="29"/>
    </row>
    <row r="10405" spans="2:33">
      <c r="B10405" s="29"/>
      <c r="D10405" s="29"/>
      <c r="E10405" s="20"/>
      <c r="F10405" s="20"/>
      <c r="AC10405" s="20"/>
      <c r="AG10405" s="29"/>
    </row>
    <row r="10406" spans="2:33">
      <c r="B10406" s="29"/>
      <c r="D10406" s="29"/>
      <c r="E10406" s="20"/>
      <c r="F10406" s="20"/>
      <c r="AC10406" s="20"/>
      <c r="AG10406" s="29"/>
    </row>
    <row r="10407" spans="2:33">
      <c r="B10407" s="29"/>
      <c r="D10407" s="29"/>
      <c r="E10407" s="20"/>
      <c r="F10407" s="20"/>
      <c r="AC10407" s="20"/>
      <c r="AG10407" s="29"/>
    </row>
    <row r="10408" spans="2:33">
      <c r="B10408" s="29"/>
      <c r="D10408" s="29"/>
      <c r="E10408" s="20"/>
      <c r="F10408" s="20"/>
      <c r="AC10408" s="20"/>
      <c r="AG10408" s="29"/>
    </row>
    <row r="10409" spans="2:33">
      <c r="B10409" s="29"/>
      <c r="D10409" s="29"/>
      <c r="E10409" s="20"/>
      <c r="F10409" s="20"/>
      <c r="AC10409" s="20"/>
      <c r="AG10409" s="29"/>
    </row>
    <row r="10410" spans="2:33">
      <c r="B10410" s="29"/>
      <c r="D10410" s="29"/>
      <c r="E10410" s="20"/>
      <c r="F10410" s="20"/>
      <c r="AC10410" s="20"/>
      <c r="AG10410" s="29"/>
    </row>
    <row r="10411" spans="2:33">
      <c r="B10411" s="29"/>
      <c r="D10411" s="29"/>
      <c r="E10411" s="20"/>
      <c r="F10411" s="20"/>
      <c r="AC10411" s="20"/>
      <c r="AG10411" s="29"/>
    </row>
    <row r="10412" spans="2:33">
      <c r="B10412" s="29"/>
      <c r="D10412" s="29"/>
      <c r="E10412" s="20"/>
      <c r="F10412" s="20"/>
      <c r="AC10412" s="20"/>
      <c r="AG10412" s="29"/>
    </row>
    <row r="10413" spans="2:33">
      <c r="B10413" s="29"/>
      <c r="D10413" s="29"/>
      <c r="E10413" s="20"/>
      <c r="F10413" s="20"/>
      <c r="AC10413" s="20"/>
      <c r="AG10413" s="29"/>
    </row>
    <row r="10414" spans="2:33">
      <c r="B10414" s="29"/>
      <c r="D10414" s="29"/>
      <c r="E10414" s="20"/>
      <c r="F10414" s="20"/>
      <c r="AC10414" s="20"/>
      <c r="AG10414" s="29"/>
    </row>
    <row r="10415" spans="2:33">
      <c r="B10415" s="29"/>
      <c r="D10415" s="29"/>
      <c r="E10415" s="20"/>
      <c r="F10415" s="20"/>
      <c r="AC10415" s="20"/>
      <c r="AG10415" s="29"/>
    </row>
    <row r="10416" spans="2:33">
      <c r="B10416" s="29"/>
      <c r="D10416" s="29"/>
      <c r="E10416" s="20"/>
      <c r="F10416" s="20"/>
      <c r="AC10416" s="20"/>
      <c r="AG10416" s="29"/>
    </row>
    <row r="10417" spans="2:33">
      <c r="B10417" s="29"/>
      <c r="D10417" s="29"/>
      <c r="E10417" s="20"/>
      <c r="F10417" s="20"/>
      <c r="AC10417" s="20"/>
      <c r="AG10417" s="29"/>
    </row>
    <row r="10418" spans="2:33">
      <c r="B10418" s="29"/>
      <c r="D10418" s="29"/>
      <c r="E10418" s="20"/>
      <c r="F10418" s="20"/>
      <c r="AC10418" s="20"/>
      <c r="AG10418" s="29"/>
    </row>
    <row r="10419" spans="2:33">
      <c r="B10419" s="29"/>
      <c r="D10419" s="29"/>
      <c r="E10419" s="20"/>
      <c r="F10419" s="20"/>
      <c r="AC10419" s="20"/>
      <c r="AG10419" s="29"/>
    </row>
    <row r="10420" spans="2:33">
      <c r="B10420" s="29"/>
      <c r="D10420" s="29"/>
      <c r="E10420" s="20"/>
      <c r="F10420" s="20"/>
      <c r="AC10420" s="20"/>
      <c r="AG10420" s="29"/>
    </row>
    <row r="10421" spans="2:33">
      <c r="B10421" s="29"/>
      <c r="D10421" s="29"/>
      <c r="E10421" s="20"/>
      <c r="F10421" s="20"/>
      <c r="AC10421" s="20"/>
      <c r="AG10421" s="29"/>
    </row>
    <row r="10422" spans="2:33">
      <c r="B10422" s="29"/>
      <c r="D10422" s="29"/>
      <c r="E10422" s="20"/>
      <c r="F10422" s="20"/>
      <c r="AC10422" s="20"/>
      <c r="AG10422" s="29"/>
    </row>
    <row r="10423" spans="2:33">
      <c r="B10423" s="29"/>
      <c r="D10423" s="29"/>
      <c r="E10423" s="20"/>
      <c r="F10423" s="20"/>
      <c r="AC10423" s="20"/>
      <c r="AG10423" s="29"/>
    </row>
    <row r="10424" spans="2:33">
      <c r="B10424" s="29"/>
      <c r="D10424" s="29"/>
      <c r="E10424" s="20"/>
      <c r="F10424" s="20"/>
      <c r="AC10424" s="20"/>
      <c r="AG10424" s="29"/>
    </row>
    <row r="10425" spans="2:33">
      <c r="B10425" s="29"/>
      <c r="D10425" s="29"/>
      <c r="E10425" s="20"/>
      <c r="F10425" s="20"/>
      <c r="AC10425" s="20"/>
      <c r="AG10425" s="29"/>
    </row>
    <row r="10426" spans="2:33">
      <c r="B10426" s="29"/>
      <c r="D10426" s="29"/>
      <c r="E10426" s="20"/>
      <c r="F10426" s="20"/>
      <c r="AC10426" s="20"/>
      <c r="AG10426" s="29"/>
    </row>
    <row r="10427" spans="2:33">
      <c r="B10427" s="29"/>
      <c r="D10427" s="29"/>
      <c r="E10427" s="20"/>
      <c r="F10427" s="20"/>
      <c r="AC10427" s="20"/>
      <c r="AG10427" s="29"/>
    </row>
    <row r="10428" spans="2:33">
      <c r="B10428" s="29"/>
      <c r="D10428" s="29"/>
      <c r="E10428" s="20"/>
      <c r="F10428" s="20"/>
      <c r="AC10428" s="20"/>
      <c r="AG10428" s="29"/>
    </row>
    <row r="10429" spans="2:33">
      <c r="B10429" s="29"/>
      <c r="D10429" s="29"/>
      <c r="E10429" s="20"/>
      <c r="F10429" s="20"/>
      <c r="AC10429" s="20"/>
      <c r="AG10429" s="29"/>
    </row>
    <row r="10430" spans="2:33">
      <c r="B10430" s="29"/>
      <c r="D10430" s="29"/>
      <c r="E10430" s="20"/>
      <c r="F10430" s="20"/>
      <c r="AC10430" s="20"/>
      <c r="AG10430" s="29"/>
    </row>
    <row r="10431" spans="2:33">
      <c r="B10431" s="29"/>
      <c r="D10431" s="29"/>
      <c r="E10431" s="20"/>
      <c r="F10431" s="20"/>
      <c r="AC10431" s="20"/>
      <c r="AG10431" s="29"/>
    </row>
    <row r="10432" spans="2:33">
      <c r="B10432" s="29"/>
      <c r="D10432" s="29"/>
      <c r="E10432" s="20"/>
      <c r="F10432" s="20"/>
      <c r="AC10432" s="20"/>
      <c r="AG10432" s="29"/>
    </row>
    <row r="10433" spans="2:33">
      <c r="B10433" s="29"/>
      <c r="D10433" s="29"/>
      <c r="E10433" s="20"/>
      <c r="F10433" s="20"/>
      <c r="AC10433" s="20"/>
      <c r="AG10433" s="29"/>
    </row>
    <row r="10434" spans="2:33">
      <c r="B10434" s="29"/>
      <c r="D10434" s="29"/>
      <c r="E10434" s="20"/>
      <c r="F10434" s="20"/>
      <c r="AC10434" s="20"/>
      <c r="AG10434" s="29"/>
    </row>
    <row r="10435" spans="2:33">
      <c r="B10435" s="29"/>
      <c r="D10435" s="29"/>
      <c r="E10435" s="20"/>
      <c r="F10435" s="20"/>
      <c r="AC10435" s="20"/>
      <c r="AG10435" s="29"/>
    </row>
    <row r="10436" spans="2:33">
      <c r="B10436" s="29"/>
      <c r="D10436" s="29"/>
      <c r="E10436" s="20"/>
      <c r="F10436" s="20"/>
      <c r="AC10436" s="20"/>
      <c r="AG10436" s="29"/>
    </row>
    <row r="10437" spans="2:33">
      <c r="B10437" s="29"/>
      <c r="D10437" s="29"/>
      <c r="E10437" s="20"/>
      <c r="F10437" s="20"/>
      <c r="AC10437" s="20"/>
      <c r="AG10437" s="29"/>
    </row>
    <row r="10438" spans="2:33">
      <c r="B10438" s="29"/>
      <c r="D10438" s="29"/>
      <c r="E10438" s="20"/>
      <c r="F10438" s="20"/>
      <c r="AC10438" s="20"/>
      <c r="AG10438" s="29"/>
    </row>
    <row r="10439" spans="2:33">
      <c r="B10439" s="29"/>
      <c r="D10439" s="29"/>
      <c r="E10439" s="20"/>
      <c r="F10439" s="20"/>
      <c r="AC10439" s="20"/>
      <c r="AG10439" s="29"/>
    </row>
    <row r="10440" spans="2:33">
      <c r="B10440" s="29"/>
      <c r="D10440" s="29"/>
      <c r="E10440" s="20"/>
      <c r="F10440" s="20"/>
      <c r="AC10440" s="20"/>
      <c r="AG10440" s="29"/>
    </row>
    <row r="10441" spans="2:33">
      <c r="B10441" s="29"/>
      <c r="D10441" s="29"/>
      <c r="E10441" s="20"/>
      <c r="F10441" s="20"/>
      <c r="AC10441" s="20"/>
      <c r="AG10441" s="29"/>
    </row>
    <row r="10442" spans="2:33">
      <c r="B10442" s="29"/>
      <c r="D10442" s="29"/>
      <c r="E10442" s="20"/>
      <c r="F10442" s="20"/>
      <c r="AC10442" s="20"/>
      <c r="AG10442" s="29"/>
    </row>
    <row r="10443" spans="2:33">
      <c r="B10443" s="29"/>
      <c r="D10443" s="29"/>
      <c r="E10443" s="20"/>
      <c r="F10443" s="20"/>
      <c r="AC10443" s="20"/>
      <c r="AG10443" s="29"/>
    </row>
    <row r="10444" spans="2:33">
      <c r="B10444" s="29"/>
      <c r="D10444" s="29"/>
      <c r="E10444" s="20"/>
      <c r="F10444" s="20"/>
      <c r="AC10444" s="20"/>
      <c r="AG10444" s="29"/>
    </row>
    <row r="10445" spans="2:33">
      <c r="B10445" s="29"/>
      <c r="D10445" s="29"/>
      <c r="E10445" s="20"/>
      <c r="F10445" s="20"/>
      <c r="AC10445" s="20"/>
      <c r="AG10445" s="29"/>
    </row>
    <row r="10446" spans="2:33">
      <c r="B10446" s="29"/>
      <c r="D10446" s="29"/>
      <c r="E10446" s="20"/>
      <c r="F10446" s="20"/>
      <c r="AC10446" s="20"/>
      <c r="AG10446" s="29"/>
    </row>
    <row r="10447" spans="2:33">
      <c r="B10447" s="29"/>
      <c r="D10447" s="29"/>
      <c r="E10447" s="20"/>
      <c r="F10447" s="20"/>
      <c r="AC10447" s="20"/>
      <c r="AG10447" s="29"/>
    </row>
    <row r="10448" spans="2:33">
      <c r="B10448" s="29"/>
      <c r="D10448" s="29"/>
      <c r="E10448" s="20"/>
      <c r="F10448" s="20"/>
      <c r="AC10448" s="20"/>
      <c r="AG10448" s="29"/>
    </row>
    <row r="10449" spans="2:33">
      <c r="B10449" s="29"/>
      <c r="D10449" s="29"/>
      <c r="E10449" s="20"/>
      <c r="F10449" s="20"/>
      <c r="AC10449" s="20"/>
      <c r="AG10449" s="29"/>
    </row>
    <row r="10450" spans="2:33">
      <c r="B10450" s="29"/>
      <c r="D10450" s="29"/>
      <c r="E10450" s="20"/>
      <c r="F10450" s="20"/>
      <c r="AC10450" s="20"/>
      <c r="AG10450" s="29"/>
    </row>
    <row r="10451" spans="2:33">
      <c r="B10451" s="29"/>
      <c r="D10451" s="29"/>
      <c r="E10451" s="20"/>
      <c r="F10451" s="20"/>
      <c r="AC10451" s="20"/>
      <c r="AG10451" s="29"/>
    </row>
    <row r="10452" spans="2:33">
      <c r="B10452" s="29"/>
      <c r="D10452" s="29"/>
      <c r="E10452" s="20"/>
      <c r="F10452" s="20"/>
      <c r="AC10452" s="20"/>
      <c r="AG10452" s="29"/>
    </row>
    <row r="10453" spans="2:33">
      <c r="B10453" s="29"/>
      <c r="D10453" s="29"/>
      <c r="E10453" s="20"/>
      <c r="F10453" s="20"/>
      <c r="AC10453" s="20"/>
      <c r="AG10453" s="29"/>
    </row>
    <row r="10454" spans="2:33">
      <c r="B10454" s="29"/>
      <c r="D10454" s="29"/>
      <c r="E10454" s="20"/>
      <c r="F10454" s="20"/>
      <c r="AC10454" s="20"/>
      <c r="AG10454" s="29"/>
    </row>
    <row r="10455" spans="2:33">
      <c r="B10455" s="29"/>
      <c r="D10455" s="29"/>
      <c r="E10455" s="20"/>
      <c r="F10455" s="20"/>
      <c r="AC10455" s="20"/>
      <c r="AG10455" s="29"/>
    </row>
    <row r="10456" spans="2:33">
      <c r="B10456" s="29"/>
      <c r="D10456" s="29"/>
      <c r="E10456" s="20"/>
      <c r="F10456" s="20"/>
      <c r="AC10456" s="20"/>
      <c r="AG10456" s="29"/>
    </row>
    <row r="10457" spans="2:33">
      <c r="B10457" s="29"/>
      <c r="D10457" s="29"/>
      <c r="E10457" s="20"/>
      <c r="F10457" s="20"/>
      <c r="AC10457" s="20"/>
      <c r="AG10457" s="29"/>
    </row>
    <row r="10458" spans="2:33">
      <c r="B10458" s="29"/>
      <c r="D10458" s="29"/>
      <c r="E10458" s="20"/>
      <c r="F10458" s="20"/>
      <c r="AC10458" s="20"/>
      <c r="AG10458" s="29"/>
    </row>
    <row r="10459" spans="2:33">
      <c r="B10459" s="29"/>
      <c r="D10459" s="29"/>
      <c r="E10459" s="20"/>
      <c r="F10459" s="20"/>
      <c r="AC10459" s="20"/>
      <c r="AG10459" s="29"/>
    </row>
    <row r="10460" spans="2:33">
      <c r="B10460" s="29"/>
      <c r="D10460" s="29"/>
      <c r="E10460" s="20"/>
      <c r="F10460" s="20"/>
      <c r="AC10460" s="20"/>
      <c r="AG10460" s="29"/>
    </row>
    <row r="10461" spans="2:33">
      <c r="B10461" s="29"/>
      <c r="D10461" s="29"/>
      <c r="E10461" s="20"/>
      <c r="F10461" s="20"/>
      <c r="AC10461" s="20"/>
      <c r="AG10461" s="29"/>
    </row>
    <row r="10462" spans="2:33">
      <c r="B10462" s="29"/>
      <c r="D10462" s="29"/>
      <c r="E10462" s="20"/>
      <c r="F10462" s="20"/>
      <c r="AC10462" s="20"/>
      <c r="AG10462" s="29"/>
    </row>
    <row r="10463" spans="2:33">
      <c r="B10463" s="29"/>
      <c r="D10463" s="29"/>
      <c r="E10463" s="20"/>
      <c r="F10463" s="20"/>
      <c r="AC10463" s="20"/>
      <c r="AG10463" s="29"/>
    </row>
    <row r="10464" spans="2:33">
      <c r="B10464" s="29"/>
      <c r="D10464" s="29"/>
      <c r="E10464" s="20"/>
      <c r="F10464" s="20"/>
      <c r="AC10464" s="20"/>
      <c r="AG10464" s="29"/>
    </row>
    <row r="10465" spans="2:33">
      <c r="B10465" s="29"/>
      <c r="D10465" s="29"/>
      <c r="E10465" s="20"/>
      <c r="F10465" s="20"/>
      <c r="AC10465" s="20"/>
      <c r="AG10465" s="29"/>
    </row>
    <row r="10466" spans="2:33">
      <c r="B10466" s="29"/>
      <c r="D10466" s="29"/>
      <c r="E10466" s="20"/>
      <c r="F10466" s="20"/>
      <c r="AC10466" s="20"/>
      <c r="AG10466" s="29"/>
    </row>
    <row r="10467" spans="2:33">
      <c r="B10467" s="29"/>
      <c r="D10467" s="29"/>
      <c r="E10467" s="20"/>
      <c r="F10467" s="20"/>
      <c r="AC10467" s="20"/>
      <c r="AG10467" s="29"/>
    </row>
    <row r="10468" spans="2:33">
      <c r="B10468" s="29"/>
      <c r="D10468" s="29"/>
      <c r="E10468" s="20"/>
      <c r="F10468" s="20"/>
      <c r="AC10468" s="20"/>
      <c r="AG10468" s="29"/>
    </row>
    <row r="10469" spans="2:33">
      <c r="B10469" s="29"/>
      <c r="D10469" s="29"/>
      <c r="E10469" s="20"/>
      <c r="F10469" s="20"/>
      <c r="AC10469" s="20"/>
      <c r="AG10469" s="29"/>
    </row>
    <row r="10470" spans="2:33">
      <c r="B10470" s="29"/>
      <c r="D10470" s="29"/>
      <c r="E10470" s="20"/>
      <c r="F10470" s="20"/>
      <c r="AC10470" s="20"/>
      <c r="AG10470" s="29"/>
    </row>
    <row r="10471" spans="2:33">
      <c r="B10471" s="29"/>
      <c r="D10471" s="29"/>
      <c r="E10471" s="20"/>
      <c r="F10471" s="20"/>
      <c r="AC10471" s="20"/>
      <c r="AG10471" s="29"/>
    </row>
    <row r="10472" spans="2:33">
      <c r="B10472" s="29"/>
      <c r="D10472" s="29"/>
      <c r="E10472" s="20"/>
      <c r="F10472" s="20"/>
      <c r="AC10472" s="20"/>
      <c r="AG10472" s="29"/>
    </row>
    <row r="10473" spans="2:33">
      <c r="B10473" s="29"/>
      <c r="D10473" s="29"/>
      <c r="E10473" s="20"/>
      <c r="F10473" s="20"/>
      <c r="AC10473" s="20"/>
      <c r="AG10473" s="29"/>
    </row>
    <row r="10474" spans="2:33">
      <c r="B10474" s="29"/>
      <c r="D10474" s="29"/>
      <c r="E10474" s="20"/>
      <c r="F10474" s="20"/>
      <c r="AC10474" s="20"/>
      <c r="AG10474" s="29"/>
    </row>
    <row r="10475" spans="2:33">
      <c r="B10475" s="29"/>
      <c r="D10475" s="29"/>
      <c r="E10475" s="20"/>
      <c r="F10475" s="20"/>
      <c r="AC10475" s="20"/>
      <c r="AG10475" s="29"/>
    </row>
    <row r="10476" spans="2:33">
      <c r="B10476" s="29"/>
      <c r="D10476" s="29"/>
      <c r="E10476" s="20"/>
      <c r="F10476" s="20"/>
      <c r="AC10476" s="20"/>
      <c r="AG10476" s="29"/>
    </row>
    <row r="10477" spans="2:33">
      <c r="B10477" s="29"/>
      <c r="D10477" s="29"/>
      <c r="E10477" s="20"/>
      <c r="F10477" s="20"/>
      <c r="AC10477" s="20"/>
      <c r="AG10477" s="29"/>
    </row>
    <row r="10478" spans="2:33">
      <c r="B10478" s="29"/>
      <c r="D10478" s="29"/>
      <c r="E10478" s="20"/>
      <c r="F10478" s="20"/>
      <c r="AC10478" s="20"/>
      <c r="AG10478" s="29"/>
    </row>
    <row r="10479" spans="2:33">
      <c r="B10479" s="29"/>
      <c r="D10479" s="29"/>
      <c r="E10479" s="20"/>
      <c r="F10479" s="20"/>
      <c r="AC10479" s="20"/>
      <c r="AG10479" s="29"/>
    </row>
    <row r="10480" spans="2:33">
      <c r="B10480" s="29"/>
      <c r="D10480" s="29"/>
      <c r="E10480" s="20"/>
      <c r="F10480" s="20"/>
      <c r="AC10480" s="20"/>
      <c r="AG10480" s="29"/>
    </row>
    <row r="10481" spans="2:33">
      <c r="B10481" s="29"/>
      <c r="D10481" s="29"/>
      <c r="E10481" s="20"/>
      <c r="F10481" s="20"/>
      <c r="AC10481" s="20"/>
      <c r="AG10481" s="29"/>
    </row>
    <row r="10482" spans="2:33">
      <c r="B10482" s="29"/>
      <c r="D10482" s="29"/>
      <c r="E10482" s="20"/>
      <c r="F10482" s="20"/>
      <c r="AC10482" s="20"/>
      <c r="AG10482" s="29"/>
    </row>
    <row r="10483" spans="2:33">
      <c r="B10483" s="29"/>
      <c r="D10483" s="29"/>
      <c r="E10483" s="20"/>
      <c r="F10483" s="20"/>
      <c r="AC10483" s="20"/>
      <c r="AG10483" s="29"/>
    </row>
    <row r="10484" spans="2:33">
      <c r="B10484" s="29"/>
      <c r="D10484" s="29"/>
      <c r="E10484" s="20"/>
      <c r="F10484" s="20"/>
      <c r="AC10484" s="20"/>
      <c r="AG10484" s="29"/>
    </row>
    <row r="10485" spans="2:33">
      <c r="B10485" s="29"/>
      <c r="D10485" s="29"/>
      <c r="E10485" s="20"/>
      <c r="F10485" s="20"/>
      <c r="AC10485" s="20"/>
      <c r="AG10485" s="29"/>
    </row>
    <row r="10486" spans="2:33">
      <c r="B10486" s="29"/>
      <c r="D10486" s="29"/>
      <c r="E10486" s="20"/>
      <c r="F10486" s="20"/>
      <c r="AC10486" s="20"/>
      <c r="AG10486" s="29"/>
    </row>
    <row r="10487" spans="2:33">
      <c r="B10487" s="29"/>
      <c r="D10487" s="29"/>
      <c r="E10487" s="20"/>
      <c r="F10487" s="20"/>
      <c r="AC10487" s="20"/>
      <c r="AG10487" s="29"/>
    </row>
    <row r="10488" spans="2:33">
      <c r="B10488" s="29"/>
      <c r="D10488" s="29"/>
      <c r="E10488" s="20"/>
      <c r="F10488" s="20"/>
      <c r="AC10488" s="20"/>
      <c r="AG10488" s="29"/>
    </row>
    <row r="10489" spans="2:33">
      <c r="B10489" s="29"/>
      <c r="D10489" s="29"/>
      <c r="E10489" s="20"/>
      <c r="F10489" s="20"/>
      <c r="AC10489" s="20"/>
      <c r="AG10489" s="29"/>
    </row>
    <row r="10490" spans="2:33">
      <c r="B10490" s="29"/>
      <c r="D10490" s="29"/>
      <c r="E10490" s="20"/>
      <c r="F10490" s="20"/>
      <c r="AC10490" s="20"/>
      <c r="AG10490" s="29"/>
    </row>
    <row r="10491" spans="2:33">
      <c r="B10491" s="29"/>
      <c r="D10491" s="29"/>
      <c r="E10491" s="20"/>
      <c r="F10491" s="20"/>
      <c r="AC10491" s="20"/>
      <c r="AG10491" s="29"/>
    </row>
    <row r="10492" spans="2:33">
      <c r="B10492" s="29"/>
      <c r="D10492" s="29"/>
      <c r="E10492" s="20"/>
      <c r="F10492" s="20"/>
      <c r="AC10492" s="20"/>
      <c r="AG10492" s="29"/>
    </row>
    <row r="10493" spans="2:33">
      <c r="B10493" s="29"/>
      <c r="D10493" s="29"/>
      <c r="E10493" s="20"/>
      <c r="F10493" s="20"/>
      <c r="AC10493" s="20"/>
      <c r="AG10493" s="29"/>
    </row>
    <row r="10494" spans="2:33">
      <c r="B10494" s="29"/>
      <c r="D10494" s="29"/>
      <c r="E10494" s="20"/>
      <c r="F10494" s="20"/>
      <c r="AC10494" s="20"/>
      <c r="AG10494" s="29"/>
    </row>
    <row r="10495" spans="2:33">
      <c r="B10495" s="29"/>
      <c r="D10495" s="29"/>
      <c r="E10495" s="20"/>
      <c r="F10495" s="20"/>
      <c r="AC10495" s="20"/>
      <c r="AG10495" s="29"/>
    </row>
    <row r="10496" spans="2:33">
      <c r="B10496" s="29"/>
      <c r="D10496" s="29"/>
      <c r="E10496" s="20"/>
      <c r="F10496" s="20"/>
      <c r="AC10496" s="20"/>
      <c r="AG10496" s="29"/>
    </row>
    <row r="10497" spans="2:33">
      <c r="B10497" s="29"/>
      <c r="D10497" s="29"/>
      <c r="E10497" s="20"/>
      <c r="F10497" s="20"/>
      <c r="AC10497" s="20"/>
      <c r="AG10497" s="29"/>
    </row>
    <row r="10498" spans="2:33">
      <c r="B10498" s="29"/>
      <c r="D10498" s="29"/>
      <c r="E10498" s="20"/>
      <c r="F10498" s="20"/>
      <c r="AC10498" s="20"/>
      <c r="AG10498" s="29"/>
    </row>
    <row r="10499" spans="2:33">
      <c r="B10499" s="29"/>
      <c r="D10499" s="29"/>
      <c r="E10499" s="20"/>
      <c r="F10499" s="20"/>
      <c r="AC10499" s="20"/>
      <c r="AG10499" s="29"/>
    </row>
    <row r="10500" spans="2:33">
      <c r="B10500" s="29"/>
      <c r="D10500" s="29"/>
      <c r="E10500" s="20"/>
      <c r="F10500" s="20"/>
      <c r="AC10500" s="20"/>
      <c r="AG10500" s="29"/>
    </row>
    <row r="10501" spans="2:33">
      <c r="B10501" s="29"/>
      <c r="D10501" s="29"/>
      <c r="E10501" s="20"/>
      <c r="F10501" s="20"/>
      <c r="AC10501" s="20"/>
      <c r="AG10501" s="29"/>
    </row>
    <row r="10502" spans="2:33">
      <c r="B10502" s="29"/>
      <c r="D10502" s="29"/>
      <c r="E10502" s="20"/>
      <c r="F10502" s="20"/>
      <c r="AC10502" s="20"/>
      <c r="AG10502" s="29"/>
    </row>
    <row r="10503" spans="2:33">
      <c r="B10503" s="29"/>
      <c r="D10503" s="29"/>
      <c r="E10503" s="20"/>
      <c r="F10503" s="20"/>
      <c r="AC10503" s="20"/>
      <c r="AG10503" s="29"/>
    </row>
    <row r="10504" spans="2:33">
      <c r="B10504" s="29"/>
      <c r="D10504" s="29"/>
      <c r="E10504" s="20"/>
      <c r="F10504" s="20"/>
      <c r="AC10504" s="20"/>
      <c r="AG10504" s="29"/>
    </row>
    <row r="10505" spans="2:33">
      <c r="B10505" s="29"/>
      <c r="D10505" s="29"/>
      <c r="E10505" s="20"/>
      <c r="F10505" s="20"/>
      <c r="AC10505" s="20"/>
      <c r="AG10505" s="29"/>
    </row>
    <row r="10506" spans="2:33">
      <c r="B10506" s="29"/>
      <c r="D10506" s="29"/>
      <c r="E10506" s="20"/>
      <c r="F10506" s="20"/>
      <c r="AC10506" s="20"/>
      <c r="AG10506" s="29"/>
    </row>
    <row r="10507" spans="2:33">
      <c r="B10507" s="29"/>
      <c r="D10507" s="29"/>
      <c r="E10507" s="20"/>
      <c r="F10507" s="20"/>
      <c r="AC10507" s="20"/>
      <c r="AG10507" s="29"/>
    </row>
    <row r="10508" spans="2:33">
      <c r="B10508" s="29"/>
      <c r="D10508" s="29"/>
      <c r="E10508" s="20"/>
      <c r="F10508" s="20"/>
      <c r="AC10508" s="20"/>
      <c r="AG10508" s="29"/>
    </row>
    <row r="10509" spans="2:33">
      <c r="B10509" s="29"/>
      <c r="D10509" s="29"/>
      <c r="E10509" s="20"/>
      <c r="F10509" s="20"/>
      <c r="AC10509" s="20"/>
      <c r="AG10509" s="29"/>
    </row>
    <row r="10510" spans="2:33">
      <c r="B10510" s="29"/>
      <c r="D10510" s="29"/>
      <c r="E10510" s="20"/>
      <c r="F10510" s="20"/>
      <c r="AC10510" s="20"/>
      <c r="AG10510" s="29"/>
    </row>
    <row r="10511" spans="2:33">
      <c r="B10511" s="29"/>
      <c r="D10511" s="29"/>
      <c r="E10511" s="20"/>
      <c r="F10511" s="20"/>
      <c r="AC10511" s="20"/>
      <c r="AG10511" s="29"/>
    </row>
    <row r="10512" spans="2:33">
      <c r="B10512" s="29"/>
      <c r="D10512" s="29"/>
      <c r="E10512" s="20"/>
      <c r="F10512" s="20"/>
      <c r="AC10512" s="20"/>
      <c r="AG10512" s="29"/>
    </row>
    <row r="10513" spans="2:33">
      <c r="B10513" s="29"/>
      <c r="D10513" s="29"/>
      <c r="E10513" s="20"/>
      <c r="F10513" s="20"/>
      <c r="AC10513" s="20"/>
      <c r="AG10513" s="29"/>
    </row>
    <row r="10514" spans="2:33">
      <c r="B10514" s="29"/>
      <c r="D10514" s="29"/>
      <c r="E10514" s="20"/>
      <c r="F10514" s="20"/>
      <c r="AC10514" s="20"/>
      <c r="AG10514" s="29"/>
    </row>
    <row r="10515" spans="2:33">
      <c r="B10515" s="29"/>
      <c r="D10515" s="29"/>
      <c r="E10515" s="20"/>
      <c r="F10515" s="20"/>
      <c r="AC10515" s="20"/>
      <c r="AG10515" s="29"/>
    </row>
    <row r="10516" spans="2:33">
      <c r="B10516" s="29"/>
      <c r="D10516" s="29"/>
      <c r="E10516" s="20"/>
      <c r="F10516" s="20"/>
      <c r="AC10516" s="20"/>
      <c r="AG10516" s="29"/>
    </row>
    <row r="10517" spans="2:33">
      <c r="B10517" s="29"/>
      <c r="D10517" s="29"/>
      <c r="E10517" s="20"/>
      <c r="F10517" s="20"/>
      <c r="AC10517" s="20"/>
      <c r="AG10517" s="29"/>
    </row>
    <row r="10518" spans="2:33">
      <c r="B10518" s="29"/>
      <c r="D10518" s="29"/>
      <c r="E10518" s="20"/>
      <c r="F10518" s="20"/>
      <c r="AC10518" s="20"/>
      <c r="AG10518" s="29"/>
    </row>
    <row r="10519" spans="2:33">
      <c r="B10519" s="29"/>
      <c r="D10519" s="29"/>
      <c r="E10519" s="20"/>
      <c r="F10519" s="20"/>
      <c r="AC10519" s="20"/>
      <c r="AG10519" s="29"/>
    </row>
    <row r="10520" spans="2:33">
      <c r="B10520" s="29"/>
      <c r="D10520" s="29"/>
      <c r="E10520" s="20"/>
      <c r="F10520" s="20"/>
      <c r="AC10520" s="20"/>
      <c r="AG10520" s="29"/>
    </row>
    <row r="10521" spans="2:33">
      <c r="B10521" s="29"/>
      <c r="D10521" s="29"/>
      <c r="E10521" s="20"/>
      <c r="F10521" s="20"/>
      <c r="AC10521" s="20"/>
      <c r="AG10521" s="29"/>
    </row>
    <row r="10522" spans="2:33">
      <c r="B10522" s="29"/>
      <c r="D10522" s="29"/>
      <c r="E10522" s="20"/>
      <c r="F10522" s="20"/>
      <c r="AC10522" s="20"/>
      <c r="AG10522" s="29"/>
    </row>
    <row r="10523" spans="2:33">
      <c r="B10523" s="29"/>
      <c r="D10523" s="29"/>
      <c r="E10523" s="20"/>
      <c r="F10523" s="20"/>
      <c r="AC10523" s="20"/>
      <c r="AG10523" s="29"/>
    </row>
    <row r="10524" spans="2:33">
      <c r="B10524" s="29"/>
      <c r="D10524" s="29"/>
      <c r="E10524" s="20"/>
      <c r="F10524" s="20"/>
      <c r="AC10524" s="20"/>
      <c r="AG10524" s="29"/>
    </row>
    <row r="10525" spans="2:33">
      <c r="B10525" s="29"/>
      <c r="D10525" s="29"/>
      <c r="E10525" s="20"/>
      <c r="F10525" s="20"/>
      <c r="AC10525" s="20"/>
      <c r="AG10525" s="29"/>
    </row>
    <row r="10526" spans="2:33">
      <c r="B10526" s="29"/>
      <c r="D10526" s="29"/>
      <c r="E10526" s="20"/>
      <c r="F10526" s="20"/>
      <c r="AC10526" s="20"/>
      <c r="AG10526" s="29"/>
    </row>
    <row r="10527" spans="2:33">
      <c r="B10527" s="29"/>
      <c r="D10527" s="29"/>
      <c r="E10527" s="20"/>
      <c r="F10527" s="20"/>
      <c r="AC10527" s="20"/>
      <c r="AG10527" s="29"/>
    </row>
    <row r="10528" spans="2:33">
      <c r="B10528" s="29"/>
      <c r="D10528" s="29"/>
      <c r="E10528" s="20"/>
      <c r="F10528" s="20"/>
      <c r="AC10528" s="20"/>
      <c r="AG10528" s="29"/>
    </row>
    <row r="10529" spans="2:33">
      <c r="B10529" s="29"/>
      <c r="D10529" s="29"/>
      <c r="E10529" s="20"/>
      <c r="F10529" s="20"/>
      <c r="AC10529" s="20"/>
      <c r="AG10529" s="29"/>
    </row>
    <row r="10530" spans="2:33">
      <c r="B10530" s="29"/>
      <c r="D10530" s="29"/>
      <c r="E10530" s="20"/>
      <c r="F10530" s="20"/>
      <c r="AC10530" s="20"/>
      <c r="AG10530" s="29"/>
    </row>
    <row r="10531" spans="2:33">
      <c r="B10531" s="29"/>
      <c r="D10531" s="29"/>
      <c r="E10531" s="20"/>
      <c r="F10531" s="20"/>
      <c r="AC10531" s="20"/>
      <c r="AG10531" s="29"/>
    </row>
    <row r="10532" spans="2:33">
      <c r="B10532" s="29"/>
      <c r="D10532" s="29"/>
      <c r="E10532" s="20"/>
      <c r="F10532" s="20"/>
      <c r="AC10532" s="20"/>
      <c r="AG10532" s="29"/>
    </row>
    <row r="10533" spans="2:33">
      <c r="B10533" s="29"/>
      <c r="D10533" s="29"/>
      <c r="E10533" s="20"/>
      <c r="F10533" s="20"/>
      <c r="AC10533" s="20"/>
      <c r="AG10533" s="29"/>
    </row>
    <row r="10534" spans="2:33">
      <c r="B10534" s="29"/>
      <c r="D10534" s="29"/>
      <c r="E10534" s="20"/>
      <c r="F10534" s="20"/>
      <c r="AC10534" s="20"/>
      <c r="AG10534" s="29"/>
    </row>
    <row r="10535" spans="2:33">
      <c r="B10535" s="29"/>
      <c r="D10535" s="29"/>
      <c r="E10535" s="20"/>
      <c r="F10535" s="20"/>
      <c r="AC10535" s="20"/>
      <c r="AG10535" s="29"/>
    </row>
    <row r="10536" spans="2:33">
      <c r="B10536" s="29"/>
      <c r="D10536" s="29"/>
      <c r="E10536" s="20"/>
      <c r="F10536" s="20"/>
      <c r="AC10536" s="20"/>
      <c r="AG10536" s="29"/>
    </row>
    <row r="10537" spans="2:33">
      <c r="B10537" s="29"/>
      <c r="D10537" s="29"/>
      <c r="E10537" s="20"/>
      <c r="F10537" s="20"/>
      <c r="AC10537" s="20"/>
      <c r="AG10537" s="29"/>
    </row>
    <row r="10538" spans="2:33">
      <c r="B10538" s="29"/>
      <c r="D10538" s="29"/>
      <c r="E10538" s="20"/>
      <c r="F10538" s="20"/>
      <c r="AC10538" s="20"/>
      <c r="AG10538" s="29"/>
    </row>
    <row r="10539" spans="2:33">
      <c r="B10539" s="29"/>
      <c r="D10539" s="29"/>
      <c r="E10539" s="20"/>
      <c r="F10539" s="20"/>
      <c r="AC10539" s="20"/>
      <c r="AG10539" s="29"/>
    </row>
    <row r="10540" spans="2:33">
      <c r="B10540" s="29"/>
      <c r="D10540" s="29"/>
      <c r="E10540" s="20"/>
      <c r="F10540" s="20"/>
      <c r="AC10540" s="20"/>
      <c r="AG10540" s="29"/>
    </row>
    <row r="10541" spans="2:33">
      <c r="B10541" s="29"/>
      <c r="D10541" s="29"/>
      <c r="E10541" s="20"/>
      <c r="F10541" s="20"/>
      <c r="AC10541" s="20"/>
      <c r="AG10541" s="29"/>
    </row>
    <row r="10542" spans="2:33">
      <c r="B10542" s="29"/>
      <c r="D10542" s="29"/>
      <c r="E10542" s="20"/>
      <c r="F10542" s="20"/>
      <c r="AC10542" s="20"/>
      <c r="AG10542" s="29"/>
    </row>
    <row r="10543" spans="2:33">
      <c r="B10543" s="29"/>
      <c r="D10543" s="29"/>
      <c r="E10543" s="20"/>
      <c r="F10543" s="20"/>
      <c r="AC10543" s="20"/>
      <c r="AG10543" s="29"/>
    </row>
    <row r="10544" spans="2:33">
      <c r="B10544" s="29"/>
      <c r="D10544" s="29"/>
      <c r="E10544" s="20"/>
      <c r="F10544" s="20"/>
      <c r="AC10544" s="20"/>
      <c r="AG10544" s="29"/>
    </row>
    <row r="10545" spans="2:33">
      <c r="B10545" s="29"/>
      <c r="D10545" s="29"/>
      <c r="E10545" s="20"/>
      <c r="F10545" s="20"/>
      <c r="AC10545" s="20"/>
      <c r="AG10545" s="29"/>
    </row>
    <row r="10546" spans="2:33">
      <c r="B10546" s="29"/>
      <c r="D10546" s="29"/>
      <c r="E10546" s="20"/>
      <c r="F10546" s="20"/>
      <c r="AC10546" s="20"/>
      <c r="AG10546" s="29"/>
    </row>
    <row r="10547" spans="2:33">
      <c r="B10547" s="29"/>
      <c r="D10547" s="29"/>
      <c r="E10547" s="20"/>
      <c r="F10547" s="20"/>
      <c r="AC10547" s="20"/>
      <c r="AG10547" s="29"/>
    </row>
    <row r="10548" spans="2:33">
      <c r="B10548" s="29"/>
      <c r="D10548" s="29"/>
      <c r="E10548" s="20"/>
      <c r="F10548" s="20"/>
      <c r="AC10548" s="20"/>
      <c r="AG10548" s="29"/>
    </row>
    <row r="10549" spans="2:33">
      <c r="B10549" s="29"/>
      <c r="D10549" s="29"/>
      <c r="E10549" s="20"/>
      <c r="F10549" s="20"/>
      <c r="AC10549" s="20"/>
      <c r="AG10549" s="29"/>
    </row>
    <row r="10550" spans="2:33">
      <c r="B10550" s="29"/>
      <c r="D10550" s="29"/>
      <c r="E10550" s="20"/>
      <c r="F10550" s="20"/>
      <c r="AC10550" s="20"/>
      <c r="AG10550" s="29"/>
    </row>
    <row r="10551" spans="2:33">
      <c r="B10551" s="29"/>
      <c r="D10551" s="29"/>
      <c r="E10551" s="20"/>
      <c r="F10551" s="20"/>
      <c r="AC10551" s="20"/>
      <c r="AG10551" s="29"/>
    </row>
    <row r="10552" spans="2:33">
      <c r="B10552" s="29"/>
      <c r="D10552" s="29"/>
      <c r="E10552" s="20"/>
      <c r="F10552" s="20"/>
      <c r="AC10552" s="20"/>
      <c r="AG10552" s="29"/>
    </row>
    <row r="10553" spans="2:33">
      <c r="B10553" s="29"/>
      <c r="D10553" s="29"/>
      <c r="E10553" s="20"/>
      <c r="F10553" s="20"/>
      <c r="AC10553" s="20"/>
      <c r="AG10553" s="29"/>
    </row>
    <row r="10554" spans="2:33">
      <c r="B10554" s="29"/>
      <c r="D10554" s="29"/>
      <c r="E10554" s="20"/>
      <c r="F10554" s="20"/>
      <c r="AC10554" s="20"/>
      <c r="AG10554" s="29"/>
    </row>
    <row r="10555" spans="2:33">
      <c r="B10555" s="29"/>
      <c r="D10555" s="29"/>
      <c r="E10555" s="20"/>
      <c r="F10555" s="20"/>
      <c r="AC10555" s="20"/>
      <c r="AG10555" s="29"/>
    </row>
    <row r="10556" spans="2:33">
      <c r="B10556" s="29"/>
      <c r="D10556" s="29"/>
      <c r="E10556" s="20"/>
      <c r="F10556" s="20"/>
      <c r="AC10556" s="20"/>
      <c r="AG10556" s="29"/>
    </row>
    <row r="10557" spans="2:33">
      <c r="B10557" s="29"/>
      <c r="D10557" s="29"/>
      <c r="E10557" s="20"/>
      <c r="F10557" s="20"/>
      <c r="AC10557" s="20"/>
      <c r="AG10557" s="29"/>
    </row>
    <row r="10558" spans="2:33">
      <c r="B10558" s="29"/>
      <c r="D10558" s="29"/>
      <c r="E10558" s="20"/>
      <c r="F10558" s="20"/>
      <c r="AC10558" s="20"/>
      <c r="AG10558" s="29"/>
    </row>
    <row r="10559" spans="2:33">
      <c r="B10559" s="29"/>
      <c r="D10559" s="29"/>
      <c r="E10559" s="20"/>
      <c r="F10559" s="20"/>
      <c r="AC10559" s="20"/>
      <c r="AG10559" s="29"/>
    </row>
    <row r="10560" spans="2:33">
      <c r="B10560" s="29"/>
      <c r="D10560" s="29"/>
      <c r="E10560" s="20"/>
      <c r="F10560" s="20"/>
      <c r="AC10560" s="20"/>
      <c r="AG10560" s="29"/>
    </row>
    <row r="10561" spans="2:33">
      <c r="B10561" s="29"/>
      <c r="D10561" s="29"/>
      <c r="E10561" s="20"/>
      <c r="F10561" s="20"/>
      <c r="AC10561" s="20"/>
      <c r="AG10561" s="29"/>
    </row>
    <row r="10562" spans="2:33">
      <c r="B10562" s="29"/>
      <c r="D10562" s="29"/>
      <c r="E10562" s="20"/>
      <c r="F10562" s="20"/>
      <c r="AC10562" s="20"/>
      <c r="AG10562" s="29"/>
    </row>
    <row r="10563" spans="2:33">
      <c r="B10563" s="29"/>
      <c r="D10563" s="29"/>
      <c r="E10563" s="20"/>
      <c r="F10563" s="20"/>
      <c r="AC10563" s="20"/>
      <c r="AG10563" s="29"/>
    </row>
    <row r="10564" spans="2:33">
      <c r="B10564" s="29"/>
      <c r="D10564" s="29"/>
      <c r="E10564" s="20"/>
      <c r="F10564" s="20"/>
      <c r="AC10564" s="20"/>
      <c r="AG10564" s="29"/>
    </row>
    <row r="10565" spans="2:33">
      <c r="B10565" s="29"/>
      <c r="D10565" s="29"/>
      <c r="E10565" s="20"/>
      <c r="F10565" s="20"/>
      <c r="AC10565" s="20"/>
      <c r="AG10565" s="29"/>
    </row>
    <row r="10566" spans="2:33">
      <c r="B10566" s="29"/>
      <c r="D10566" s="29"/>
      <c r="E10566" s="20"/>
      <c r="F10566" s="20"/>
      <c r="AC10566" s="20"/>
      <c r="AG10566" s="29"/>
    </row>
    <row r="10567" spans="2:33">
      <c r="B10567" s="29"/>
      <c r="D10567" s="29"/>
      <c r="E10567" s="20"/>
      <c r="F10567" s="20"/>
      <c r="AC10567" s="20"/>
      <c r="AG10567" s="29"/>
    </row>
    <row r="10568" spans="2:33">
      <c r="B10568" s="29"/>
      <c r="D10568" s="29"/>
      <c r="E10568" s="20"/>
      <c r="F10568" s="20"/>
      <c r="AC10568" s="20"/>
      <c r="AG10568" s="29"/>
    </row>
    <row r="10569" spans="2:33">
      <c r="B10569" s="29"/>
      <c r="D10569" s="29"/>
      <c r="E10569" s="20"/>
      <c r="F10569" s="20"/>
      <c r="AC10569" s="20"/>
      <c r="AG10569" s="29"/>
    </row>
    <row r="10570" spans="2:33">
      <c r="B10570" s="29"/>
      <c r="D10570" s="29"/>
      <c r="E10570" s="20"/>
      <c r="F10570" s="20"/>
      <c r="AC10570" s="20"/>
      <c r="AG10570" s="29"/>
    </row>
    <row r="10571" spans="2:33">
      <c r="B10571" s="29"/>
      <c r="D10571" s="29"/>
      <c r="E10571" s="20"/>
      <c r="F10571" s="20"/>
      <c r="AC10571" s="20"/>
      <c r="AG10571" s="29"/>
    </row>
    <row r="10572" spans="2:33">
      <c r="B10572" s="29"/>
      <c r="D10572" s="29"/>
      <c r="E10572" s="20"/>
      <c r="F10572" s="20"/>
      <c r="AC10572" s="20"/>
      <c r="AG10572" s="29"/>
    </row>
    <row r="10573" spans="2:33">
      <c r="B10573" s="29"/>
      <c r="D10573" s="29"/>
      <c r="E10573" s="20"/>
      <c r="F10573" s="20"/>
      <c r="AC10573" s="20"/>
      <c r="AG10573" s="29"/>
    </row>
    <row r="10574" spans="2:33">
      <c r="B10574" s="29"/>
      <c r="D10574" s="29"/>
      <c r="E10574" s="20"/>
      <c r="F10574" s="20"/>
      <c r="AC10574" s="20"/>
      <c r="AG10574" s="29"/>
    </row>
    <row r="10575" spans="2:33">
      <c r="B10575" s="29"/>
      <c r="D10575" s="29"/>
      <c r="E10575" s="20"/>
      <c r="F10575" s="20"/>
      <c r="AC10575" s="20"/>
      <c r="AG10575" s="29"/>
    </row>
    <row r="10576" spans="2:33">
      <c r="B10576" s="29"/>
      <c r="D10576" s="29"/>
      <c r="E10576" s="20"/>
      <c r="F10576" s="20"/>
      <c r="AC10576" s="20"/>
      <c r="AG10576" s="29"/>
    </row>
    <row r="10577" spans="2:33">
      <c r="B10577" s="29"/>
      <c r="D10577" s="29"/>
      <c r="E10577" s="20"/>
      <c r="F10577" s="20"/>
      <c r="AC10577" s="20"/>
      <c r="AG10577" s="29"/>
    </row>
    <row r="10578" spans="2:33">
      <c r="B10578" s="29"/>
      <c r="D10578" s="29"/>
      <c r="E10578" s="20"/>
      <c r="F10578" s="20"/>
      <c r="AC10578" s="20"/>
      <c r="AG10578" s="29"/>
    </row>
    <row r="10579" spans="2:33">
      <c r="B10579" s="29"/>
      <c r="D10579" s="29"/>
      <c r="E10579" s="20"/>
      <c r="F10579" s="20"/>
      <c r="AC10579" s="20"/>
      <c r="AG10579" s="29"/>
    </row>
    <row r="10580" spans="2:33">
      <c r="B10580" s="29"/>
      <c r="D10580" s="29"/>
      <c r="E10580" s="20"/>
      <c r="F10580" s="20"/>
      <c r="AC10580" s="20"/>
      <c r="AG10580" s="29"/>
    </row>
    <row r="10581" spans="2:33">
      <c r="B10581" s="29"/>
      <c r="D10581" s="29"/>
      <c r="E10581" s="20"/>
      <c r="F10581" s="20"/>
      <c r="AC10581" s="20"/>
      <c r="AG10581" s="29"/>
    </row>
    <row r="10582" spans="2:33">
      <c r="B10582" s="29"/>
      <c r="D10582" s="29"/>
      <c r="E10582" s="20"/>
      <c r="F10582" s="20"/>
      <c r="AC10582" s="20"/>
      <c r="AG10582" s="29"/>
    </row>
    <row r="10583" spans="2:33">
      <c r="B10583" s="29"/>
      <c r="D10583" s="29"/>
      <c r="E10583" s="20"/>
      <c r="F10583" s="20"/>
      <c r="AC10583" s="20"/>
      <c r="AG10583" s="29"/>
    </row>
    <row r="10584" spans="2:33">
      <c r="B10584" s="29"/>
      <c r="D10584" s="29"/>
      <c r="E10584" s="20"/>
      <c r="F10584" s="20"/>
      <c r="AC10584" s="20"/>
      <c r="AG10584" s="29"/>
    </row>
    <row r="10585" spans="2:33">
      <c r="B10585" s="29"/>
      <c r="D10585" s="29"/>
      <c r="E10585" s="20"/>
      <c r="F10585" s="20"/>
      <c r="AC10585" s="20"/>
      <c r="AG10585" s="29"/>
    </row>
    <row r="10586" spans="2:33">
      <c r="B10586" s="29"/>
      <c r="D10586" s="29"/>
      <c r="E10586" s="20"/>
      <c r="F10586" s="20"/>
      <c r="AC10586" s="20"/>
      <c r="AG10586" s="29"/>
    </row>
    <row r="10587" spans="2:33">
      <c r="B10587" s="29"/>
      <c r="D10587" s="29"/>
      <c r="E10587" s="20"/>
      <c r="F10587" s="20"/>
      <c r="AC10587" s="20"/>
      <c r="AG10587" s="29"/>
    </row>
    <row r="10588" spans="2:33">
      <c r="B10588" s="29"/>
      <c r="D10588" s="29"/>
      <c r="E10588" s="20"/>
      <c r="F10588" s="20"/>
      <c r="AC10588" s="20"/>
      <c r="AG10588" s="29"/>
    </row>
    <row r="10589" spans="2:33">
      <c r="B10589" s="29"/>
      <c r="D10589" s="29"/>
      <c r="E10589" s="20"/>
      <c r="F10589" s="20"/>
      <c r="AC10589" s="20"/>
      <c r="AG10589" s="29"/>
    </row>
    <row r="10590" spans="2:33">
      <c r="B10590" s="29"/>
      <c r="D10590" s="29"/>
      <c r="E10590" s="20"/>
      <c r="F10590" s="20"/>
      <c r="AC10590" s="20"/>
      <c r="AG10590" s="29"/>
    </row>
    <row r="10591" spans="2:33">
      <c r="B10591" s="29"/>
      <c r="D10591" s="29"/>
      <c r="E10591" s="20"/>
      <c r="F10591" s="20"/>
      <c r="AC10591" s="20"/>
      <c r="AG10591" s="29"/>
    </row>
    <row r="10592" spans="2:33">
      <c r="B10592" s="29"/>
      <c r="D10592" s="29"/>
      <c r="E10592" s="20"/>
      <c r="F10592" s="20"/>
      <c r="AC10592" s="20"/>
      <c r="AG10592" s="29"/>
    </row>
    <row r="10593" spans="2:33">
      <c r="B10593" s="29"/>
      <c r="D10593" s="29"/>
      <c r="E10593" s="20"/>
      <c r="F10593" s="20"/>
      <c r="AC10593" s="20"/>
      <c r="AG10593" s="29"/>
    </row>
    <row r="10594" spans="2:33">
      <c r="B10594" s="29"/>
      <c r="D10594" s="29"/>
      <c r="E10594" s="20"/>
      <c r="F10594" s="20"/>
      <c r="AC10594" s="20"/>
      <c r="AG10594" s="29"/>
    </row>
    <row r="10595" spans="2:33">
      <c r="B10595" s="29"/>
      <c r="D10595" s="29"/>
      <c r="E10595" s="20"/>
      <c r="F10595" s="20"/>
      <c r="AC10595" s="20"/>
      <c r="AG10595" s="29"/>
    </row>
    <row r="10596" spans="2:33">
      <c r="B10596" s="29"/>
      <c r="D10596" s="29"/>
      <c r="E10596" s="20"/>
      <c r="F10596" s="20"/>
      <c r="AC10596" s="20"/>
      <c r="AG10596" s="29"/>
    </row>
    <row r="10597" spans="2:33">
      <c r="B10597" s="29"/>
      <c r="D10597" s="29"/>
      <c r="E10597" s="20"/>
      <c r="F10597" s="20"/>
      <c r="AC10597" s="20"/>
      <c r="AG10597" s="29"/>
    </row>
    <row r="10598" spans="2:33">
      <c r="B10598" s="29"/>
      <c r="D10598" s="29"/>
      <c r="E10598" s="20"/>
      <c r="F10598" s="20"/>
      <c r="AC10598" s="20"/>
      <c r="AG10598" s="29"/>
    </row>
    <row r="10599" spans="2:33">
      <c r="B10599" s="29"/>
      <c r="D10599" s="29"/>
      <c r="E10599" s="20"/>
      <c r="F10599" s="20"/>
      <c r="AC10599" s="20"/>
      <c r="AG10599" s="29"/>
    </row>
    <row r="10600" spans="2:33">
      <c r="B10600" s="29"/>
      <c r="D10600" s="29"/>
      <c r="E10600" s="20"/>
      <c r="F10600" s="20"/>
      <c r="AC10600" s="20"/>
      <c r="AG10600" s="29"/>
    </row>
    <row r="10601" spans="2:33">
      <c r="B10601" s="29"/>
      <c r="D10601" s="29"/>
      <c r="E10601" s="20"/>
      <c r="F10601" s="20"/>
      <c r="AC10601" s="20"/>
      <c r="AG10601" s="29"/>
    </row>
    <row r="10602" spans="2:33">
      <c r="B10602" s="29"/>
      <c r="D10602" s="29"/>
      <c r="E10602" s="20"/>
      <c r="F10602" s="20"/>
      <c r="AC10602" s="20"/>
      <c r="AG10602" s="29"/>
    </row>
    <row r="10603" spans="2:33">
      <c r="B10603" s="29"/>
      <c r="D10603" s="29"/>
      <c r="E10603" s="20"/>
      <c r="F10603" s="20"/>
      <c r="AC10603" s="20"/>
      <c r="AG10603" s="29"/>
    </row>
    <row r="10604" spans="2:33">
      <c r="B10604" s="29"/>
      <c r="D10604" s="29"/>
      <c r="E10604" s="20"/>
      <c r="F10604" s="20"/>
      <c r="AC10604" s="20"/>
      <c r="AG10604" s="29"/>
    </row>
    <row r="10605" spans="2:33">
      <c r="B10605" s="29"/>
      <c r="D10605" s="29"/>
      <c r="E10605" s="20"/>
      <c r="F10605" s="20"/>
      <c r="AC10605" s="20"/>
      <c r="AG10605" s="29"/>
    </row>
    <row r="10606" spans="2:33">
      <c r="B10606" s="29"/>
      <c r="D10606" s="29"/>
      <c r="E10606" s="20"/>
      <c r="F10606" s="20"/>
      <c r="AC10606" s="20"/>
      <c r="AG10606" s="29"/>
    </row>
    <row r="10607" spans="2:33">
      <c r="B10607" s="29"/>
      <c r="D10607" s="29"/>
      <c r="E10607" s="20"/>
      <c r="F10607" s="20"/>
      <c r="AC10607" s="20"/>
      <c r="AG10607" s="29"/>
    </row>
    <row r="10608" spans="2:33">
      <c r="B10608" s="29"/>
      <c r="D10608" s="29"/>
      <c r="E10608" s="20"/>
      <c r="F10608" s="20"/>
      <c r="AC10608" s="20"/>
      <c r="AG10608" s="29"/>
    </row>
    <row r="10609" spans="2:33">
      <c r="B10609" s="29"/>
      <c r="D10609" s="29"/>
      <c r="E10609" s="20"/>
      <c r="F10609" s="20"/>
      <c r="AC10609" s="20"/>
      <c r="AG10609" s="29"/>
    </row>
    <row r="10610" spans="2:33">
      <c r="B10610" s="29"/>
      <c r="D10610" s="29"/>
      <c r="E10610" s="20"/>
      <c r="F10610" s="20"/>
      <c r="AC10610" s="20"/>
      <c r="AG10610" s="29"/>
    </row>
    <row r="10611" spans="2:33">
      <c r="B10611" s="29"/>
      <c r="D10611" s="29"/>
      <c r="E10611" s="20"/>
      <c r="F10611" s="20"/>
      <c r="AC10611" s="20"/>
      <c r="AG10611" s="29"/>
    </row>
    <row r="10612" spans="2:33">
      <c r="B10612" s="29"/>
      <c r="D10612" s="29"/>
      <c r="E10612" s="20"/>
      <c r="F10612" s="20"/>
      <c r="AC10612" s="20"/>
      <c r="AG10612" s="29"/>
    </row>
    <row r="10613" spans="2:33">
      <c r="B10613" s="29"/>
      <c r="D10613" s="29"/>
      <c r="E10613" s="20"/>
      <c r="F10613" s="20"/>
      <c r="AC10613" s="20"/>
      <c r="AG10613" s="29"/>
    </row>
    <row r="10614" spans="2:33">
      <c r="B10614" s="29"/>
      <c r="D10614" s="29"/>
      <c r="E10614" s="20"/>
      <c r="F10614" s="20"/>
      <c r="AC10614" s="20"/>
      <c r="AG10614" s="29"/>
    </row>
    <row r="10615" spans="2:33">
      <c r="B10615" s="29"/>
      <c r="D10615" s="29"/>
      <c r="E10615" s="20"/>
      <c r="F10615" s="20"/>
      <c r="AC10615" s="20"/>
      <c r="AG10615" s="29"/>
    </row>
    <row r="10616" spans="2:33">
      <c r="B10616" s="29"/>
      <c r="D10616" s="29"/>
      <c r="E10616" s="20"/>
      <c r="F10616" s="20"/>
      <c r="AC10616" s="20"/>
      <c r="AG10616" s="29"/>
    </row>
    <row r="10617" spans="2:33">
      <c r="B10617" s="29"/>
      <c r="D10617" s="29"/>
      <c r="E10617" s="20"/>
      <c r="F10617" s="20"/>
      <c r="AC10617" s="20"/>
      <c r="AG10617" s="29"/>
    </row>
    <row r="10618" spans="2:33">
      <c r="B10618" s="29"/>
      <c r="D10618" s="29"/>
      <c r="E10618" s="20"/>
      <c r="F10618" s="20"/>
      <c r="AC10618" s="20"/>
      <c r="AG10618" s="29"/>
    </row>
    <row r="10619" spans="2:33">
      <c r="B10619" s="29"/>
      <c r="D10619" s="29"/>
      <c r="E10619" s="20"/>
      <c r="F10619" s="20"/>
      <c r="AC10619" s="20"/>
      <c r="AG10619" s="29"/>
    </row>
    <row r="10620" spans="2:33">
      <c r="B10620" s="29"/>
      <c r="D10620" s="29"/>
      <c r="E10620" s="20"/>
      <c r="F10620" s="20"/>
      <c r="AC10620" s="20"/>
      <c r="AG10620" s="29"/>
    </row>
    <row r="10621" spans="2:33">
      <c r="B10621" s="29"/>
      <c r="D10621" s="29"/>
      <c r="E10621" s="20"/>
      <c r="F10621" s="20"/>
      <c r="AC10621" s="20"/>
      <c r="AG10621" s="29"/>
    </row>
    <row r="10622" spans="2:33">
      <c r="B10622" s="29"/>
      <c r="D10622" s="29"/>
      <c r="E10622" s="20"/>
      <c r="F10622" s="20"/>
      <c r="AC10622" s="20"/>
      <c r="AG10622" s="29"/>
    </row>
    <row r="10623" spans="2:33">
      <c r="B10623" s="29"/>
      <c r="D10623" s="29"/>
      <c r="E10623" s="20"/>
      <c r="F10623" s="20"/>
      <c r="AC10623" s="20"/>
      <c r="AG10623" s="29"/>
    </row>
    <row r="10624" spans="2:33">
      <c r="B10624" s="29"/>
      <c r="D10624" s="29"/>
      <c r="E10624" s="20"/>
      <c r="F10624" s="20"/>
      <c r="AC10624" s="20"/>
      <c r="AG10624" s="29"/>
    </row>
    <row r="10625" spans="2:33">
      <c r="B10625" s="29"/>
      <c r="D10625" s="29"/>
      <c r="E10625" s="20"/>
      <c r="F10625" s="20"/>
      <c r="AC10625" s="20"/>
      <c r="AG10625" s="29"/>
    </row>
    <row r="10626" spans="2:33">
      <c r="B10626" s="29"/>
      <c r="D10626" s="29"/>
      <c r="E10626" s="20"/>
      <c r="F10626" s="20"/>
      <c r="AC10626" s="20"/>
      <c r="AG10626" s="29"/>
    </row>
    <row r="10627" spans="2:33">
      <c r="B10627" s="29"/>
      <c r="D10627" s="29"/>
      <c r="E10627" s="20"/>
      <c r="F10627" s="20"/>
      <c r="AC10627" s="20"/>
      <c r="AG10627" s="29"/>
    </row>
    <row r="10628" spans="2:33">
      <c r="B10628" s="29"/>
      <c r="D10628" s="29"/>
      <c r="E10628" s="20"/>
      <c r="F10628" s="20"/>
      <c r="AC10628" s="20"/>
      <c r="AG10628" s="29"/>
    </row>
    <row r="10629" spans="2:33">
      <c r="B10629" s="29"/>
      <c r="D10629" s="29"/>
      <c r="E10629" s="20"/>
      <c r="F10629" s="20"/>
      <c r="AC10629" s="20"/>
      <c r="AG10629" s="29"/>
    </row>
    <row r="10630" spans="2:33">
      <c r="B10630" s="29"/>
      <c r="D10630" s="29"/>
      <c r="E10630" s="20"/>
      <c r="F10630" s="20"/>
      <c r="AC10630" s="20"/>
      <c r="AG10630" s="29"/>
    </row>
    <row r="10631" spans="2:33">
      <c r="B10631" s="29"/>
      <c r="D10631" s="29"/>
      <c r="E10631" s="20"/>
      <c r="F10631" s="20"/>
      <c r="AC10631" s="20"/>
      <c r="AG10631" s="29"/>
    </row>
    <row r="10632" spans="2:33">
      <c r="B10632" s="29"/>
      <c r="D10632" s="29"/>
      <c r="E10632" s="20"/>
      <c r="F10632" s="20"/>
      <c r="AC10632" s="20"/>
      <c r="AG10632" s="29"/>
    </row>
    <row r="10633" spans="2:33">
      <c r="B10633" s="29"/>
      <c r="D10633" s="29"/>
      <c r="E10633" s="20"/>
      <c r="F10633" s="20"/>
      <c r="AC10633" s="20"/>
      <c r="AG10633" s="29"/>
    </row>
    <row r="10634" spans="2:33">
      <c r="B10634" s="29"/>
      <c r="D10634" s="29"/>
      <c r="E10634" s="20"/>
      <c r="F10634" s="20"/>
      <c r="AC10634" s="20"/>
      <c r="AG10634" s="29"/>
    </row>
    <row r="10635" spans="2:33">
      <c r="B10635" s="29"/>
      <c r="D10635" s="29"/>
      <c r="E10635" s="20"/>
      <c r="F10635" s="20"/>
      <c r="AC10635" s="20"/>
      <c r="AG10635" s="29"/>
    </row>
    <row r="10636" spans="2:33">
      <c r="B10636" s="29"/>
      <c r="D10636" s="29"/>
      <c r="E10636" s="20"/>
      <c r="F10636" s="20"/>
      <c r="AC10636" s="20"/>
      <c r="AG10636" s="29"/>
    </row>
    <row r="10637" spans="2:33">
      <c r="B10637" s="29"/>
      <c r="D10637" s="29"/>
      <c r="E10637" s="20"/>
      <c r="F10637" s="20"/>
      <c r="AC10637" s="20"/>
      <c r="AG10637" s="29"/>
    </row>
    <row r="10638" spans="2:33">
      <c r="B10638" s="29"/>
      <c r="D10638" s="29"/>
      <c r="E10638" s="20"/>
      <c r="F10638" s="20"/>
      <c r="AC10638" s="20"/>
      <c r="AG10638" s="29"/>
    </row>
    <row r="10639" spans="2:33">
      <c r="B10639" s="29"/>
      <c r="D10639" s="29"/>
      <c r="E10639" s="20"/>
      <c r="F10639" s="20"/>
      <c r="AC10639" s="20"/>
      <c r="AG10639" s="29"/>
    </row>
    <row r="10640" spans="2:33">
      <c r="B10640" s="29"/>
      <c r="D10640" s="29"/>
      <c r="E10640" s="20"/>
      <c r="F10640" s="20"/>
      <c r="AC10640" s="20"/>
      <c r="AG10640" s="29"/>
    </row>
    <row r="10641" spans="2:33">
      <c r="B10641" s="29"/>
      <c r="D10641" s="29"/>
      <c r="E10641" s="20"/>
      <c r="F10641" s="20"/>
      <c r="AC10641" s="20"/>
      <c r="AG10641" s="29"/>
    </row>
    <row r="10642" spans="2:33">
      <c r="B10642" s="29"/>
      <c r="D10642" s="29"/>
      <c r="E10642" s="20"/>
      <c r="F10642" s="20"/>
      <c r="AC10642" s="20"/>
      <c r="AG10642" s="29"/>
    </row>
    <row r="10643" spans="2:33">
      <c r="B10643" s="29"/>
      <c r="D10643" s="29"/>
      <c r="E10643" s="20"/>
      <c r="F10643" s="20"/>
      <c r="AC10643" s="20"/>
      <c r="AG10643" s="29"/>
    </row>
    <row r="10644" spans="2:33">
      <c r="B10644" s="29"/>
      <c r="D10644" s="29"/>
      <c r="E10644" s="20"/>
      <c r="F10644" s="20"/>
      <c r="AC10644" s="20"/>
      <c r="AG10644" s="29"/>
    </row>
    <row r="10645" spans="2:33">
      <c r="B10645" s="29"/>
      <c r="D10645" s="29"/>
      <c r="E10645" s="20"/>
      <c r="F10645" s="20"/>
      <c r="AC10645" s="20"/>
      <c r="AG10645" s="29"/>
    </row>
    <row r="10646" spans="2:33">
      <c r="B10646" s="29"/>
      <c r="D10646" s="29"/>
      <c r="E10646" s="20"/>
      <c r="F10646" s="20"/>
      <c r="AC10646" s="20"/>
      <c r="AG10646" s="29"/>
    </row>
    <row r="10647" spans="2:33">
      <c r="B10647" s="29"/>
      <c r="D10647" s="29"/>
      <c r="E10647" s="20"/>
      <c r="F10647" s="20"/>
      <c r="AC10647" s="20"/>
      <c r="AG10647" s="29"/>
    </row>
    <row r="10648" spans="2:33">
      <c r="B10648" s="29"/>
      <c r="D10648" s="29"/>
      <c r="E10648" s="20"/>
      <c r="F10648" s="20"/>
      <c r="AC10648" s="20"/>
      <c r="AG10648" s="29"/>
    </row>
    <row r="10649" spans="2:33">
      <c r="B10649" s="29"/>
      <c r="D10649" s="29"/>
      <c r="E10649" s="20"/>
      <c r="F10649" s="20"/>
      <c r="AC10649" s="20"/>
      <c r="AG10649" s="29"/>
    </row>
    <row r="10650" spans="2:33">
      <c r="B10650" s="29"/>
      <c r="D10650" s="29"/>
      <c r="E10650" s="20"/>
      <c r="F10650" s="20"/>
      <c r="AC10650" s="20"/>
      <c r="AG10650" s="29"/>
    </row>
    <row r="10651" spans="2:33">
      <c r="B10651" s="29"/>
      <c r="D10651" s="29"/>
      <c r="E10651" s="20"/>
      <c r="F10651" s="20"/>
      <c r="AC10651" s="20"/>
      <c r="AG10651" s="29"/>
    </row>
    <row r="10652" spans="2:33">
      <c r="B10652" s="29"/>
      <c r="D10652" s="29"/>
      <c r="E10652" s="20"/>
      <c r="F10652" s="20"/>
      <c r="AC10652" s="20"/>
      <c r="AG10652" s="29"/>
    </row>
    <row r="10653" spans="2:33">
      <c r="B10653" s="29"/>
      <c r="D10653" s="29"/>
      <c r="E10653" s="20"/>
      <c r="F10653" s="20"/>
      <c r="AC10653" s="20"/>
      <c r="AG10653" s="29"/>
    </row>
    <row r="10654" spans="2:33">
      <c r="B10654" s="29"/>
      <c r="D10654" s="29"/>
      <c r="E10654" s="20"/>
      <c r="F10654" s="20"/>
      <c r="AC10654" s="20"/>
      <c r="AG10654" s="29"/>
    </row>
    <row r="10655" spans="2:33">
      <c r="B10655" s="29"/>
      <c r="D10655" s="29"/>
      <c r="E10655" s="20"/>
      <c r="F10655" s="20"/>
      <c r="AC10655" s="20"/>
      <c r="AG10655" s="29"/>
    </row>
    <row r="10656" spans="2:33">
      <c r="B10656" s="29"/>
      <c r="D10656" s="29"/>
      <c r="E10656" s="20"/>
      <c r="F10656" s="20"/>
      <c r="AC10656" s="20"/>
      <c r="AG10656" s="29"/>
    </row>
    <row r="10657" spans="2:33">
      <c r="B10657" s="29"/>
      <c r="D10657" s="29"/>
      <c r="E10657" s="20"/>
      <c r="F10657" s="20"/>
      <c r="AC10657" s="20"/>
      <c r="AG10657" s="29"/>
    </row>
    <row r="10658" spans="2:33">
      <c r="B10658" s="29"/>
      <c r="D10658" s="29"/>
      <c r="E10658" s="20"/>
      <c r="F10658" s="20"/>
      <c r="AC10658" s="20"/>
      <c r="AG10658" s="29"/>
    </row>
    <row r="10659" spans="2:33">
      <c r="B10659" s="29"/>
      <c r="D10659" s="29"/>
      <c r="E10659" s="20"/>
      <c r="F10659" s="20"/>
      <c r="AC10659" s="20"/>
      <c r="AG10659" s="29"/>
    </row>
    <row r="10660" spans="2:33">
      <c r="B10660" s="29"/>
      <c r="D10660" s="29"/>
      <c r="E10660" s="20"/>
      <c r="F10660" s="20"/>
      <c r="AC10660" s="20"/>
      <c r="AG10660" s="29"/>
    </row>
    <row r="10661" spans="2:33">
      <c r="B10661" s="29"/>
      <c r="D10661" s="29"/>
      <c r="E10661" s="20"/>
      <c r="F10661" s="20"/>
      <c r="AC10661" s="20"/>
      <c r="AG10661" s="29"/>
    </row>
    <row r="10662" spans="2:33">
      <c r="B10662" s="29"/>
      <c r="D10662" s="29"/>
      <c r="E10662" s="20"/>
      <c r="F10662" s="20"/>
      <c r="AC10662" s="20"/>
      <c r="AG10662" s="29"/>
    </row>
    <row r="10663" spans="2:33">
      <c r="B10663" s="29"/>
      <c r="D10663" s="29"/>
      <c r="E10663" s="20"/>
      <c r="F10663" s="20"/>
      <c r="AC10663" s="20"/>
      <c r="AG10663" s="29"/>
    </row>
    <row r="10664" spans="2:33">
      <c r="B10664" s="29"/>
      <c r="D10664" s="29"/>
      <c r="E10664" s="20"/>
      <c r="F10664" s="20"/>
      <c r="AC10664" s="20"/>
      <c r="AG10664" s="29"/>
    </row>
    <row r="10665" spans="2:33">
      <c r="B10665" s="29"/>
      <c r="D10665" s="29"/>
      <c r="E10665" s="20"/>
      <c r="F10665" s="20"/>
      <c r="AC10665" s="20"/>
      <c r="AG10665" s="29"/>
    </row>
    <row r="10666" spans="2:33">
      <c r="B10666" s="29"/>
      <c r="D10666" s="29"/>
      <c r="E10666" s="20"/>
      <c r="F10666" s="20"/>
      <c r="AC10666" s="20"/>
      <c r="AG10666" s="29"/>
    </row>
    <row r="10667" spans="2:33">
      <c r="B10667" s="29"/>
      <c r="D10667" s="29"/>
      <c r="E10667" s="20"/>
      <c r="F10667" s="20"/>
      <c r="AC10667" s="20"/>
      <c r="AG10667" s="29"/>
    </row>
    <row r="10668" spans="2:33">
      <c r="B10668" s="29"/>
      <c r="D10668" s="29"/>
      <c r="E10668" s="20"/>
      <c r="F10668" s="20"/>
      <c r="AC10668" s="20"/>
      <c r="AG10668" s="29"/>
    </row>
    <row r="10669" spans="2:33">
      <c r="B10669" s="29"/>
      <c r="D10669" s="29"/>
      <c r="E10669" s="20"/>
      <c r="F10669" s="20"/>
      <c r="AC10669" s="20"/>
      <c r="AG10669" s="29"/>
    </row>
    <row r="10670" spans="2:33">
      <c r="B10670" s="29"/>
      <c r="D10670" s="29"/>
      <c r="E10670" s="20"/>
      <c r="F10670" s="20"/>
      <c r="AC10670" s="20"/>
      <c r="AG10670" s="29"/>
    </row>
    <row r="10671" spans="2:33">
      <c r="B10671" s="29"/>
      <c r="D10671" s="29"/>
      <c r="E10671" s="20"/>
      <c r="F10671" s="20"/>
      <c r="AC10671" s="20"/>
      <c r="AG10671" s="29"/>
    </row>
    <row r="10672" spans="2:33">
      <c r="B10672" s="29"/>
      <c r="D10672" s="29"/>
      <c r="E10672" s="20"/>
      <c r="F10672" s="20"/>
      <c r="AC10672" s="20"/>
      <c r="AG10672" s="29"/>
    </row>
    <row r="10673" spans="2:33">
      <c r="B10673" s="29"/>
      <c r="D10673" s="29"/>
      <c r="E10673" s="20"/>
      <c r="F10673" s="20"/>
      <c r="AC10673" s="20"/>
      <c r="AG10673" s="29"/>
    </row>
    <row r="10674" spans="2:33">
      <c r="B10674" s="29"/>
      <c r="D10674" s="29"/>
      <c r="E10674" s="20"/>
      <c r="F10674" s="20"/>
      <c r="AC10674" s="20"/>
      <c r="AG10674" s="29"/>
    </row>
    <row r="10675" spans="2:33">
      <c r="B10675" s="29"/>
      <c r="D10675" s="29"/>
      <c r="E10675" s="20"/>
      <c r="F10675" s="20"/>
      <c r="AC10675" s="20"/>
      <c r="AG10675" s="29"/>
    </row>
    <row r="10676" spans="2:33">
      <c r="B10676" s="29"/>
      <c r="D10676" s="29"/>
      <c r="E10676" s="20"/>
      <c r="F10676" s="20"/>
      <c r="AC10676" s="20"/>
      <c r="AG10676" s="29"/>
    </row>
    <row r="10677" spans="2:33">
      <c r="B10677" s="29"/>
      <c r="D10677" s="29"/>
      <c r="E10677" s="20"/>
      <c r="F10677" s="20"/>
      <c r="AC10677" s="20"/>
      <c r="AG10677" s="29"/>
    </row>
    <row r="10678" spans="2:33">
      <c r="B10678" s="29"/>
      <c r="D10678" s="29"/>
      <c r="E10678" s="20"/>
      <c r="F10678" s="20"/>
      <c r="AC10678" s="20"/>
      <c r="AG10678" s="29"/>
    </row>
    <row r="10679" spans="2:33">
      <c r="B10679" s="29"/>
      <c r="D10679" s="29"/>
      <c r="E10679" s="20"/>
      <c r="F10679" s="20"/>
      <c r="AC10679" s="20"/>
      <c r="AG10679" s="29"/>
    </row>
    <row r="10680" spans="2:33">
      <c r="B10680" s="29"/>
      <c r="D10680" s="29"/>
      <c r="E10680" s="20"/>
      <c r="F10680" s="20"/>
      <c r="AC10680" s="20"/>
      <c r="AG10680" s="29"/>
    </row>
    <row r="10681" spans="2:33">
      <c r="B10681" s="29"/>
      <c r="D10681" s="29"/>
      <c r="E10681" s="20"/>
      <c r="F10681" s="20"/>
      <c r="AC10681" s="20"/>
      <c r="AG10681" s="29"/>
    </row>
    <row r="10682" spans="2:33">
      <c r="B10682" s="29"/>
      <c r="D10682" s="29"/>
      <c r="E10682" s="20"/>
      <c r="F10682" s="20"/>
      <c r="AC10682" s="20"/>
      <c r="AG10682" s="29"/>
    </row>
    <row r="10683" spans="2:33">
      <c r="B10683" s="29"/>
      <c r="D10683" s="29"/>
      <c r="E10683" s="20"/>
      <c r="F10683" s="20"/>
      <c r="AC10683" s="20"/>
      <c r="AG10683" s="29"/>
    </row>
    <row r="10684" spans="2:33">
      <c r="B10684" s="29"/>
      <c r="D10684" s="29"/>
      <c r="E10684" s="20"/>
      <c r="F10684" s="20"/>
      <c r="AC10684" s="20"/>
      <c r="AG10684" s="29"/>
    </row>
    <row r="10685" spans="2:33">
      <c r="B10685" s="29"/>
      <c r="D10685" s="29"/>
      <c r="E10685" s="20"/>
      <c r="F10685" s="20"/>
      <c r="AC10685" s="20"/>
      <c r="AG10685" s="29"/>
    </row>
    <row r="10686" spans="2:33">
      <c r="B10686" s="29"/>
      <c r="D10686" s="29"/>
      <c r="E10686" s="20"/>
      <c r="F10686" s="20"/>
      <c r="AC10686" s="20"/>
      <c r="AG10686" s="29"/>
    </row>
    <row r="10687" spans="2:33">
      <c r="B10687" s="29"/>
      <c r="D10687" s="29"/>
      <c r="E10687" s="20"/>
      <c r="F10687" s="20"/>
      <c r="AC10687" s="20"/>
      <c r="AG10687" s="29"/>
    </row>
    <row r="10688" spans="2:33">
      <c r="B10688" s="29"/>
      <c r="D10688" s="29"/>
      <c r="E10688" s="20"/>
      <c r="F10688" s="20"/>
      <c r="AC10688" s="20"/>
      <c r="AG10688" s="29"/>
    </row>
    <row r="10689" spans="2:33">
      <c r="B10689" s="29"/>
      <c r="D10689" s="29"/>
      <c r="E10689" s="20"/>
      <c r="F10689" s="20"/>
      <c r="AC10689" s="20"/>
      <c r="AG10689" s="29"/>
    </row>
    <row r="10690" spans="2:33">
      <c r="B10690" s="29"/>
      <c r="D10690" s="29"/>
      <c r="E10690" s="20"/>
      <c r="F10690" s="20"/>
      <c r="AC10690" s="20"/>
      <c r="AG10690" s="29"/>
    </row>
    <row r="10691" spans="2:33">
      <c r="B10691" s="29"/>
      <c r="D10691" s="29"/>
      <c r="E10691" s="20"/>
      <c r="F10691" s="20"/>
      <c r="AC10691" s="20"/>
      <c r="AG10691" s="29"/>
    </row>
    <row r="10692" spans="2:33">
      <c r="B10692" s="29"/>
      <c r="D10692" s="29"/>
      <c r="E10692" s="20"/>
      <c r="F10692" s="20"/>
      <c r="AC10692" s="20"/>
      <c r="AG10692" s="29"/>
    </row>
    <row r="10693" spans="2:33">
      <c r="B10693" s="29"/>
      <c r="D10693" s="29"/>
      <c r="E10693" s="20"/>
      <c r="F10693" s="20"/>
      <c r="AC10693" s="20"/>
      <c r="AG10693" s="29"/>
    </row>
    <row r="10694" spans="2:33">
      <c r="B10694" s="29"/>
      <c r="D10694" s="29"/>
      <c r="E10694" s="20"/>
      <c r="F10694" s="20"/>
      <c r="AC10694" s="20"/>
      <c r="AG10694" s="29"/>
    </row>
    <row r="10695" spans="2:33">
      <c r="B10695" s="29"/>
      <c r="D10695" s="29"/>
      <c r="E10695" s="20"/>
      <c r="F10695" s="20"/>
      <c r="AC10695" s="20"/>
      <c r="AG10695" s="29"/>
    </row>
    <row r="10696" spans="2:33">
      <c r="B10696" s="29"/>
      <c r="D10696" s="29"/>
      <c r="E10696" s="20"/>
      <c r="F10696" s="20"/>
      <c r="AC10696" s="20"/>
      <c r="AG10696" s="29"/>
    </row>
    <row r="10697" spans="2:33">
      <c r="B10697" s="29"/>
      <c r="D10697" s="29"/>
      <c r="E10697" s="20"/>
      <c r="F10697" s="20"/>
      <c r="AC10697" s="20"/>
      <c r="AG10697" s="29"/>
    </row>
    <row r="10698" spans="2:33">
      <c r="B10698" s="29"/>
      <c r="D10698" s="29"/>
      <c r="E10698" s="20"/>
      <c r="F10698" s="20"/>
      <c r="AC10698" s="20"/>
      <c r="AG10698" s="29"/>
    </row>
    <row r="10699" spans="2:33">
      <c r="B10699" s="29"/>
      <c r="D10699" s="29"/>
      <c r="E10699" s="20"/>
      <c r="F10699" s="20"/>
      <c r="AC10699" s="20"/>
      <c r="AG10699" s="29"/>
    </row>
    <row r="10700" spans="2:33">
      <c r="B10700" s="29"/>
      <c r="D10700" s="29"/>
      <c r="E10700" s="20"/>
      <c r="F10700" s="20"/>
      <c r="AC10700" s="20"/>
      <c r="AG10700" s="29"/>
    </row>
    <row r="10701" spans="2:33">
      <c r="B10701" s="29"/>
      <c r="D10701" s="29"/>
      <c r="E10701" s="20"/>
      <c r="F10701" s="20"/>
      <c r="AC10701" s="20"/>
      <c r="AG10701" s="29"/>
    </row>
    <row r="10702" spans="2:33">
      <c r="B10702" s="29"/>
      <c r="D10702" s="29"/>
      <c r="E10702" s="20"/>
      <c r="F10702" s="20"/>
      <c r="AC10702" s="20"/>
      <c r="AG10702" s="29"/>
    </row>
    <row r="10703" spans="2:33">
      <c r="B10703" s="29"/>
      <c r="D10703" s="29"/>
      <c r="E10703" s="20"/>
      <c r="F10703" s="20"/>
      <c r="AC10703" s="20"/>
      <c r="AG10703" s="29"/>
    </row>
    <row r="10704" spans="2:33">
      <c r="B10704" s="29"/>
      <c r="D10704" s="29"/>
      <c r="E10704" s="20"/>
      <c r="F10704" s="20"/>
      <c r="AC10704" s="20"/>
      <c r="AG10704" s="29"/>
    </row>
    <row r="10705" spans="2:33">
      <c r="B10705" s="29"/>
      <c r="D10705" s="29"/>
      <c r="E10705" s="20"/>
      <c r="F10705" s="20"/>
      <c r="AC10705" s="20"/>
      <c r="AG10705" s="29"/>
    </row>
    <row r="10706" spans="2:33">
      <c r="B10706" s="29"/>
      <c r="D10706" s="29"/>
      <c r="E10706" s="20"/>
      <c r="F10706" s="20"/>
      <c r="AC10706" s="20"/>
      <c r="AG10706" s="29"/>
    </row>
    <row r="10707" spans="2:33">
      <c r="B10707" s="29"/>
      <c r="D10707" s="29"/>
      <c r="E10707" s="20"/>
      <c r="F10707" s="20"/>
      <c r="AC10707" s="20"/>
      <c r="AG10707" s="29"/>
    </row>
    <row r="10708" spans="2:33">
      <c r="B10708" s="29"/>
      <c r="D10708" s="29"/>
      <c r="E10708" s="20"/>
      <c r="F10708" s="20"/>
      <c r="AC10708" s="20"/>
      <c r="AG10708" s="29"/>
    </row>
    <row r="10709" spans="2:33">
      <c r="B10709" s="29"/>
      <c r="D10709" s="29"/>
      <c r="E10709" s="20"/>
      <c r="F10709" s="20"/>
      <c r="AC10709" s="20"/>
      <c r="AG10709" s="29"/>
    </row>
    <row r="10710" spans="2:33">
      <c r="B10710" s="29"/>
      <c r="D10710" s="29"/>
      <c r="E10710" s="20"/>
      <c r="F10710" s="20"/>
      <c r="AC10710" s="20"/>
      <c r="AG10710" s="29"/>
    </row>
    <row r="10711" spans="2:33">
      <c r="B10711" s="29"/>
      <c r="D10711" s="29"/>
      <c r="E10711" s="20"/>
      <c r="F10711" s="20"/>
      <c r="AC10711" s="20"/>
      <c r="AG10711" s="29"/>
    </row>
    <row r="10712" spans="2:33">
      <c r="B10712" s="29"/>
      <c r="D10712" s="29"/>
      <c r="E10712" s="20"/>
      <c r="F10712" s="20"/>
      <c r="AC10712" s="20"/>
      <c r="AG10712" s="29"/>
    </row>
    <row r="10713" spans="2:33">
      <c r="B10713" s="29"/>
      <c r="D10713" s="29"/>
      <c r="E10713" s="20"/>
      <c r="F10713" s="20"/>
      <c r="AC10713" s="20"/>
      <c r="AG10713" s="29"/>
    </row>
    <row r="10714" spans="2:33">
      <c r="B10714" s="29"/>
      <c r="D10714" s="29"/>
      <c r="E10714" s="20"/>
      <c r="F10714" s="20"/>
      <c r="AC10714" s="20"/>
      <c r="AG10714" s="29"/>
    </row>
    <row r="10715" spans="2:33">
      <c r="B10715" s="29"/>
      <c r="D10715" s="29"/>
      <c r="E10715" s="20"/>
      <c r="F10715" s="20"/>
      <c r="AC10715" s="20"/>
      <c r="AG10715" s="29"/>
    </row>
    <row r="10716" spans="2:33">
      <c r="B10716" s="29"/>
      <c r="D10716" s="29"/>
      <c r="E10716" s="20"/>
      <c r="F10716" s="20"/>
      <c r="AC10716" s="20"/>
      <c r="AG10716" s="29"/>
    </row>
    <row r="10717" spans="2:33">
      <c r="B10717" s="29"/>
      <c r="D10717" s="29"/>
      <c r="E10717" s="20"/>
      <c r="F10717" s="20"/>
      <c r="AC10717" s="20"/>
      <c r="AG10717" s="29"/>
    </row>
    <row r="10718" spans="2:33">
      <c r="B10718" s="29"/>
      <c r="D10718" s="29"/>
      <c r="E10718" s="20"/>
      <c r="F10718" s="20"/>
      <c r="AC10718" s="20"/>
      <c r="AG10718" s="29"/>
    </row>
    <row r="10719" spans="2:33">
      <c r="B10719" s="29"/>
      <c r="D10719" s="29"/>
      <c r="E10719" s="20"/>
      <c r="F10719" s="20"/>
      <c r="AC10719" s="20"/>
      <c r="AG10719" s="29"/>
    </row>
    <row r="10720" spans="2:33">
      <c r="B10720" s="29"/>
      <c r="D10720" s="29"/>
      <c r="E10720" s="20"/>
      <c r="F10720" s="20"/>
      <c r="AC10720" s="20"/>
      <c r="AG10720" s="29"/>
    </row>
    <row r="10721" spans="2:33">
      <c r="B10721" s="29"/>
      <c r="D10721" s="29"/>
      <c r="E10721" s="20"/>
      <c r="F10721" s="20"/>
      <c r="AC10721" s="20"/>
      <c r="AG10721" s="29"/>
    </row>
    <row r="10722" spans="2:33">
      <c r="B10722" s="29"/>
      <c r="D10722" s="29"/>
      <c r="E10722" s="20"/>
      <c r="F10722" s="20"/>
      <c r="AC10722" s="20"/>
      <c r="AG10722" s="29"/>
    </row>
    <row r="10723" spans="2:33">
      <c r="B10723" s="29"/>
      <c r="D10723" s="29"/>
      <c r="E10723" s="20"/>
      <c r="F10723" s="20"/>
      <c r="AC10723" s="20"/>
      <c r="AG10723" s="29"/>
    </row>
    <row r="10724" spans="2:33">
      <c r="B10724" s="29"/>
      <c r="D10724" s="29"/>
      <c r="E10724" s="20"/>
      <c r="F10724" s="20"/>
      <c r="AC10724" s="20"/>
      <c r="AG10724" s="29"/>
    </row>
    <row r="10725" spans="2:33">
      <c r="B10725" s="29"/>
      <c r="D10725" s="29"/>
      <c r="E10725" s="20"/>
      <c r="F10725" s="20"/>
      <c r="AC10725" s="20"/>
      <c r="AG10725" s="29"/>
    </row>
    <row r="10726" spans="2:33">
      <c r="B10726" s="29"/>
      <c r="D10726" s="29"/>
      <c r="E10726" s="20"/>
      <c r="F10726" s="20"/>
      <c r="AC10726" s="20"/>
      <c r="AG10726" s="29"/>
    </row>
    <row r="10727" spans="2:33">
      <c r="B10727" s="29"/>
      <c r="D10727" s="29"/>
      <c r="E10727" s="20"/>
      <c r="F10727" s="20"/>
      <c r="AC10727" s="20"/>
      <c r="AG10727" s="29"/>
    </row>
    <row r="10728" spans="2:33">
      <c r="B10728" s="29"/>
      <c r="D10728" s="29"/>
      <c r="E10728" s="20"/>
      <c r="F10728" s="20"/>
      <c r="AC10728" s="20"/>
      <c r="AG10728" s="29"/>
    </row>
    <row r="10729" spans="2:33">
      <c r="B10729" s="29"/>
      <c r="D10729" s="29"/>
      <c r="E10729" s="20"/>
      <c r="F10729" s="20"/>
      <c r="AC10729" s="20"/>
      <c r="AG10729" s="29"/>
    </row>
    <row r="10730" spans="2:33">
      <c r="B10730" s="29"/>
      <c r="D10730" s="29"/>
      <c r="E10730" s="20"/>
      <c r="F10730" s="20"/>
      <c r="AC10730" s="20"/>
      <c r="AG10730" s="29"/>
    </row>
    <row r="10731" spans="2:33">
      <c r="B10731" s="29"/>
      <c r="D10731" s="29"/>
      <c r="E10731" s="20"/>
      <c r="F10731" s="20"/>
      <c r="AC10731" s="20"/>
      <c r="AG10731" s="29"/>
    </row>
    <row r="10732" spans="2:33">
      <c r="B10732" s="29"/>
      <c r="D10732" s="29"/>
      <c r="E10732" s="20"/>
      <c r="F10732" s="20"/>
      <c r="AC10732" s="20"/>
      <c r="AG10732" s="29"/>
    </row>
    <row r="10733" spans="2:33">
      <c r="B10733" s="29"/>
      <c r="D10733" s="29"/>
      <c r="E10733" s="20"/>
      <c r="F10733" s="20"/>
      <c r="AC10733" s="20"/>
      <c r="AG10733" s="29"/>
    </row>
    <row r="10734" spans="2:33">
      <c r="B10734" s="29"/>
      <c r="D10734" s="29"/>
      <c r="E10734" s="20"/>
      <c r="F10734" s="20"/>
      <c r="AC10734" s="20"/>
      <c r="AG10734" s="29"/>
    </row>
    <row r="10735" spans="2:33">
      <c r="B10735" s="29"/>
      <c r="D10735" s="29"/>
      <c r="E10735" s="20"/>
      <c r="F10735" s="20"/>
      <c r="AC10735" s="20"/>
      <c r="AG10735" s="29"/>
    </row>
    <row r="10736" spans="2:33">
      <c r="B10736" s="29"/>
      <c r="D10736" s="29"/>
      <c r="E10736" s="20"/>
      <c r="F10736" s="20"/>
      <c r="AC10736" s="20"/>
      <c r="AG10736" s="29"/>
    </row>
    <row r="10737" spans="2:33">
      <c r="B10737" s="29"/>
      <c r="D10737" s="29"/>
      <c r="E10737" s="20"/>
      <c r="F10737" s="20"/>
      <c r="AC10737" s="20"/>
      <c r="AG10737" s="29"/>
    </row>
    <row r="10738" spans="2:33">
      <c r="B10738" s="29"/>
      <c r="D10738" s="29"/>
      <c r="E10738" s="20"/>
      <c r="F10738" s="20"/>
      <c r="AC10738" s="20"/>
      <c r="AG10738" s="29"/>
    </row>
    <row r="10739" spans="2:33">
      <c r="B10739" s="29"/>
      <c r="D10739" s="29"/>
      <c r="E10739" s="20"/>
      <c r="F10739" s="20"/>
      <c r="AC10739" s="20"/>
      <c r="AG10739" s="29"/>
    </row>
    <row r="10740" spans="2:33">
      <c r="B10740" s="29"/>
      <c r="D10740" s="29"/>
      <c r="E10740" s="20"/>
      <c r="F10740" s="20"/>
      <c r="AC10740" s="20"/>
      <c r="AG10740" s="29"/>
    </row>
    <row r="10741" spans="2:33">
      <c r="B10741" s="29"/>
      <c r="D10741" s="29"/>
      <c r="E10741" s="20"/>
      <c r="F10741" s="20"/>
      <c r="AC10741" s="20"/>
      <c r="AG10741" s="29"/>
    </row>
    <row r="10742" spans="2:33">
      <c r="B10742" s="29"/>
      <c r="D10742" s="29"/>
      <c r="E10742" s="20"/>
      <c r="F10742" s="20"/>
      <c r="AC10742" s="20"/>
      <c r="AG10742" s="29"/>
    </row>
    <row r="10743" spans="2:33">
      <c r="B10743" s="29"/>
      <c r="D10743" s="29"/>
      <c r="E10743" s="20"/>
      <c r="F10743" s="20"/>
      <c r="AC10743" s="20"/>
      <c r="AG10743" s="29"/>
    </row>
    <row r="10744" spans="2:33">
      <c r="B10744" s="29"/>
      <c r="D10744" s="29"/>
      <c r="E10744" s="20"/>
      <c r="F10744" s="20"/>
      <c r="AC10744" s="20"/>
      <c r="AG10744" s="29"/>
    </row>
    <row r="10745" spans="2:33">
      <c r="B10745" s="29"/>
      <c r="D10745" s="29"/>
      <c r="E10745" s="20"/>
      <c r="F10745" s="20"/>
      <c r="AC10745" s="20"/>
      <c r="AG10745" s="29"/>
    </row>
    <row r="10746" spans="2:33">
      <c r="B10746" s="29"/>
      <c r="D10746" s="29"/>
      <c r="E10746" s="20"/>
      <c r="F10746" s="20"/>
      <c r="AC10746" s="20"/>
      <c r="AG10746" s="29"/>
    </row>
    <row r="10747" spans="2:33">
      <c r="B10747" s="29"/>
      <c r="D10747" s="29"/>
      <c r="E10747" s="20"/>
      <c r="F10747" s="20"/>
      <c r="AC10747" s="20"/>
      <c r="AG10747" s="29"/>
    </row>
    <row r="10748" spans="2:33">
      <c r="B10748" s="29"/>
      <c r="D10748" s="29"/>
      <c r="E10748" s="20"/>
      <c r="F10748" s="20"/>
      <c r="AC10748" s="20"/>
      <c r="AG10748" s="29"/>
    </row>
    <row r="10749" spans="2:33">
      <c r="B10749" s="29"/>
      <c r="D10749" s="29"/>
      <c r="E10749" s="20"/>
      <c r="F10749" s="20"/>
      <c r="AC10749" s="20"/>
      <c r="AG10749" s="29"/>
    </row>
    <row r="10750" spans="2:33">
      <c r="B10750" s="29"/>
      <c r="D10750" s="29"/>
      <c r="E10750" s="20"/>
      <c r="F10750" s="20"/>
      <c r="AC10750" s="20"/>
      <c r="AG10750" s="29"/>
    </row>
    <row r="10751" spans="2:33">
      <c r="B10751" s="29"/>
      <c r="D10751" s="29"/>
      <c r="E10751" s="20"/>
      <c r="F10751" s="20"/>
      <c r="AC10751" s="20"/>
      <c r="AG10751" s="29"/>
    </row>
    <row r="10752" spans="2:33">
      <c r="B10752" s="29"/>
      <c r="D10752" s="29"/>
      <c r="E10752" s="20"/>
      <c r="F10752" s="20"/>
      <c r="AC10752" s="20"/>
      <c r="AG10752" s="29"/>
    </row>
    <row r="10753" spans="2:33">
      <c r="B10753" s="29"/>
      <c r="D10753" s="29"/>
      <c r="E10753" s="20"/>
      <c r="F10753" s="20"/>
      <c r="AC10753" s="20"/>
      <c r="AG10753" s="29"/>
    </row>
    <row r="10754" spans="2:33">
      <c r="B10754" s="29"/>
      <c r="D10754" s="29"/>
      <c r="E10754" s="20"/>
      <c r="F10754" s="20"/>
      <c r="AC10754" s="20"/>
      <c r="AG10754" s="29"/>
    </row>
    <row r="10755" spans="2:33">
      <c r="B10755" s="29"/>
      <c r="D10755" s="29"/>
      <c r="E10755" s="20"/>
      <c r="F10755" s="20"/>
      <c r="AC10755" s="20"/>
      <c r="AG10755" s="29"/>
    </row>
    <row r="10756" spans="2:33">
      <c r="B10756" s="29"/>
      <c r="D10756" s="29"/>
      <c r="E10756" s="20"/>
      <c r="F10756" s="20"/>
      <c r="AC10756" s="20"/>
      <c r="AG10756" s="29"/>
    </row>
    <row r="10757" spans="2:33">
      <c r="B10757" s="29"/>
      <c r="D10757" s="29"/>
      <c r="E10757" s="20"/>
      <c r="F10757" s="20"/>
      <c r="AC10757" s="20"/>
      <c r="AG10757" s="29"/>
    </row>
    <row r="10758" spans="2:33">
      <c r="B10758" s="29"/>
      <c r="D10758" s="29"/>
      <c r="E10758" s="20"/>
      <c r="F10758" s="20"/>
      <c r="AC10758" s="20"/>
      <c r="AG10758" s="29"/>
    </row>
    <row r="10759" spans="2:33">
      <c r="B10759" s="29"/>
      <c r="D10759" s="29"/>
      <c r="E10759" s="20"/>
      <c r="F10759" s="20"/>
      <c r="AC10759" s="20"/>
      <c r="AG10759" s="29"/>
    </row>
    <row r="10760" spans="2:33">
      <c r="B10760" s="29"/>
      <c r="D10760" s="29"/>
      <c r="E10760" s="20"/>
      <c r="F10760" s="20"/>
      <c r="AC10760" s="20"/>
      <c r="AG10760" s="29"/>
    </row>
    <row r="10761" spans="2:33">
      <c r="B10761" s="29"/>
      <c r="D10761" s="29"/>
      <c r="E10761" s="20"/>
      <c r="F10761" s="20"/>
      <c r="AC10761" s="20"/>
      <c r="AG10761" s="29"/>
    </row>
    <row r="10762" spans="2:33">
      <c r="B10762" s="29"/>
      <c r="D10762" s="29"/>
      <c r="E10762" s="20"/>
      <c r="F10762" s="20"/>
      <c r="AC10762" s="20"/>
      <c r="AG10762" s="29"/>
    </row>
    <row r="10763" spans="2:33">
      <c r="B10763" s="29"/>
      <c r="D10763" s="29"/>
      <c r="E10763" s="20"/>
      <c r="F10763" s="20"/>
      <c r="AC10763" s="20"/>
      <c r="AG10763" s="29"/>
    </row>
    <row r="10764" spans="2:33">
      <c r="B10764" s="29"/>
      <c r="D10764" s="29"/>
      <c r="E10764" s="20"/>
      <c r="F10764" s="20"/>
      <c r="AC10764" s="20"/>
      <c r="AG10764" s="29"/>
    </row>
    <row r="10765" spans="2:33">
      <c r="B10765" s="29"/>
      <c r="D10765" s="29"/>
      <c r="E10765" s="20"/>
      <c r="F10765" s="20"/>
      <c r="AC10765" s="20"/>
      <c r="AG10765" s="29"/>
    </row>
    <row r="10766" spans="2:33">
      <c r="B10766" s="29"/>
      <c r="D10766" s="29"/>
      <c r="E10766" s="20"/>
      <c r="F10766" s="20"/>
      <c r="AC10766" s="20"/>
      <c r="AG10766" s="29"/>
    </row>
    <row r="10767" spans="2:33">
      <c r="B10767" s="29"/>
      <c r="D10767" s="29"/>
      <c r="E10767" s="20"/>
      <c r="F10767" s="20"/>
      <c r="AC10767" s="20"/>
      <c r="AG10767" s="29"/>
    </row>
    <row r="10768" spans="2:33">
      <c r="B10768" s="29"/>
      <c r="D10768" s="29"/>
      <c r="E10768" s="20"/>
      <c r="F10768" s="20"/>
      <c r="AC10768" s="20"/>
      <c r="AG10768" s="29"/>
    </row>
    <row r="10769" spans="2:33">
      <c r="B10769" s="29"/>
      <c r="D10769" s="29"/>
      <c r="E10769" s="20"/>
      <c r="F10769" s="20"/>
      <c r="AC10769" s="20"/>
      <c r="AG10769" s="29"/>
    </row>
    <row r="10770" spans="2:33">
      <c r="B10770" s="29"/>
      <c r="D10770" s="29"/>
      <c r="E10770" s="20"/>
      <c r="F10770" s="20"/>
      <c r="AC10770" s="20"/>
      <c r="AG10770" s="29"/>
    </row>
    <row r="10771" spans="2:33">
      <c r="B10771" s="29"/>
      <c r="D10771" s="29"/>
      <c r="E10771" s="20"/>
      <c r="F10771" s="20"/>
      <c r="AC10771" s="20"/>
      <c r="AG10771" s="29"/>
    </row>
    <row r="10772" spans="2:33">
      <c r="B10772" s="29"/>
      <c r="D10772" s="29"/>
      <c r="E10772" s="20"/>
      <c r="F10772" s="20"/>
      <c r="AC10772" s="20"/>
      <c r="AG10772" s="29"/>
    </row>
    <row r="10773" spans="2:33">
      <c r="B10773" s="29"/>
      <c r="D10773" s="29"/>
      <c r="E10773" s="20"/>
      <c r="F10773" s="20"/>
      <c r="AC10773" s="20"/>
      <c r="AG10773" s="29"/>
    </row>
    <row r="10774" spans="2:33">
      <c r="B10774" s="29"/>
      <c r="D10774" s="29"/>
      <c r="E10774" s="20"/>
      <c r="F10774" s="20"/>
      <c r="AC10774" s="20"/>
      <c r="AG10774" s="29"/>
    </row>
    <row r="10775" spans="2:33">
      <c r="B10775" s="29"/>
      <c r="D10775" s="29"/>
      <c r="E10775" s="20"/>
      <c r="F10775" s="20"/>
      <c r="AC10775" s="20"/>
      <c r="AG10775" s="29"/>
    </row>
    <row r="10776" spans="2:33">
      <c r="B10776" s="29"/>
      <c r="D10776" s="29"/>
      <c r="E10776" s="20"/>
      <c r="F10776" s="20"/>
      <c r="AC10776" s="20"/>
      <c r="AG10776" s="29"/>
    </row>
    <row r="10777" spans="2:33">
      <c r="B10777" s="29"/>
      <c r="D10777" s="29"/>
      <c r="E10777" s="20"/>
      <c r="F10777" s="20"/>
      <c r="AC10777" s="20"/>
      <c r="AG10777" s="29"/>
    </row>
    <row r="10778" spans="2:33">
      <c r="B10778" s="29"/>
      <c r="D10778" s="29"/>
      <c r="E10778" s="20"/>
      <c r="F10778" s="20"/>
      <c r="AC10778" s="20"/>
      <c r="AG10778" s="29"/>
    </row>
    <row r="10779" spans="2:33">
      <c r="B10779" s="29"/>
      <c r="D10779" s="29"/>
      <c r="E10779" s="20"/>
      <c r="F10779" s="20"/>
      <c r="AC10779" s="20"/>
      <c r="AG10779" s="29"/>
    </row>
    <row r="10780" spans="2:33">
      <c r="B10780" s="29"/>
      <c r="D10780" s="29"/>
      <c r="E10780" s="20"/>
      <c r="F10780" s="20"/>
      <c r="AC10780" s="20"/>
      <c r="AG10780" s="29"/>
    </row>
    <row r="10781" spans="2:33">
      <c r="B10781" s="29"/>
      <c r="D10781" s="29"/>
      <c r="E10781" s="20"/>
      <c r="F10781" s="20"/>
      <c r="AC10781" s="20"/>
      <c r="AG10781" s="29"/>
    </row>
    <row r="10782" spans="2:33">
      <c r="B10782" s="29"/>
      <c r="D10782" s="29"/>
      <c r="E10782" s="20"/>
      <c r="F10782" s="20"/>
      <c r="AC10782" s="20"/>
      <c r="AG10782" s="29"/>
    </row>
    <row r="10783" spans="2:33">
      <c r="B10783" s="29"/>
      <c r="D10783" s="29"/>
      <c r="E10783" s="20"/>
      <c r="F10783" s="20"/>
      <c r="AC10783" s="20"/>
      <c r="AG10783" s="29"/>
    </row>
    <row r="10784" spans="2:33">
      <c r="B10784" s="29"/>
      <c r="D10784" s="29"/>
      <c r="E10784" s="20"/>
      <c r="F10784" s="20"/>
      <c r="AC10784" s="20"/>
      <c r="AG10784" s="29"/>
    </row>
    <row r="10785" spans="2:33">
      <c r="B10785" s="29"/>
      <c r="D10785" s="29"/>
      <c r="E10785" s="20"/>
      <c r="F10785" s="20"/>
      <c r="AC10785" s="20"/>
      <c r="AG10785" s="29"/>
    </row>
    <row r="10786" spans="2:33">
      <c r="B10786" s="29"/>
      <c r="D10786" s="29"/>
      <c r="E10786" s="20"/>
      <c r="F10786" s="20"/>
      <c r="AC10786" s="20"/>
      <c r="AG10786" s="29"/>
    </row>
    <row r="10787" spans="2:33">
      <c r="B10787" s="29"/>
      <c r="D10787" s="29"/>
      <c r="E10787" s="20"/>
      <c r="F10787" s="20"/>
      <c r="AC10787" s="20"/>
      <c r="AG10787" s="29"/>
    </row>
    <row r="10788" spans="2:33">
      <c r="B10788" s="29"/>
      <c r="D10788" s="29"/>
      <c r="E10788" s="20"/>
      <c r="F10788" s="20"/>
      <c r="AC10788" s="20"/>
      <c r="AG10788" s="29"/>
    </row>
    <row r="10789" spans="2:33">
      <c r="B10789" s="29"/>
      <c r="D10789" s="29"/>
      <c r="E10789" s="20"/>
      <c r="F10789" s="20"/>
      <c r="AC10789" s="20"/>
      <c r="AG10789" s="29"/>
    </row>
    <row r="10790" spans="2:33">
      <c r="B10790" s="29"/>
      <c r="D10790" s="29"/>
      <c r="E10790" s="20"/>
      <c r="F10790" s="20"/>
      <c r="AC10790" s="20"/>
      <c r="AG10790" s="29"/>
    </row>
    <row r="10791" spans="2:33">
      <c r="B10791" s="29"/>
      <c r="D10791" s="29"/>
      <c r="E10791" s="20"/>
      <c r="F10791" s="20"/>
      <c r="AC10791" s="20"/>
      <c r="AG10791" s="29"/>
    </row>
    <row r="10792" spans="2:33">
      <c r="B10792" s="29"/>
      <c r="D10792" s="29"/>
      <c r="E10792" s="20"/>
      <c r="F10792" s="20"/>
      <c r="AC10792" s="20"/>
      <c r="AG10792" s="29"/>
    </row>
    <row r="10793" spans="2:33">
      <c r="B10793" s="29"/>
      <c r="D10793" s="29"/>
      <c r="E10793" s="20"/>
      <c r="F10793" s="20"/>
      <c r="AC10793" s="20"/>
      <c r="AG10793" s="29"/>
    </row>
    <row r="10794" spans="2:33">
      <c r="B10794" s="29"/>
      <c r="D10794" s="29"/>
      <c r="E10794" s="20"/>
      <c r="F10794" s="20"/>
      <c r="AC10794" s="20"/>
      <c r="AG10794" s="29"/>
    </row>
    <row r="10795" spans="2:33">
      <c r="B10795" s="29"/>
      <c r="D10795" s="29"/>
      <c r="E10795" s="20"/>
      <c r="F10795" s="20"/>
      <c r="AC10795" s="20"/>
      <c r="AG10795" s="29"/>
    </row>
    <row r="10796" spans="2:33">
      <c r="B10796" s="29"/>
      <c r="D10796" s="29"/>
      <c r="E10796" s="20"/>
      <c r="F10796" s="20"/>
      <c r="AC10796" s="20"/>
      <c r="AG10796" s="29"/>
    </row>
    <row r="10797" spans="2:33">
      <c r="B10797" s="29"/>
      <c r="D10797" s="29"/>
      <c r="E10797" s="20"/>
      <c r="F10797" s="20"/>
      <c r="AC10797" s="20"/>
      <c r="AG10797" s="29"/>
    </row>
    <row r="10798" spans="2:33">
      <c r="B10798" s="29"/>
      <c r="D10798" s="29"/>
      <c r="E10798" s="20"/>
      <c r="F10798" s="20"/>
      <c r="AC10798" s="20"/>
      <c r="AG10798" s="29"/>
    </row>
    <row r="10799" spans="2:33">
      <c r="B10799" s="29"/>
      <c r="D10799" s="29"/>
      <c r="E10799" s="20"/>
      <c r="F10799" s="20"/>
      <c r="AC10799" s="20"/>
      <c r="AG10799" s="29"/>
    </row>
    <row r="10800" spans="2:33">
      <c r="B10800" s="29"/>
      <c r="D10800" s="29"/>
      <c r="E10800" s="20"/>
      <c r="F10800" s="20"/>
      <c r="AC10800" s="20"/>
      <c r="AG10800" s="29"/>
    </row>
    <row r="10801" spans="2:33">
      <c r="B10801" s="29"/>
      <c r="D10801" s="29"/>
      <c r="E10801" s="20"/>
      <c r="F10801" s="20"/>
      <c r="AC10801" s="20"/>
      <c r="AG10801" s="29"/>
    </row>
    <row r="10802" spans="2:33">
      <c r="B10802" s="29"/>
      <c r="D10802" s="29"/>
      <c r="E10802" s="20"/>
      <c r="F10802" s="20"/>
      <c r="AC10802" s="20"/>
      <c r="AG10802" s="29"/>
    </row>
    <row r="10803" spans="2:33">
      <c r="B10803" s="29"/>
      <c r="D10803" s="29"/>
      <c r="E10803" s="20"/>
      <c r="F10803" s="20"/>
      <c r="AC10803" s="20"/>
      <c r="AG10803" s="29"/>
    </row>
    <row r="10804" spans="2:33">
      <c r="B10804" s="29"/>
      <c r="D10804" s="29"/>
      <c r="E10804" s="20"/>
      <c r="F10804" s="20"/>
      <c r="AC10804" s="20"/>
      <c r="AG10804" s="29"/>
    </row>
    <row r="10805" spans="2:33">
      <c r="B10805" s="29"/>
      <c r="D10805" s="29"/>
      <c r="E10805" s="20"/>
      <c r="F10805" s="20"/>
      <c r="AC10805" s="20"/>
      <c r="AG10805" s="29"/>
    </row>
    <row r="10806" spans="2:33">
      <c r="B10806" s="29"/>
      <c r="D10806" s="29"/>
      <c r="E10806" s="20"/>
      <c r="F10806" s="20"/>
      <c r="AC10806" s="20"/>
      <c r="AG10806" s="29"/>
    </row>
    <row r="10807" spans="2:33">
      <c r="B10807" s="29"/>
      <c r="D10807" s="29"/>
      <c r="E10807" s="20"/>
      <c r="F10807" s="20"/>
      <c r="AC10807" s="20"/>
      <c r="AG10807" s="29"/>
    </row>
    <row r="10808" spans="2:33">
      <c r="B10808" s="29"/>
      <c r="D10808" s="29"/>
      <c r="E10808" s="20"/>
      <c r="F10808" s="20"/>
      <c r="AC10808" s="20"/>
      <c r="AG10808" s="29"/>
    </row>
    <row r="10809" spans="2:33">
      <c r="B10809" s="29"/>
      <c r="D10809" s="29"/>
      <c r="E10809" s="20"/>
      <c r="F10809" s="20"/>
      <c r="AC10809" s="20"/>
      <c r="AG10809" s="29"/>
    </row>
    <row r="10810" spans="2:33">
      <c r="B10810" s="29"/>
      <c r="D10810" s="29"/>
      <c r="E10810" s="20"/>
      <c r="F10810" s="20"/>
      <c r="AC10810" s="20"/>
      <c r="AG10810" s="29"/>
    </row>
    <row r="10811" spans="2:33">
      <c r="B10811" s="29"/>
      <c r="D10811" s="29"/>
      <c r="E10811" s="20"/>
      <c r="F10811" s="20"/>
      <c r="AC10811" s="20"/>
      <c r="AG10811" s="29"/>
    </row>
    <row r="10812" spans="2:33">
      <c r="B10812" s="29"/>
      <c r="D10812" s="29"/>
      <c r="E10812" s="20"/>
      <c r="F10812" s="20"/>
      <c r="AC10812" s="20"/>
      <c r="AG10812" s="29"/>
    </row>
    <row r="10813" spans="2:33">
      <c r="B10813" s="29"/>
      <c r="D10813" s="29"/>
      <c r="E10813" s="20"/>
      <c r="F10813" s="20"/>
      <c r="AC10813" s="20"/>
      <c r="AG10813" s="29"/>
    </row>
    <row r="10814" spans="2:33">
      <c r="B10814" s="29"/>
      <c r="D10814" s="29"/>
      <c r="E10814" s="20"/>
      <c r="F10814" s="20"/>
      <c r="AC10814" s="20"/>
      <c r="AG10814" s="29"/>
    </row>
    <row r="10815" spans="2:33">
      <c r="B10815" s="29"/>
      <c r="D10815" s="29"/>
      <c r="E10815" s="20"/>
      <c r="F10815" s="20"/>
      <c r="AC10815" s="20"/>
      <c r="AG10815" s="29"/>
    </row>
    <row r="10816" spans="2:33">
      <c r="B10816" s="29"/>
      <c r="D10816" s="29"/>
      <c r="E10816" s="20"/>
      <c r="F10816" s="20"/>
      <c r="AC10816" s="20"/>
      <c r="AG10816" s="29"/>
    </row>
    <row r="10817" spans="2:33">
      <c r="B10817" s="29"/>
      <c r="D10817" s="29"/>
      <c r="E10817" s="20"/>
      <c r="F10817" s="20"/>
      <c r="AC10817" s="20"/>
      <c r="AG10817" s="29"/>
    </row>
    <row r="10818" spans="2:33">
      <c r="B10818" s="29"/>
      <c r="D10818" s="29"/>
      <c r="E10818" s="20"/>
      <c r="F10818" s="20"/>
      <c r="AC10818" s="20"/>
      <c r="AG10818" s="29"/>
    </row>
    <row r="10819" spans="2:33">
      <c r="B10819" s="29"/>
      <c r="D10819" s="29"/>
      <c r="E10819" s="20"/>
      <c r="F10819" s="20"/>
      <c r="AC10819" s="20"/>
      <c r="AG10819" s="29"/>
    </row>
    <row r="10820" spans="2:33">
      <c r="B10820" s="29"/>
      <c r="D10820" s="29"/>
      <c r="E10820" s="20"/>
      <c r="F10820" s="20"/>
      <c r="AC10820" s="20"/>
      <c r="AG10820" s="29"/>
    </row>
    <row r="10821" spans="2:33">
      <c r="B10821" s="29"/>
      <c r="D10821" s="29"/>
      <c r="E10821" s="20"/>
      <c r="F10821" s="20"/>
      <c r="AC10821" s="20"/>
      <c r="AG10821" s="29"/>
    </row>
    <row r="10822" spans="2:33">
      <c r="B10822" s="29"/>
      <c r="D10822" s="29"/>
      <c r="E10822" s="20"/>
      <c r="F10822" s="20"/>
      <c r="AC10822" s="20"/>
      <c r="AG10822" s="29"/>
    </row>
    <row r="10823" spans="2:33">
      <c r="B10823" s="29"/>
      <c r="D10823" s="29"/>
      <c r="E10823" s="20"/>
      <c r="F10823" s="20"/>
      <c r="AC10823" s="20"/>
      <c r="AG10823" s="29"/>
    </row>
    <row r="10824" spans="2:33">
      <c r="B10824" s="29"/>
      <c r="D10824" s="29"/>
      <c r="E10824" s="20"/>
      <c r="F10824" s="20"/>
      <c r="AC10824" s="20"/>
      <c r="AG10824" s="29"/>
    </row>
    <row r="10825" spans="2:33">
      <c r="B10825" s="29"/>
      <c r="D10825" s="29"/>
      <c r="E10825" s="20"/>
      <c r="F10825" s="20"/>
      <c r="AC10825" s="20"/>
      <c r="AG10825" s="29"/>
    </row>
    <row r="10826" spans="2:33">
      <c r="B10826" s="29"/>
      <c r="D10826" s="29"/>
      <c r="E10826" s="20"/>
      <c r="F10826" s="20"/>
      <c r="AC10826" s="20"/>
      <c r="AG10826" s="29"/>
    </row>
    <row r="10827" spans="2:33">
      <c r="B10827" s="29"/>
      <c r="D10827" s="29"/>
      <c r="E10827" s="20"/>
      <c r="F10827" s="20"/>
      <c r="AC10827" s="20"/>
      <c r="AG10827" s="29"/>
    </row>
    <row r="10828" spans="2:33">
      <c r="B10828" s="29"/>
      <c r="D10828" s="29"/>
      <c r="E10828" s="20"/>
      <c r="F10828" s="20"/>
      <c r="AC10828" s="20"/>
      <c r="AG10828" s="29"/>
    </row>
    <row r="10829" spans="2:33">
      <c r="B10829" s="29"/>
      <c r="D10829" s="29"/>
      <c r="E10829" s="20"/>
      <c r="F10829" s="20"/>
      <c r="AC10829" s="20"/>
      <c r="AG10829" s="29"/>
    </row>
    <row r="10830" spans="2:33">
      <c r="B10830" s="29"/>
      <c r="D10830" s="29"/>
      <c r="E10830" s="20"/>
      <c r="F10830" s="20"/>
      <c r="AC10830" s="20"/>
      <c r="AG10830" s="29"/>
    </row>
    <row r="10831" spans="2:33">
      <c r="B10831" s="29"/>
      <c r="D10831" s="29"/>
      <c r="E10831" s="20"/>
      <c r="F10831" s="20"/>
      <c r="AC10831" s="20"/>
      <c r="AG10831" s="29"/>
    </row>
    <row r="10832" spans="2:33">
      <c r="B10832" s="29"/>
      <c r="D10832" s="29"/>
      <c r="E10832" s="20"/>
      <c r="F10832" s="20"/>
      <c r="AC10832" s="20"/>
      <c r="AG10832" s="29"/>
    </row>
    <row r="10833" spans="2:33">
      <c r="B10833" s="29"/>
      <c r="D10833" s="29"/>
      <c r="E10833" s="20"/>
      <c r="F10833" s="20"/>
      <c r="AC10833" s="20"/>
      <c r="AG10833" s="29"/>
    </row>
    <row r="10834" spans="2:33">
      <c r="B10834" s="29"/>
      <c r="D10834" s="29"/>
      <c r="E10834" s="20"/>
      <c r="F10834" s="20"/>
      <c r="AC10834" s="20"/>
      <c r="AG10834" s="29"/>
    </row>
    <row r="10835" spans="2:33">
      <c r="B10835" s="29"/>
      <c r="D10835" s="29"/>
      <c r="E10835" s="20"/>
      <c r="F10835" s="20"/>
      <c r="AC10835" s="20"/>
      <c r="AG10835" s="29"/>
    </row>
    <row r="10836" spans="2:33">
      <c r="B10836" s="29"/>
      <c r="D10836" s="29"/>
      <c r="E10836" s="20"/>
      <c r="F10836" s="20"/>
      <c r="AC10836" s="20"/>
      <c r="AG10836" s="29"/>
    </row>
    <row r="10837" spans="2:33">
      <c r="B10837" s="29"/>
      <c r="D10837" s="29"/>
      <c r="E10837" s="20"/>
      <c r="F10837" s="20"/>
      <c r="AC10837" s="20"/>
      <c r="AG10837" s="29"/>
    </row>
    <row r="10838" spans="2:33">
      <c r="B10838" s="29"/>
      <c r="D10838" s="29"/>
      <c r="E10838" s="20"/>
      <c r="F10838" s="20"/>
      <c r="AC10838" s="20"/>
      <c r="AG10838" s="29"/>
    </row>
    <row r="10839" spans="2:33">
      <c r="B10839" s="29"/>
      <c r="D10839" s="29"/>
      <c r="E10839" s="20"/>
      <c r="F10839" s="20"/>
      <c r="AC10839" s="20"/>
      <c r="AG10839" s="29"/>
    </row>
    <row r="10840" spans="2:33">
      <c r="B10840" s="29"/>
      <c r="D10840" s="29"/>
      <c r="E10840" s="20"/>
      <c r="F10840" s="20"/>
      <c r="AC10840" s="20"/>
      <c r="AG10840" s="29"/>
    </row>
    <row r="10841" spans="2:33">
      <c r="B10841" s="29"/>
      <c r="D10841" s="29"/>
      <c r="E10841" s="20"/>
      <c r="F10841" s="20"/>
      <c r="AC10841" s="20"/>
      <c r="AG10841" s="29"/>
    </row>
    <row r="10842" spans="2:33">
      <c r="B10842" s="29"/>
      <c r="D10842" s="29"/>
      <c r="E10842" s="20"/>
      <c r="F10842" s="20"/>
      <c r="AC10842" s="20"/>
      <c r="AG10842" s="29"/>
    </row>
    <row r="10843" spans="2:33">
      <c r="B10843" s="29"/>
      <c r="D10843" s="29"/>
      <c r="E10843" s="20"/>
      <c r="F10843" s="20"/>
      <c r="AC10843" s="20"/>
      <c r="AG10843" s="29"/>
    </row>
    <row r="10844" spans="2:33">
      <c r="B10844" s="29"/>
      <c r="D10844" s="29"/>
      <c r="E10844" s="20"/>
      <c r="F10844" s="20"/>
      <c r="AC10844" s="20"/>
      <c r="AG10844" s="29"/>
    </row>
    <row r="10845" spans="2:33">
      <c r="B10845" s="29"/>
      <c r="D10845" s="29"/>
      <c r="E10845" s="20"/>
      <c r="F10845" s="20"/>
      <c r="AC10845" s="20"/>
      <c r="AG10845" s="29"/>
    </row>
    <row r="10846" spans="2:33">
      <c r="B10846" s="29"/>
      <c r="D10846" s="29"/>
      <c r="E10846" s="20"/>
      <c r="F10846" s="20"/>
      <c r="AC10846" s="20"/>
      <c r="AG10846" s="29"/>
    </row>
    <row r="10847" spans="2:33">
      <c r="B10847" s="29"/>
      <c r="D10847" s="29"/>
      <c r="E10847" s="20"/>
      <c r="F10847" s="20"/>
      <c r="AC10847" s="20"/>
      <c r="AG10847" s="29"/>
    </row>
    <row r="10848" spans="2:33">
      <c r="B10848" s="29"/>
      <c r="D10848" s="29"/>
      <c r="E10848" s="20"/>
      <c r="F10848" s="20"/>
      <c r="AC10848" s="20"/>
      <c r="AG10848" s="29"/>
    </row>
    <row r="10849" spans="2:33">
      <c r="B10849" s="29"/>
      <c r="D10849" s="29"/>
      <c r="E10849" s="20"/>
      <c r="F10849" s="20"/>
      <c r="AC10849" s="20"/>
      <c r="AG10849" s="29"/>
    </row>
    <row r="10850" spans="2:33">
      <c r="B10850" s="29"/>
      <c r="D10850" s="29"/>
      <c r="E10850" s="20"/>
      <c r="F10850" s="20"/>
      <c r="AC10850" s="20"/>
      <c r="AG10850" s="29"/>
    </row>
    <row r="10851" spans="2:33">
      <c r="B10851" s="29"/>
      <c r="D10851" s="29"/>
      <c r="E10851" s="20"/>
      <c r="F10851" s="20"/>
      <c r="AC10851" s="20"/>
      <c r="AG10851" s="29"/>
    </row>
    <row r="10852" spans="2:33">
      <c r="B10852" s="29"/>
      <c r="D10852" s="29"/>
      <c r="E10852" s="20"/>
      <c r="F10852" s="20"/>
      <c r="AC10852" s="20"/>
      <c r="AG10852" s="29"/>
    </row>
    <row r="10853" spans="2:33">
      <c r="B10853" s="29"/>
      <c r="D10853" s="29"/>
      <c r="E10853" s="20"/>
      <c r="F10853" s="20"/>
      <c r="AC10853" s="20"/>
      <c r="AG10853" s="29"/>
    </row>
    <row r="10854" spans="2:33">
      <c r="B10854" s="29"/>
      <c r="D10854" s="29"/>
      <c r="E10854" s="20"/>
      <c r="F10854" s="20"/>
      <c r="AC10854" s="20"/>
      <c r="AG10854" s="29"/>
    </row>
    <row r="10855" spans="2:33">
      <c r="B10855" s="29"/>
      <c r="D10855" s="29"/>
      <c r="E10855" s="20"/>
      <c r="F10855" s="20"/>
      <c r="AC10855" s="20"/>
      <c r="AG10855" s="29"/>
    </row>
    <row r="10856" spans="2:33">
      <c r="B10856" s="29"/>
      <c r="D10856" s="29"/>
      <c r="E10856" s="20"/>
      <c r="F10856" s="20"/>
      <c r="AC10856" s="20"/>
      <c r="AG10856" s="29"/>
    </row>
    <row r="10857" spans="2:33">
      <c r="B10857" s="29"/>
      <c r="D10857" s="29"/>
      <c r="E10857" s="20"/>
      <c r="F10857" s="20"/>
      <c r="AC10857" s="20"/>
      <c r="AG10857" s="29"/>
    </row>
    <row r="10858" spans="2:33">
      <c r="B10858" s="29"/>
      <c r="D10858" s="29"/>
      <c r="E10858" s="20"/>
      <c r="F10858" s="20"/>
      <c r="AC10858" s="20"/>
      <c r="AG10858" s="29"/>
    </row>
    <row r="10859" spans="2:33">
      <c r="B10859" s="29"/>
      <c r="D10859" s="29"/>
      <c r="E10859" s="20"/>
      <c r="F10859" s="20"/>
      <c r="AC10859" s="20"/>
      <c r="AG10859" s="29"/>
    </row>
    <row r="10860" spans="2:33">
      <c r="B10860" s="29"/>
      <c r="D10860" s="29"/>
      <c r="E10860" s="20"/>
      <c r="F10860" s="20"/>
      <c r="AC10860" s="20"/>
      <c r="AG10860" s="29"/>
    </row>
    <row r="10861" spans="2:33">
      <c r="B10861" s="29"/>
      <c r="D10861" s="29"/>
      <c r="E10861" s="20"/>
      <c r="F10861" s="20"/>
      <c r="AC10861" s="20"/>
      <c r="AG10861" s="29"/>
    </row>
    <row r="10862" spans="2:33">
      <c r="B10862" s="29"/>
      <c r="D10862" s="29"/>
      <c r="E10862" s="20"/>
      <c r="F10862" s="20"/>
      <c r="AC10862" s="20"/>
      <c r="AG10862" s="29"/>
    </row>
    <row r="10863" spans="2:33">
      <c r="B10863" s="29"/>
      <c r="D10863" s="29"/>
      <c r="E10863" s="20"/>
      <c r="F10863" s="20"/>
      <c r="AC10863" s="20"/>
      <c r="AG10863" s="29"/>
    </row>
    <row r="10864" spans="2:33">
      <c r="B10864" s="29"/>
      <c r="D10864" s="29"/>
      <c r="E10864" s="20"/>
      <c r="F10864" s="20"/>
      <c r="AC10864" s="20"/>
      <c r="AG10864" s="29"/>
    </row>
    <row r="10865" spans="2:33">
      <c r="B10865" s="29"/>
      <c r="D10865" s="29"/>
      <c r="E10865" s="20"/>
      <c r="F10865" s="20"/>
      <c r="AC10865" s="20"/>
      <c r="AG10865" s="29"/>
    </row>
    <row r="10866" spans="2:33">
      <c r="B10866" s="29"/>
      <c r="D10866" s="29"/>
      <c r="E10866" s="20"/>
      <c r="F10866" s="20"/>
      <c r="AC10866" s="20"/>
      <c r="AG10866" s="29"/>
    </row>
    <row r="10867" spans="2:33">
      <c r="B10867" s="29"/>
      <c r="D10867" s="29"/>
      <c r="E10867" s="20"/>
      <c r="F10867" s="20"/>
      <c r="AC10867" s="20"/>
      <c r="AG10867" s="29"/>
    </row>
    <row r="10868" spans="2:33">
      <c r="B10868" s="29"/>
      <c r="D10868" s="29"/>
      <c r="E10868" s="20"/>
      <c r="F10868" s="20"/>
      <c r="AC10868" s="20"/>
      <c r="AG10868" s="29"/>
    </row>
    <row r="10869" spans="2:33">
      <c r="B10869" s="29"/>
      <c r="D10869" s="29"/>
      <c r="E10869" s="20"/>
      <c r="F10869" s="20"/>
      <c r="AC10869" s="20"/>
      <c r="AG10869" s="29"/>
    </row>
    <row r="10870" spans="2:33">
      <c r="B10870" s="29"/>
      <c r="D10870" s="29"/>
      <c r="E10870" s="20"/>
      <c r="F10870" s="20"/>
      <c r="AC10870" s="20"/>
      <c r="AG10870" s="29"/>
    </row>
    <row r="10871" spans="2:33">
      <c r="B10871" s="29"/>
      <c r="D10871" s="29"/>
      <c r="E10871" s="20"/>
      <c r="F10871" s="20"/>
      <c r="AC10871" s="20"/>
      <c r="AG10871" s="29"/>
    </row>
    <row r="10872" spans="2:33">
      <c r="B10872" s="29"/>
      <c r="D10872" s="29"/>
      <c r="E10872" s="20"/>
      <c r="F10872" s="20"/>
      <c r="AC10872" s="20"/>
      <c r="AG10872" s="29"/>
    </row>
    <row r="10873" spans="2:33">
      <c r="B10873" s="29"/>
      <c r="D10873" s="29"/>
      <c r="E10873" s="20"/>
      <c r="F10873" s="20"/>
      <c r="AC10873" s="20"/>
      <c r="AG10873" s="29"/>
    </row>
    <row r="10874" spans="2:33">
      <c r="B10874" s="29"/>
      <c r="D10874" s="29"/>
      <c r="E10874" s="20"/>
      <c r="F10874" s="20"/>
      <c r="AC10874" s="20"/>
      <c r="AG10874" s="29"/>
    </row>
    <row r="10875" spans="2:33">
      <c r="B10875" s="29"/>
      <c r="D10875" s="29"/>
      <c r="E10875" s="20"/>
      <c r="F10875" s="20"/>
      <c r="AC10875" s="20"/>
      <c r="AG10875" s="29"/>
    </row>
    <row r="10876" spans="2:33">
      <c r="B10876" s="29"/>
      <c r="D10876" s="29"/>
      <c r="E10876" s="20"/>
      <c r="F10876" s="20"/>
      <c r="AC10876" s="20"/>
      <c r="AG10876" s="29"/>
    </row>
    <row r="10877" spans="2:33">
      <c r="B10877" s="29"/>
      <c r="D10877" s="29"/>
      <c r="E10877" s="20"/>
      <c r="F10877" s="20"/>
      <c r="AC10877" s="20"/>
      <c r="AG10877" s="29"/>
    </row>
    <row r="10878" spans="2:33">
      <c r="B10878" s="29"/>
      <c r="D10878" s="29"/>
      <c r="E10878" s="20"/>
      <c r="F10878" s="20"/>
      <c r="AC10878" s="20"/>
      <c r="AG10878" s="29"/>
    </row>
    <row r="10879" spans="2:33">
      <c r="B10879" s="29"/>
      <c r="D10879" s="29"/>
      <c r="E10879" s="20"/>
      <c r="F10879" s="20"/>
      <c r="AC10879" s="20"/>
      <c r="AG10879" s="29"/>
    </row>
    <row r="10880" spans="2:33">
      <c r="B10880" s="29"/>
      <c r="D10880" s="29"/>
      <c r="E10880" s="20"/>
      <c r="F10880" s="20"/>
      <c r="AC10880" s="20"/>
      <c r="AG10880" s="29"/>
    </row>
    <row r="10881" spans="2:33">
      <c r="B10881" s="29"/>
      <c r="D10881" s="29"/>
      <c r="E10881" s="20"/>
      <c r="F10881" s="20"/>
      <c r="AC10881" s="20"/>
      <c r="AG10881" s="29"/>
    </row>
    <row r="10882" spans="2:33">
      <c r="B10882" s="29"/>
      <c r="D10882" s="29"/>
      <c r="E10882" s="20"/>
      <c r="F10882" s="20"/>
      <c r="AC10882" s="20"/>
      <c r="AG10882" s="29"/>
    </row>
    <row r="10883" spans="2:33">
      <c r="B10883" s="29"/>
      <c r="D10883" s="29"/>
      <c r="E10883" s="20"/>
      <c r="F10883" s="20"/>
      <c r="AC10883" s="20"/>
      <c r="AG10883" s="29"/>
    </row>
    <row r="10884" spans="2:33">
      <c r="B10884" s="29"/>
      <c r="D10884" s="29"/>
      <c r="E10884" s="20"/>
      <c r="F10884" s="20"/>
      <c r="AC10884" s="20"/>
      <c r="AG10884" s="29"/>
    </row>
    <row r="10885" spans="2:33">
      <c r="B10885" s="29"/>
      <c r="D10885" s="29"/>
      <c r="E10885" s="20"/>
      <c r="F10885" s="20"/>
      <c r="AC10885" s="20"/>
      <c r="AG10885" s="29"/>
    </row>
    <row r="10886" spans="2:33">
      <c r="B10886" s="29"/>
      <c r="D10886" s="29"/>
      <c r="E10886" s="20"/>
      <c r="F10886" s="20"/>
      <c r="AC10886" s="20"/>
      <c r="AG10886" s="29"/>
    </row>
    <row r="10887" spans="2:33">
      <c r="B10887" s="29"/>
      <c r="D10887" s="29"/>
      <c r="E10887" s="20"/>
      <c r="F10887" s="20"/>
      <c r="AC10887" s="20"/>
      <c r="AG10887" s="29"/>
    </row>
    <row r="10888" spans="2:33">
      <c r="B10888" s="29"/>
      <c r="D10888" s="29"/>
      <c r="E10888" s="20"/>
      <c r="F10888" s="20"/>
      <c r="AC10888" s="20"/>
      <c r="AG10888" s="29"/>
    </row>
    <row r="10889" spans="2:33">
      <c r="B10889" s="29"/>
      <c r="D10889" s="29"/>
      <c r="E10889" s="20"/>
      <c r="F10889" s="20"/>
      <c r="AC10889" s="20"/>
      <c r="AG10889" s="29"/>
    </row>
    <row r="10890" spans="2:33">
      <c r="B10890" s="29"/>
      <c r="D10890" s="29"/>
      <c r="E10890" s="20"/>
      <c r="F10890" s="20"/>
      <c r="AC10890" s="20"/>
      <c r="AG10890" s="29"/>
    </row>
    <row r="10891" spans="2:33">
      <c r="B10891" s="29"/>
      <c r="D10891" s="29"/>
      <c r="E10891" s="20"/>
      <c r="F10891" s="20"/>
      <c r="AC10891" s="20"/>
      <c r="AG10891" s="29"/>
    </row>
    <row r="10892" spans="2:33">
      <c r="B10892" s="29"/>
      <c r="D10892" s="29"/>
      <c r="E10892" s="20"/>
      <c r="F10892" s="20"/>
      <c r="AC10892" s="20"/>
      <c r="AG10892" s="29"/>
    </row>
    <row r="10893" spans="2:33">
      <c r="B10893" s="29"/>
      <c r="D10893" s="29"/>
      <c r="E10893" s="20"/>
      <c r="F10893" s="20"/>
      <c r="AC10893" s="20"/>
      <c r="AG10893" s="29"/>
    </row>
    <row r="10894" spans="2:33">
      <c r="B10894" s="29"/>
      <c r="D10894" s="29"/>
      <c r="E10894" s="20"/>
      <c r="F10894" s="20"/>
      <c r="AC10894" s="20"/>
      <c r="AG10894" s="29"/>
    </row>
    <row r="10895" spans="2:33">
      <c r="B10895" s="29"/>
      <c r="D10895" s="29"/>
      <c r="E10895" s="20"/>
      <c r="F10895" s="20"/>
      <c r="AC10895" s="20"/>
      <c r="AG10895" s="29"/>
    </row>
    <row r="10896" spans="2:33">
      <c r="B10896" s="29"/>
      <c r="D10896" s="29"/>
      <c r="E10896" s="20"/>
      <c r="F10896" s="20"/>
      <c r="AC10896" s="20"/>
      <c r="AG10896" s="29"/>
    </row>
    <row r="10897" spans="2:33">
      <c r="B10897" s="29"/>
      <c r="D10897" s="29"/>
      <c r="E10897" s="20"/>
      <c r="F10897" s="20"/>
      <c r="AC10897" s="20"/>
      <c r="AG10897" s="29"/>
    </row>
    <row r="10898" spans="2:33">
      <c r="B10898" s="29"/>
      <c r="D10898" s="29"/>
      <c r="E10898" s="20"/>
      <c r="F10898" s="20"/>
      <c r="AC10898" s="20"/>
      <c r="AG10898" s="29"/>
    </row>
    <row r="10899" spans="2:33">
      <c r="B10899" s="29"/>
      <c r="D10899" s="29"/>
      <c r="E10899" s="20"/>
      <c r="F10899" s="20"/>
      <c r="AC10899" s="20"/>
      <c r="AG10899" s="29"/>
    </row>
    <row r="10900" spans="2:33">
      <c r="B10900" s="29"/>
      <c r="D10900" s="29"/>
      <c r="E10900" s="20"/>
      <c r="F10900" s="20"/>
      <c r="AC10900" s="20"/>
      <c r="AG10900" s="29"/>
    </row>
    <row r="10901" spans="2:33">
      <c r="B10901" s="29"/>
      <c r="D10901" s="29"/>
      <c r="E10901" s="20"/>
      <c r="F10901" s="20"/>
      <c r="AC10901" s="20"/>
      <c r="AG10901" s="29"/>
    </row>
    <row r="10902" spans="2:33">
      <c r="B10902" s="29"/>
      <c r="D10902" s="29"/>
      <c r="E10902" s="20"/>
      <c r="F10902" s="20"/>
      <c r="AC10902" s="20"/>
      <c r="AG10902" s="29"/>
    </row>
    <row r="10903" spans="2:33">
      <c r="B10903" s="29"/>
      <c r="D10903" s="29"/>
      <c r="E10903" s="20"/>
      <c r="F10903" s="20"/>
      <c r="AC10903" s="20"/>
      <c r="AG10903" s="29"/>
    </row>
    <row r="10904" spans="2:33">
      <c r="B10904" s="29"/>
      <c r="D10904" s="29"/>
      <c r="E10904" s="20"/>
      <c r="F10904" s="20"/>
      <c r="AC10904" s="20"/>
      <c r="AG10904" s="29"/>
    </row>
    <row r="10905" spans="2:33">
      <c r="B10905" s="29"/>
      <c r="D10905" s="29"/>
      <c r="E10905" s="20"/>
      <c r="F10905" s="20"/>
      <c r="AC10905" s="20"/>
      <c r="AG10905" s="29"/>
    </row>
    <row r="10906" spans="2:33">
      <c r="B10906" s="29"/>
      <c r="D10906" s="29"/>
      <c r="E10906" s="20"/>
      <c r="F10906" s="20"/>
      <c r="AC10906" s="20"/>
      <c r="AG10906" s="29"/>
    </row>
    <row r="10907" spans="2:33">
      <c r="B10907" s="29"/>
      <c r="D10907" s="29"/>
      <c r="E10907" s="20"/>
      <c r="F10907" s="20"/>
      <c r="AC10907" s="20"/>
      <c r="AG10907" s="29"/>
    </row>
    <row r="10908" spans="2:33">
      <c r="B10908" s="29"/>
      <c r="D10908" s="29"/>
      <c r="E10908" s="20"/>
      <c r="F10908" s="20"/>
      <c r="AC10908" s="20"/>
      <c r="AG10908" s="29"/>
    </row>
    <row r="10909" spans="2:33">
      <c r="B10909" s="29"/>
      <c r="D10909" s="29"/>
      <c r="E10909" s="20"/>
      <c r="F10909" s="20"/>
      <c r="AC10909" s="20"/>
      <c r="AG10909" s="29"/>
    </row>
    <row r="10910" spans="2:33">
      <c r="B10910" s="29"/>
      <c r="D10910" s="29"/>
      <c r="E10910" s="20"/>
      <c r="F10910" s="20"/>
      <c r="AC10910" s="20"/>
      <c r="AG10910" s="29"/>
    </row>
    <row r="10911" spans="2:33">
      <c r="B10911" s="29"/>
      <c r="D10911" s="29"/>
      <c r="E10911" s="20"/>
      <c r="F10911" s="20"/>
      <c r="AC10911" s="20"/>
      <c r="AG10911" s="29"/>
    </row>
    <row r="10912" spans="2:33">
      <c r="B10912" s="29"/>
      <c r="D10912" s="29"/>
      <c r="E10912" s="20"/>
      <c r="F10912" s="20"/>
      <c r="AC10912" s="20"/>
      <c r="AG10912" s="29"/>
    </row>
    <row r="10913" spans="2:33">
      <c r="B10913" s="29"/>
      <c r="D10913" s="29"/>
      <c r="E10913" s="20"/>
      <c r="F10913" s="20"/>
      <c r="AC10913" s="20"/>
      <c r="AG10913" s="29"/>
    </row>
    <row r="10914" spans="2:33">
      <c r="B10914" s="29"/>
      <c r="D10914" s="29"/>
      <c r="E10914" s="20"/>
      <c r="F10914" s="20"/>
      <c r="AC10914" s="20"/>
      <c r="AG10914" s="29"/>
    </row>
    <row r="10915" spans="2:33">
      <c r="B10915" s="29"/>
      <c r="D10915" s="29"/>
      <c r="E10915" s="20"/>
      <c r="F10915" s="20"/>
      <c r="AC10915" s="20"/>
      <c r="AG10915" s="29"/>
    </row>
    <row r="10916" spans="2:33">
      <c r="B10916" s="29"/>
      <c r="D10916" s="29"/>
      <c r="E10916" s="20"/>
      <c r="F10916" s="20"/>
      <c r="AC10916" s="20"/>
      <c r="AG10916" s="29"/>
    </row>
    <row r="10917" spans="2:33">
      <c r="B10917" s="29"/>
      <c r="D10917" s="29"/>
      <c r="E10917" s="20"/>
      <c r="F10917" s="20"/>
      <c r="AC10917" s="20"/>
      <c r="AG10917" s="29"/>
    </row>
    <row r="10918" spans="2:33">
      <c r="B10918" s="29"/>
      <c r="D10918" s="29"/>
      <c r="E10918" s="20"/>
      <c r="F10918" s="20"/>
      <c r="AC10918" s="20"/>
      <c r="AG10918" s="29"/>
    </row>
    <row r="10919" spans="2:33">
      <c r="B10919" s="29"/>
      <c r="D10919" s="29"/>
      <c r="E10919" s="20"/>
      <c r="F10919" s="20"/>
      <c r="AC10919" s="20"/>
      <c r="AG10919" s="29"/>
    </row>
    <row r="10920" spans="2:33">
      <c r="B10920" s="29"/>
      <c r="D10920" s="29"/>
      <c r="E10920" s="20"/>
      <c r="F10920" s="20"/>
      <c r="AC10920" s="20"/>
      <c r="AG10920" s="29"/>
    </row>
    <row r="10921" spans="2:33">
      <c r="B10921" s="29"/>
      <c r="D10921" s="29"/>
      <c r="E10921" s="20"/>
      <c r="F10921" s="20"/>
      <c r="AC10921" s="20"/>
      <c r="AG10921" s="29"/>
    </row>
    <row r="10922" spans="2:33">
      <c r="B10922" s="29"/>
      <c r="D10922" s="29"/>
      <c r="E10922" s="20"/>
      <c r="F10922" s="20"/>
      <c r="AC10922" s="20"/>
      <c r="AG10922" s="29"/>
    </row>
    <row r="10923" spans="2:33">
      <c r="B10923" s="29"/>
      <c r="D10923" s="29"/>
      <c r="E10923" s="20"/>
      <c r="F10923" s="20"/>
      <c r="AC10923" s="20"/>
      <c r="AG10923" s="29"/>
    </row>
    <row r="10924" spans="2:33">
      <c r="B10924" s="29"/>
      <c r="D10924" s="29"/>
      <c r="E10924" s="20"/>
      <c r="F10924" s="20"/>
      <c r="AC10924" s="20"/>
      <c r="AG10924" s="29"/>
    </row>
    <row r="10925" spans="2:33">
      <c r="B10925" s="29"/>
      <c r="D10925" s="29"/>
      <c r="E10925" s="20"/>
      <c r="F10925" s="20"/>
      <c r="AC10925" s="20"/>
      <c r="AG10925" s="29"/>
    </row>
    <row r="10926" spans="2:33">
      <c r="B10926" s="29"/>
      <c r="D10926" s="29"/>
      <c r="E10926" s="20"/>
      <c r="F10926" s="20"/>
      <c r="AC10926" s="20"/>
      <c r="AG10926" s="29"/>
    </row>
    <row r="10927" spans="2:33">
      <c r="B10927" s="29"/>
      <c r="D10927" s="29"/>
      <c r="E10927" s="20"/>
      <c r="F10927" s="20"/>
      <c r="AC10927" s="20"/>
      <c r="AG10927" s="29"/>
    </row>
    <row r="10928" spans="2:33">
      <c r="B10928" s="29"/>
      <c r="D10928" s="29"/>
      <c r="E10928" s="20"/>
      <c r="F10928" s="20"/>
      <c r="AC10928" s="20"/>
      <c r="AG10928" s="29"/>
    </row>
    <row r="10929" spans="2:33">
      <c r="B10929" s="29"/>
      <c r="D10929" s="29"/>
      <c r="E10929" s="20"/>
      <c r="F10929" s="20"/>
      <c r="AC10929" s="20"/>
      <c r="AG10929" s="29"/>
    </row>
    <row r="10930" spans="2:33">
      <c r="B10930" s="29"/>
      <c r="D10930" s="29"/>
      <c r="E10930" s="20"/>
      <c r="F10930" s="20"/>
      <c r="AC10930" s="20"/>
      <c r="AG10930" s="29"/>
    </row>
    <row r="10931" spans="2:33">
      <c r="B10931" s="29"/>
      <c r="D10931" s="29"/>
      <c r="E10931" s="20"/>
      <c r="F10931" s="20"/>
      <c r="AC10931" s="20"/>
      <c r="AG10931" s="29"/>
    </row>
    <row r="10932" spans="2:33">
      <c r="B10932" s="29"/>
      <c r="D10932" s="29"/>
      <c r="E10932" s="20"/>
      <c r="F10932" s="20"/>
      <c r="AC10932" s="20"/>
      <c r="AG10932" s="29"/>
    </row>
    <row r="10933" spans="2:33">
      <c r="B10933" s="29"/>
      <c r="D10933" s="29"/>
      <c r="E10933" s="20"/>
      <c r="F10933" s="20"/>
      <c r="AC10933" s="20"/>
      <c r="AG10933" s="29"/>
    </row>
    <row r="10934" spans="2:33">
      <c r="B10934" s="29"/>
      <c r="D10934" s="29"/>
      <c r="E10934" s="20"/>
      <c r="F10934" s="20"/>
      <c r="AC10934" s="20"/>
      <c r="AG10934" s="29"/>
    </row>
    <row r="10935" spans="2:33">
      <c r="B10935" s="29"/>
      <c r="D10935" s="29"/>
      <c r="E10935" s="20"/>
      <c r="F10935" s="20"/>
      <c r="AC10935" s="20"/>
      <c r="AG10935" s="29"/>
    </row>
    <row r="10936" spans="2:33">
      <c r="B10936" s="29"/>
      <c r="D10936" s="29"/>
      <c r="E10936" s="20"/>
      <c r="F10936" s="20"/>
      <c r="AC10936" s="20"/>
      <c r="AG10936" s="29"/>
    </row>
    <row r="10937" spans="2:33">
      <c r="B10937" s="29"/>
      <c r="D10937" s="29"/>
      <c r="E10937" s="20"/>
      <c r="F10937" s="20"/>
      <c r="AC10937" s="20"/>
      <c r="AG10937" s="29"/>
    </row>
    <row r="10938" spans="2:33">
      <c r="B10938" s="29"/>
      <c r="D10938" s="29"/>
      <c r="E10938" s="20"/>
      <c r="F10938" s="20"/>
      <c r="AC10938" s="20"/>
      <c r="AG10938" s="29"/>
    </row>
    <row r="10939" spans="2:33">
      <c r="B10939" s="29"/>
      <c r="D10939" s="29"/>
      <c r="E10939" s="20"/>
      <c r="F10939" s="20"/>
      <c r="AC10939" s="20"/>
      <c r="AG10939" s="29"/>
    </row>
    <row r="10940" spans="2:33">
      <c r="B10940" s="29"/>
      <c r="D10940" s="29"/>
      <c r="E10940" s="20"/>
      <c r="F10940" s="20"/>
      <c r="AC10940" s="20"/>
      <c r="AG10940" s="29"/>
    </row>
    <row r="10941" spans="2:33">
      <c r="B10941" s="29"/>
      <c r="D10941" s="29"/>
      <c r="E10941" s="20"/>
      <c r="F10941" s="20"/>
      <c r="AC10941" s="20"/>
      <c r="AG10941" s="29"/>
    </row>
    <row r="10942" spans="2:33">
      <c r="B10942" s="29"/>
      <c r="D10942" s="29"/>
      <c r="E10942" s="20"/>
      <c r="F10942" s="20"/>
      <c r="AC10942" s="20"/>
      <c r="AG10942" s="29"/>
    </row>
    <row r="10943" spans="2:33">
      <c r="B10943" s="29"/>
      <c r="D10943" s="29"/>
      <c r="E10943" s="20"/>
      <c r="F10943" s="20"/>
      <c r="AC10943" s="20"/>
      <c r="AG10943" s="29"/>
    </row>
    <row r="10944" spans="2:33">
      <c r="B10944" s="29"/>
      <c r="D10944" s="29"/>
      <c r="E10944" s="20"/>
      <c r="F10944" s="20"/>
      <c r="AC10944" s="20"/>
      <c r="AG10944" s="29"/>
    </row>
    <row r="10945" spans="2:33">
      <c r="B10945" s="29"/>
      <c r="D10945" s="29"/>
      <c r="E10945" s="20"/>
      <c r="F10945" s="20"/>
      <c r="AC10945" s="20"/>
      <c r="AG10945" s="29"/>
    </row>
    <row r="10946" spans="2:33">
      <c r="B10946" s="29"/>
      <c r="D10946" s="29"/>
      <c r="E10946" s="20"/>
      <c r="F10946" s="20"/>
      <c r="AC10946" s="20"/>
      <c r="AG10946" s="29"/>
    </row>
    <row r="10947" spans="2:33">
      <c r="B10947" s="29"/>
      <c r="D10947" s="29"/>
      <c r="E10947" s="20"/>
      <c r="F10947" s="20"/>
      <c r="AC10947" s="20"/>
      <c r="AG10947" s="29"/>
    </row>
    <row r="10948" spans="2:33">
      <c r="B10948" s="29"/>
      <c r="D10948" s="29"/>
      <c r="E10948" s="20"/>
      <c r="F10948" s="20"/>
      <c r="AC10948" s="20"/>
      <c r="AG10948" s="29"/>
    </row>
    <row r="10949" spans="2:33">
      <c r="B10949" s="29"/>
      <c r="D10949" s="29"/>
      <c r="E10949" s="20"/>
      <c r="F10949" s="20"/>
      <c r="AC10949" s="20"/>
      <c r="AG10949" s="29"/>
    </row>
    <row r="10950" spans="2:33">
      <c r="B10950" s="29"/>
      <c r="D10950" s="29"/>
      <c r="E10950" s="20"/>
      <c r="F10950" s="20"/>
      <c r="AC10950" s="20"/>
      <c r="AG10950" s="29"/>
    </row>
    <row r="10951" spans="2:33">
      <c r="B10951" s="29"/>
      <c r="D10951" s="29"/>
      <c r="E10951" s="20"/>
      <c r="F10951" s="20"/>
      <c r="AC10951" s="20"/>
      <c r="AG10951" s="29"/>
    </row>
    <row r="10952" spans="2:33">
      <c r="B10952" s="29"/>
      <c r="D10952" s="29"/>
      <c r="E10952" s="20"/>
      <c r="F10952" s="20"/>
      <c r="AC10952" s="20"/>
      <c r="AG10952" s="29"/>
    </row>
    <row r="10953" spans="2:33">
      <c r="B10953" s="29"/>
      <c r="D10953" s="29"/>
      <c r="E10953" s="20"/>
      <c r="F10953" s="20"/>
      <c r="AC10953" s="20"/>
      <c r="AG10953" s="29"/>
    </row>
    <row r="10954" spans="2:33">
      <c r="B10954" s="29"/>
      <c r="D10954" s="29"/>
      <c r="E10954" s="20"/>
      <c r="F10954" s="20"/>
      <c r="AC10954" s="20"/>
      <c r="AG10954" s="29"/>
    </row>
    <row r="10955" spans="2:33">
      <c r="B10955" s="29"/>
      <c r="D10955" s="29"/>
      <c r="E10955" s="20"/>
      <c r="F10955" s="20"/>
      <c r="AC10955" s="20"/>
      <c r="AG10955" s="29"/>
    </row>
    <row r="10956" spans="2:33">
      <c r="B10956" s="29"/>
      <c r="D10956" s="29"/>
      <c r="E10956" s="20"/>
      <c r="F10956" s="20"/>
      <c r="AC10956" s="20"/>
      <c r="AG10956" s="29"/>
    </row>
    <row r="10957" spans="2:33">
      <c r="B10957" s="29"/>
      <c r="D10957" s="29"/>
      <c r="E10957" s="20"/>
      <c r="F10957" s="20"/>
      <c r="AC10957" s="20"/>
      <c r="AG10957" s="29"/>
    </row>
    <row r="10958" spans="2:33">
      <c r="B10958" s="29"/>
      <c r="D10958" s="29"/>
      <c r="E10958" s="20"/>
      <c r="F10958" s="20"/>
      <c r="AC10958" s="20"/>
      <c r="AG10958" s="29"/>
    </row>
    <row r="10959" spans="2:33">
      <c r="B10959" s="29"/>
      <c r="D10959" s="29"/>
      <c r="E10959" s="20"/>
      <c r="F10959" s="20"/>
      <c r="AC10959" s="20"/>
      <c r="AG10959" s="29"/>
    </row>
    <row r="10960" spans="2:33">
      <c r="B10960" s="29"/>
      <c r="D10960" s="29"/>
      <c r="E10960" s="20"/>
      <c r="F10960" s="20"/>
      <c r="AC10960" s="20"/>
      <c r="AG10960" s="29"/>
    </row>
    <row r="10961" spans="2:33">
      <c r="B10961" s="29"/>
      <c r="D10961" s="29"/>
      <c r="E10961" s="20"/>
      <c r="F10961" s="20"/>
      <c r="AC10961" s="20"/>
      <c r="AG10961" s="29"/>
    </row>
    <row r="10962" spans="2:33">
      <c r="B10962" s="29"/>
      <c r="D10962" s="29"/>
      <c r="E10962" s="20"/>
      <c r="F10962" s="20"/>
      <c r="AC10962" s="20"/>
      <c r="AG10962" s="29"/>
    </row>
    <row r="10963" spans="2:33">
      <c r="B10963" s="29"/>
      <c r="D10963" s="29"/>
      <c r="E10963" s="20"/>
      <c r="F10963" s="20"/>
      <c r="AC10963" s="20"/>
      <c r="AG10963" s="29"/>
    </row>
    <row r="10964" spans="2:33">
      <c r="B10964" s="29"/>
      <c r="D10964" s="29"/>
      <c r="E10964" s="20"/>
      <c r="F10964" s="20"/>
      <c r="AC10964" s="20"/>
      <c r="AG10964" s="29"/>
    </row>
    <row r="10965" spans="2:33">
      <c r="B10965" s="29"/>
      <c r="D10965" s="29"/>
      <c r="E10965" s="20"/>
      <c r="F10965" s="20"/>
      <c r="AC10965" s="20"/>
      <c r="AG10965" s="29"/>
    </row>
    <row r="10966" spans="2:33">
      <c r="B10966" s="29"/>
      <c r="D10966" s="29"/>
      <c r="E10966" s="20"/>
      <c r="F10966" s="20"/>
      <c r="AC10966" s="20"/>
      <c r="AG10966" s="29"/>
    </row>
    <row r="10967" spans="2:33">
      <c r="B10967" s="29"/>
      <c r="D10967" s="29"/>
      <c r="E10967" s="20"/>
      <c r="F10967" s="20"/>
      <c r="AC10967" s="20"/>
      <c r="AG10967" s="29"/>
    </row>
    <row r="10968" spans="2:33">
      <c r="B10968" s="29"/>
      <c r="D10968" s="29"/>
      <c r="E10968" s="20"/>
      <c r="F10968" s="20"/>
      <c r="AC10968" s="20"/>
      <c r="AG10968" s="29"/>
    </row>
    <row r="10969" spans="2:33">
      <c r="B10969" s="29"/>
      <c r="D10969" s="29"/>
      <c r="E10969" s="20"/>
      <c r="F10969" s="20"/>
      <c r="AC10969" s="20"/>
      <c r="AG10969" s="29"/>
    </row>
    <row r="10970" spans="2:33">
      <c r="B10970" s="29"/>
      <c r="D10970" s="29"/>
      <c r="E10970" s="20"/>
      <c r="F10970" s="20"/>
      <c r="AC10970" s="20"/>
      <c r="AG10970" s="29"/>
    </row>
    <row r="10971" spans="2:33">
      <c r="B10971" s="29"/>
      <c r="D10971" s="29"/>
      <c r="E10971" s="20"/>
      <c r="F10971" s="20"/>
      <c r="AC10971" s="20"/>
      <c r="AG10971" s="29"/>
    </row>
    <row r="10972" spans="2:33">
      <c r="B10972" s="29"/>
      <c r="D10972" s="29"/>
      <c r="E10972" s="20"/>
      <c r="F10972" s="20"/>
      <c r="AC10972" s="20"/>
      <c r="AG10972" s="29"/>
    </row>
    <row r="10973" spans="2:33">
      <c r="B10973" s="29"/>
      <c r="D10973" s="29"/>
      <c r="E10973" s="20"/>
      <c r="F10973" s="20"/>
      <c r="AC10973" s="20"/>
      <c r="AG10973" s="29"/>
    </row>
    <row r="10974" spans="2:33">
      <c r="B10974" s="29"/>
      <c r="D10974" s="29"/>
      <c r="E10974" s="20"/>
      <c r="F10974" s="20"/>
      <c r="AC10974" s="20"/>
      <c r="AG10974" s="29"/>
    </row>
    <row r="10975" spans="2:33">
      <c r="B10975" s="29"/>
      <c r="D10975" s="29"/>
      <c r="E10975" s="20"/>
      <c r="F10975" s="20"/>
      <c r="AC10975" s="20"/>
      <c r="AG10975" s="29"/>
    </row>
    <row r="10976" spans="2:33">
      <c r="B10976" s="29"/>
      <c r="D10976" s="29"/>
      <c r="E10976" s="20"/>
      <c r="F10976" s="20"/>
      <c r="AC10976" s="20"/>
      <c r="AG10976" s="29"/>
    </row>
    <row r="10977" spans="2:33">
      <c r="B10977" s="29"/>
      <c r="D10977" s="29"/>
      <c r="E10977" s="20"/>
      <c r="F10977" s="20"/>
      <c r="AC10977" s="20"/>
      <c r="AG10977" s="29"/>
    </row>
    <row r="10978" spans="2:33">
      <c r="B10978" s="29"/>
      <c r="D10978" s="29"/>
      <c r="E10978" s="20"/>
      <c r="F10978" s="20"/>
      <c r="AC10978" s="20"/>
      <c r="AG10978" s="29"/>
    </row>
    <row r="10979" spans="2:33">
      <c r="B10979" s="29"/>
      <c r="D10979" s="29"/>
      <c r="E10979" s="20"/>
      <c r="F10979" s="20"/>
      <c r="AC10979" s="20"/>
      <c r="AG10979" s="29"/>
    </row>
    <row r="10980" spans="2:33">
      <c r="B10980" s="29"/>
      <c r="D10980" s="29"/>
      <c r="E10980" s="20"/>
      <c r="F10980" s="20"/>
      <c r="AC10980" s="20"/>
      <c r="AG10980" s="29"/>
    </row>
    <row r="10981" spans="2:33">
      <c r="B10981" s="29"/>
      <c r="D10981" s="29"/>
      <c r="E10981" s="20"/>
      <c r="F10981" s="20"/>
      <c r="AC10981" s="20"/>
      <c r="AG10981" s="29"/>
    </row>
    <row r="10982" spans="2:33">
      <c r="B10982" s="29"/>
      <c r="D10982" s="29"/>
      <c r="E10982" s="20"/>
      <c r="F10982" s="20"/>
      <c r="AC10982" s="20"/>
      <c r="AG10982" s="29"/>
    </row>
    <row r="10983" spans="2:33">
      <c r="B10983" s="29"/>
      <c r="D10983" s="29"/>
      <c r="E10983" s="20"/>
      <c r="F10983" s="20"/>
      <c r="AC10983" s="20"/>
      <c r="AG10983" s="29"/>
    </row>
    <row r="10984" spans="2:33">
      <c r="B10984" s="29"/>
      <c r="D10984" s="29"/>
      <c r="E10984" s="20"/>
      <c r="F10984" s="20"/>
      <c r="AC10984" s="20"/>
      <c r="AG10984" s="29"/>
    </row>
    <row r="10985" spans="2:33">
      <c r="B10985" s="29"/>
      <c r="D10985" s="29"/>
      <c r="E10985" s="20"/>
      <c r="F10985" s="20"/>
      <c r="AC10985" s="20"/>
      <c r="AG10985" s="29"/>
    </row>
    <row r="10986" spans="2:33">
      <c r="B10986" s="29"/>
      <c r="D10986" s="29"/>
      <c r="E10986" s="20"/>
      <c r="F10986" s="20"/>
      <c r="AC10986" s="20"/>
      <c r="AG10986" s="29"/>
    </row>
    <row r="10987" spans="2:33">
      <c r="B10987" s="29"/>
      <c r="D10987" s="29"/>
      <c r="E10987" s="20"/>
      <c r="F10987" s="20"/>
      <c r="AC10987" s="20"/>
      <c r="AG10987" s="29"/>
    </row>
    <row r="10988" spans="2:33">
      <c r="B10988" s="29"/>
      <c r="D10988" s="29"/>
      <c r="E10988" s="20"/>
      <c r="F10988" s="20"/>
      <c r="AC10988" s="20"/>
      <c r="AG10988" s="29"/>
    </row>
    <row r="10989" spans="2:33">
      <c r="B10989" s="29"/>
      <c r="D10989" s="29"/>
      <c r="E10989" s="20"/>
      <c r="F10989" s="20"/>
      <c r="AC10989" s="20"/>
      <c r="AG10989" s="29"/>
    </row>
    <row r="10990" spans="2:33">
      <c r="B10990" s="29"/>
      <c r="D10990" s="29"/>
      <c r="E10990" s="20"/>
      <c r="F10990" s="20"/>
      <c r="AC10990" s="20"/>
      <c r="AG10990" s="29"/>
    </row>
    <row r="10991" spans="2:33">
      <c r="B10991" s="29"/>
      <c r="D10991" s="29"/>
      <c r="E10991" s="20"/>
      <c r="F10991" s="20"/>
      <c r="AC10991" s="20"/>
      <c r="AG10991" s="29"/>
    </row>
    <row r="10992" spans="2:33">
      <c r="B10992" s="29"/>
      <c r="D10992" s="29"/>
      <c r="E10992" s="20"/>
      <c r="F10992" s="20"/>
      <c r="AC10992" s="20"/>
      <c r="AG10992" s="29"/>
    </row>
    <row r="10993" spans="2:33">
      <c r="B10993" s="29"/>
      <c r="D10993" s="29"/>
      <c r="E10993" s="20"/>
      <c r="F10993" s="20"/>
      <c r="AC10993" s="20"/>
      <c r="AG10993" s="29"/>
    </row>
    <row r="10994" spans="2:33">
      <c r="B10994" s="29"/>
      <c r="D10994" s="29"/>
      <c r="E10994" s="20"/>
      <c r="F10994" s="20"/>
      <c r="AC10994" s="20"/>
      <c r="AG10994" s="29"/>
    </row>
    <row r="10995" spans="2:33">
      <c r="B10995" s="29"/>
      <c r="D10995" s="29"/>
      <c r="E10995" s="20"/>
      <c r="F10995" s="20"/>
      <c r="AC10995" s="20"/>
      <c r="AG10995" s="29"/>
    </row>
    <row r="10996" spans="2:33">
      <c r="B10996" s="29"/>
      <c r="D10996" s="29"/>
      <c r="E10996" s="20"/>
      <c r="F10996" s="20"/>
      <c r="AC10996" s="20"/>
      <c r="AG10996" s="29"/>
    </row>
    <row r="10997" spans="2:33">
      <c r="B10997" s="29"/>
      <c r="D10997" s="29"/>
      <c r="E10997" s="20"/>
      <c r="F10997" s="20"/>
      <c r="AC10997" s="20"/>
      <c r="AG10997" s="29"/>
    </row>
    <row r="10998" spans="2:33">
      <c r="B10998" s="29"/>
      <c r="D10998" s="29"/>
      <c r="E10998" s="20"/>
      <c r="F10998" s="20"/>
      <c r="AC10998" s="20"/>
      <c r="AG10998" s="29"/>
    </row>
    <row r="10999" spans="2:33">
      <c r="B10999" s="29"/>
      <c r="D10999" s="29"/>
      <c r="E10999" s="20"/>
      <c r="F10999" s="20"/>
      <c r="AC10999" s="20"/>
      <c r="AG10999" s="29"/>
    </row>
    <row r="11000" spans="2:33">
      <c r="B11000" s="29"/>
      <c r="D11000" s="29"/>
      <c r="E11000" s="20"/>
      <c r="F11000" s="20"/>
      <c r="AC11000" s="20"/>
      <c r="AG11000" s="29"/>
    </row>
    <row r="11001" spans="2:33">
      <c r="B11001" s="29"/>
      <c r="D11001" s="29"/>
      <c r="E11001" s="20"/>
      <c r="F11001" s="20"/>
      <c r="AC11001" s="20"/>
      <c r="AG11001" s="29"/>
    </row>
    <row r="11002" spans="2:33">
      <c r="B11002" s="29"/>
      <c r="D11002" s="29"/>
      <c r="E11002" s="20"/>
      <c r="F11002" s="20"/>
      <c r="AC11002" s="20"/>
      <c r="AG11002" s="29"/>
    </row>
    <row r="11003" spans="2:33">
      <c r="B11003" s="29"/>
      <c r="D11003" s="29"/>
      <c r="E11003" s="20"/>
      <c r="F11003" s="20"/>
      <c r="AC11003" s="20"/>
      <c r="AG11003" s="29"/>
    </row>
    <row r="11004" spans="2:33">
      <c r="B11004" s="29"/>
      <c r="D11004" s="29"/>
      <c r="E11004" s="20"/>
      <c r="F11004" s="20"/>
      <c r="AC11004" s="20"/>
      <c r="AG11004" s="29"/>
    </row>
    <row r="11005" spans="2:33">
      <c r="B11005" s="29"/>
      <c r="D11005" s="29"/>
      <c r="E11005" s="20"/>
      <c r="F11005" s="20"/>
      <c r="AC11005" s="20"/>
      <c r="AG11005" s="29"/>
    </row>
    <row r="11006" spans="2:33">
      <c r="B11006" s="29"/>
      <c r="D11006" s="29"/>
      <c r="E11006" s="20"/>
      <c r="F11006" s="20"/>
      <c r="AC11006" s="20"/>
      <c r="AG11006" s="29"/>
    </row>
    <row r="11007" spans="2:33">
      <c r="B11007" s="29"/>
      <c r="D11007" s="29"/>
      <c r="E11007" s="20"/>
      <c r="F11007" s="20"/>
      <c r="AC11007" s="20"/>
      <c r="AG11007" s="29"/>
    </row>
    <row r="11008" spans="2:33">
      <c r="B11008" s="29"/>
      <c r="D11008" s="29"/>
      <c r="E11008" s="20"/>
      <c r="F11008" s="20"/>
      <c r="AC11008" s="20"/>
      <c r="AG11008" s="29"/>
    </row>
    <row r="11009" spans="2:33">
      <c r="B11009" s="29"/>
      <c r="D11009" s="29"/>
      <c r="E11009" s="20"/>
      <c r="F11009" s="20"/>
      <c r="AC11009" s="20"/>
      <c r="AG11009" s="29"/>
    </row>
    <row r="11010" spans="2:33">
      <c r="B11010" s="29"/>
      <c r="D11010" s="29"/>
      <c r="E11010" s="20"/>
      <c r="F11010" s="20"/>
      <c r="AC11010" s="20"/>
      <c r="AG11010" s="29"/>
    </row>
    <row r="11011" spans="2:33">
      <c r="B11011" s="29"/>
      <c r="D11011" s="29"/>
      <c r="E11011" s="20"/>
      <c r="F11011" s="20"/>
      <c r="AC11011" s="20"/>
      <c r="AG11011" s="29"/>
    </row>
    <row r="11012" spans="2:33">
      <c r="B11012" s="29"/>
      <c r="D11012" s="29"/>
      <c r="E11012" s="20"/>
      <c r="F11012" s="20"/>
      <c r="AC11012" s="20"/>
      <c r="AG11012" s="29"/>
    </row>
    <row r="11013" spans="2:33">
      <c r="B11013" s="29"/>
      <c r="D11013" s="29"/>
      <c r="E11013" s="20"/>
      <c r="F11013" s="20"/>
      <c r="AC11013" s="20"/>
      <c r="AG11013" s="29"/>
    </row>
    <row r="11014" spans="2:33">
      <c r="B11014" s="29"/>
      <c r="D11014" s="29"/>
      <c r="E11014" s="20"/>
      <c r="F11014" s="20"/>
      <c r="AC11014" s="20"/>
      <c r="AG11014" s="29"/>
    </row>
    <row r="11015" spans="2:33">
      <c r="B11015" s="29"/>
      <c r="D11015" s="29"/>
      <c r="E11015" s="20"/>
      <c r="F11015" s="20"/>
      <c r="AC11015" s="20"/>
      <c r="AG11015" s="29"/>
    </row>
    <row r="11016" spans="2:33">
      <c r="B11016" s="29"/>
      <c r="D11016" s="29"/>
      <c r="E11016" s="20"/>
      <c r="F11016" s="20"/>
      <c r="AC11016" s="20"/>
      <c r="AG11016" s="29"/>
    </row>
    <row r="11017" spans="2:33">
      <c r="B11017" s="29"/>
      <c r="D11017" s="29"/>
      <c r="E11017" s="20"/>
      <c r="F11017" s="20"/>
      <c r="AC11017" s="20"/>
      <c r="AG11017" s="29"/>
    </row>
    <row r="11018" spans="2:33">
      <c r="B11018" s="29"/>
      <c r="D11018" s="29"/>
      <c r="E11018" s="20"/>
      <c r="F11018" s="20"/>
      <c r="AC11018" s="20"/>
      <c r="AG11018" s="29"/>
    </row>
    <row r="11019" spans="2:33">
      <c r="B11019" s="29"/>
      <c r="D11019" s="29"/>
      <c r="E11019" s="20"/>
      <c r="F11019" s="20"/>
      <c r="AC11019" s="20"/>
      <c r="AG11019" s="29"/>
    </row>
    <row r="11020" spans="2:33">
      <c r="B11020" s="29"/>
      <c r="D11020" s="29"/>
      <c r="E11020" s="20"/>
      <c r="F11020" s="20"/>
      <c r="AC11020" s="20"/>
      <c r="AG11020" s="29"/>
    </row>
    <row r="11021" spans="2:33">
      <c r="B11021" s="29"/>
      <c r="D11021" s="29"/>
      <c r="E11021" s="20"/>
      <c r="F11021" s="20"/>
      <c r="AC11021" s="20"/>
      <c r="AG11021" s="29"/>
    </row>
    <row r="11022" spans="2:33">
      <c r="B11022" s="29"/>
      <c r="D11022" s="29"/>
      <c r="E11022" s="20"/>
      <c r="F11022" s="20"/>
      <c r="AC11022" s="20"/>
      <c r="AG11022" s="29"/>
    </row>
    <row r="11023" spans="2:33">
      <c r="B11023" s="29"/>
      <c r="D11023" s="29"/>
      <c r="E11023" s="20"/>
      <c r="F11023" s="20"/>
      <c r="AC11023" s="20"/>
      <c r="AG11023" s="29"/>
    </row>
    <row r="11024" spans="2:33">
      <c r="B11024" s="29"/>
      <c r="D11024" s="29"/>
      <c r="E11024" s="20"/>
      <c r="F11024" s="20"/>
      <c r="AC11024" s="20"/>
      <c r="AG11024" s="29"/>
    </row>
    <row r="11025" spans="2:33">
      <c r="B11025" s="29"/>
      <c r="D11025" s="29"/>
      <c r="E11025" s="20"/>
      <c r="F11025" s="20"/>
      <c r="AC11025" s="20"/>
      <c r="AG11025" s="29"/>
    </row>
    <row r="11026" spans="2:33">
      <c r="B11026" s="29"/>
      <c r="D11026" s="29"/>
      <c r="E11026" s="20"/>
      <c r="F11026" s="20"/>
      <c r="AC11026" s="20"/>
      <c r="AG11026" s="29"/>
    </row>
    <row r="11027" spans="2:33">
      <c r="B11027" s="29"/>
      <c r="D11027" s="29"/>
      <c r="E11027" s="20"/>
      <c r="F11027" s="20"/>
      <c r="AC11027" s="20"/>
      <c r="AG11027" s="29"/>
    </row>
    <row r="11028" spans="2:33">
      <c r="B11028" s="29"/>
      <c r="D11028" s="29"/>
      <c r="E11028" s="20"/>
      <c r="F11028" s="20"/>
      <c r="AC11028" s="20"/>
      <c r="AG11028" s="29"/>
    </row>
    <row r="11029" spans="2:33">
      <c r="B11029" s="29"/>
      <c r="D11029" s="29"/>
      <c r="E11029" s="20"/>
      <c r="F11029" s="20"/>
      <c r="AC11029" s="20"/>
      <c r="AG11029" s="29"/>
    </row>
    <row r="11030" spans="2:33">
      <c r="B11030" s="29"/>
      <c r="D11030" s="29"/>
      <c r="E11030" s="20"/>
      <c r="F11030" s="20"/>
      <c r="AC11030" s="20"/>
      <c r="AG11030" s="29"/>
    </row>
    <row r="11031" spans="2:33">
      <c r="B11031" s="29"/>
      <c r="D11031" s="29"/>
      <c r="E11031" s="20"/>
      <c r="F11031" s="20"/>
      <c r="AC11031" s="20"/>
      <c r="AG11031" s="29"/>
    </row>
    <row r="11032" spans="2:33">
      <c r="B11032" s="29"/>
      <c r="D11032" s="29"/>
      <c r="E11032" s="20"/>
      <c r="F11032" s="20"/>
      <c r="AC11032" s="20"/>
      <c r="AG11032" s="29"/>
    </row>
    <row r="11033" spans="2:33">
      <c r="B11033" s="29"/>
      <c r="D11033" s="29"/>
      <c r="E11033" s="20"/>
      <c r="F11033" s="20"/>
      <c r="AC11033" s="20"/>
      <c r="AG11033" s="29"/>
    </row>
    <row r="11034" spans="2:33">
      <c r="B11034" s="29"/>
      <c r="D11034" s="29"/>
      <c r="E11034" s="20"/>
      <c r="F11034" s="20"/>
      <c r="AC11034" s="20"/>
      <c r="AG11034" s="29"/>
    </row>
    <row r="11035" spans="2:33">
      <c r="B11035" s="29"/>
      <c r="D11035" s="29"/>
      <c r="E11035" s="20"/>
      <c r="F11035" s="20"/>
      <c r="AC11035" s="20"/>
      <c r="AG11035" s="29"/>
    </row>
    <row r="11036" spans="2:33">
      <c r="B11036" s="29"/>
      <c r="D11036" s="29"/>
      <c r="E11036" s="20"/>
      <c r="F11036" s="20"/>
      <c r="AC11036" s="20"/>
      <c r="AG11036" s="29"/>
    </row>
    <row r="11037" spans="2:33">
      <c r="B11037" s="29"/>
      <c r="D11037" s="29"/>
      <c r="E11037" s="20"/>
      <c r="F11037" s="20"/>
      <c r="AC11037" s="20"/>
      <c r="AG11037" s="29"/>
    </row>
    <row r="11038" spans="2:33">
      <c r="B11038" s="29"/>
      <c r="D11038" s="29"/>
      <c r="E11038" s="20"/>
      <c r="F11038" s="20"/>
      <c r="AC11038" s="20"/>
      <c r="AG11038" s="29"/>
    </row>
    <row r="11039" spans="2:33">
      <c r="B11039" s="29"/>
      <c r="D11039" s="29"/>
      <c r="E11039" s="20"/>
      <c r="F11039" s="20"/>
      <c r="AC11039" s="20"/>
      <c r="AG11039" s="29"/>
    </row>
    <row r="11040" spans="2:33">
      <c r="B11040" s="29"/>
      <c r="D11040" s="29"/>
      <c r="E11040" s="20"/>
      <c r="F11040" s="20"/>
      <c r="AC11040" s="20"/>
      <c r="AG11040" s="29"/>
    </row>
    <row r="11041" spans="2:33">
      <c r="B11041" s="29"/>
      <c r="D11041" s="29"/>
      <c r="E11041" s="20"/>
      <c r="F11041" s="20"/>
      <c r="AC11041" s="20"/>
      <c r="AG11041" s="29"/>
    </row>
    <row r="11042" spans="2:33">
      <c r="B11042" s="29"/>
      <c r="D11042" s="29"/>
      <c r="E11042" s="20"/>
      <c r="F11042" s="20"/>
      <c r="AC11042" s="20"/>
      <c r="AG11042" s="29"/>
    </row>
    <row r="11043" spans="2:33">
      <c r="B11043" s="29"/>
      <c r="D11043" s="29"/>
      <c r="E11043" s="20"/>
      <c r="F11043" s="20"/>
      <c r="AC11043" s="20"/>
      <c r="AG11043" s="29"/>
    </row>
    <row r="11044" spans="2:33">
      <c r="B11044" s="29"/>
      <c r="D11044" s="29"/>
      <c r="E11044" s="20"/>
      <c r="F11044" s="20"/>
      <c r="AC11044" s="20"/>
      <c r="AG11044" s="29"/>
    </row>
    <row r="11045" spans="2:33">
      <c r="B11045" s="29"/>
      <c r="D11045" s="29"/>
      <c r="E11045" s="20"/>
      <c r="F11045" s="20"/>
      <c r="AC11045" s="20"/>
      <c r="AG11045" s="29"/>
    </row>
    <row r="11046" spans="2:33">
      <c r="B11046" s="29"/>
      <c r="D11046" s="29"/>
      <c r="E11046" s="20"/>
      <c r="F11046" s="20"/>
      <c r="AC11046" s="20"/>
      <c r="AG11046" s="29"/>
    </row>
    <row r="11047" spans="2:33">
      <c r="B11047" s="29"/>
      <c r="D11047" s="29"/>
      <c r="E11047" s="20"/>
      <c r="F11047" s="20"/>
      <c r="AC11047" s="20"/>
      <c r="AG11047" s="29"/>
    </row>
    <row r="11048" spans="2:33">
      <c r="B11048" s="29"/>
      <c r="D11048" s="29"/>
      <c r="E11048" s="20"/>
      <c r="F11048" s="20"/>
      <c r="AC11048" s="20"/>
      <c r="AG11048" s="29"/>
    </row>
    <row r="11049" spans="2:33">
      <c r="B11049" s="29"/>
      <c r="D11049" s="29"/>
      <c r="E11049" s="20"/>
      <c r="F11049" s="20"/>
      <c r="AC11049" s="20"/>
      <c r="AG11049" s="29"/>
    </row>
    <row r="11050" spans="2:33">
      <c r="B11050" s="29"/>
      <c r="D11050" s="29"/>
      <c r="E11050" s="20"/>
      <c r="F11050" s="20"/>
      <c r="AC11050" s="20"/>
      <c r="AG11050" s="29"/>
    </row>
    <row r="11051" spans="2:33">
      <c r="B11051" s="29"/>
      <c r="D11051" s="29"/>
      <c r="E11051" s="20"/>
      <c r="F11051" s="20"/>
      <c r="AC11051" s="20"/>
      <c r="AG11051" s="29"/>
    </row>
    <row r="11052" spans="2:33">
      <c r="B11052" s="29"/>
      <c r="D11052" s="29"/>
      <c r="E11052" s="20"/>
      <c r="F11052" s="20"/>
      <c r="AC11052" s="20"/>
      <c r="AG11052" s="29"/>
    </row>
    <row r="11053" spans="2:33">
      <c r="B11053" s="29"/>
      <c r="D11053" s="29"/>
      <c r="E11053" s="20"/>
      <c r="F11053" s="20"/>
      <c r="AC11053" s="20"/>
      <c r="AG11053" s="29"/>
    </row>
    <row r="11054" spans="2:33">
      <c r="B11054" s="29"/>
      <c r="D11054" s="29"/>
      <c r="E11054" s="20"/>
      <c r="F11054" s="20"/>
      <c r="AC11054" s="20"/>
      <c r="AG11054" s="29"/>
    </row>
    <row r="11055" spans="2:33">
      <c r="B11055" s="29"/>
      <c r="D11055" s="29"/>
      <c r="E11055" s="20"/>
      <c r="F11055" s="20"/>
      <c r="AC11055" s="20"/>
      <c r="AG11055" s="29"/>
    </row>
    <row r="11056" spans="2:33">
      <c r="B11056" s="29"/>
      <c r="D11056" s="29"/>
      <c r="E11056" s="20"/>
      <c r="F11056" s="20"/>
      <c r="AC11056" s="20"/>
      <c r="AG11056" s="29"/>
    </row>
    <row r="11057" spans="2:33">
      <c r="B11057" s="29"/>
      <c r="D11057" s="29"/>
      <c r="E11057" s="20"/>
      <c r="F11057" s="20"/>
      <c r="AC11057" s="20"/>
      <c r="AG11057" s="29"/>
    </row>
    <row r="11058" spans="2:33">
      <c r="B11058" s="29"/>
      <c r="D11058" s="29"/>
      <c r="E11058" s="20"/>
      <c r="F11058" s="20"/>
      <c r="AC11058" s="20"/>
      <c r="AG11058" s="29"/>
    </row>
    <row r="11059" spans="2:33">
      <c r="B11059" s="29"/>
      <c r="D11059" s="29"/>
      <c r="E11059" s="20"/>
      <c r="F11059" s="20"/>
      <c r="AC11059" s="20"/>
      <c r="AG11059" s="29"/>
    </row>
    <row r="11060" spans="2:33">
      <c r="B11060" s="29"/>
      <c r="D11060" s="29"/>
      <c r="E11060" s="20"/>
      <c r="F11060" s="20"/>
      <c r="AC11060" s="20"/>
      <c r="AG11060" s="29"/>
    </row>
    <row r="11061" spans="2:33">
      <c r="B11061" s="29"/>
      <c r="D11061" s="29"/>
      <c r="E11061" s="20"/>
      <c r="F11061" s="20"/>
      <c r="AC11061" s="20"/>
      <c r="AG11061" s="29"/>
    </row>
    <row r="11062" spans="2:33">
      <c r="B11062" s="29"/>
      <c r="D11062" s="29"/>
      <c r="E11062" s="20"/>
      <c r="F11062" s="20"/>
      <c r="AC11062" s="20"/>
      <c r="AG11062" s="29"/>
    </row>
    <row r="11063" spans="2:33">
      <c r="B11063" s="29"/>
      <c r="D11063" s="29"/>
      <c r="E11063" s="20"/>
      <c r="F11063" s="20"/>
      <c r="AC11063" s="20"/>
      <c r="AG11063" s="29"/>
    </row>
    <row r="11064" spans="2:33">
      <c r="B11064" s="29"/>
      <c r="D11064" s="29"/>
      <c r="E11064" s="20"/>
      <c r="F11064" s="20"/>
      <c r="AC11064" s="20"/>
      <c r="AG11064" s="29"/>
    </row>
    <row r="11065" spans="2:33">
      <c r="B11065" s="29"/>
      <c r="D11065" s="29"/>
      <c r="E11065" s="20"/>
      <c r="F11065" s="20"/>
      <c r="AC11065" s="20"/>
      <c r="AG11065" s="29"/>
    </row>
    <row r="11066" spans="2:33">
      <c r="B11066" s="29"/>
      <c r="D11066" s="29"/>
      <c r="E11066" s="20"/>
      <c r="F11066" s="20"/>
      <c r="AC11066" s="20"/>
      <c r="AG11066" s="29"/>
    </row>
    <row r="11067" spans="2:33">
      <c r="B11067" s="29"/>
      <c r="D11067" s="29"/>
      <c r="E11067" s="20"/>
      <c r="F11067" s="20"/>
      <c r="AC11067" s="20"/>
      <c r="AG11067" s="29"/>
    </row>
    <row r="11068" spans="2:33">
      <c r="B11068" s="29"/>
      <c r="D11068" s="29"/>
      <c r="E11068" s="20"/>
      <c r="F11068" s="20"/>
      <c r="AC11068" s="20"/>
      <c r="AG11068" s="29"/>
    </row>
    <row r="11069" spans="2:33">
      <c r="B11069" s="29"/>
      <c r="D11069" s="29"/>
      <c r="E11069" s="20"/>
      <c r="F11069" s="20"/>
      <c r="AC11069" s="20"/>
      <c r="AG11069" s="29"/>
    </row>
    <row r="11070" spans="2:33">
      <c r="B11070" s="29"/>
      <c r="D11070" s="29"/>
      <c r="E11070" s="20"/>
      <c r="F11070" s="20"/>
      <c r="AC11070" s="20"/>
      <c r="AG11070" s="29"/>
    </row>
    <row r="11071" spans="2:33">
      <c r="B11071" s="29"/>
      <c r="D11071" s="29"/>
      <c r="E11071" s="20"/>
      <c r="F11071" s="20"/>
      <c r="AC11071" s="20"/>
      <c r="AG11071" s="29"/>
    </row>
    <row r="11072" spans="2:33">
      <c r="B11072" s="29"/>
      <c r="D11072" s="29"/>
      <c r="E11072" s="20"/>
      <c r="F11072" s="20"/>
      <c r="AC11072" s="20"/>
      <c r="AG11072" s="29"/>
    </row>
    <row r="11073" spans="2:33">
      <c r="B11073" s="29"/>
      <c r="D11073" s="29"/>
      <c r="E11073" s="20"/>
      <c r="F11073" s="20"/>
      <c r="AC11073" s="20"/>
      <c r="AG11073" s="29"/>
    </row>
    <row r="11074" spans="2:33">
      <c r="B11074" s="29"/>
      <c r="D11074" s="29"/>
      <c r="E11074" s="20"/>
      <c r="F11074" s="20"/>
      <c r="AC11074" s="20"/>
      <c r="AG11074" s="29"/>
    </row>
    <row r="11075" spans="2:33">
      <c r="B11075" s="29"/>
      <c r="D11075" s="29"/>
      <c r="E11075" s="20"/>
      <c r="F11075" s="20"/>
      <c r="AC11075" s="20"/>
      <c r="AG11075" s="29"/>
    </row>
    <row r="11076" spans="2:33">
      <c r="B11076" s="29"/>
      <c r="D11076" s="29"/>
      <c r="E11076" s="20"/>
      <c r="F11076" s="20"/>
      <c r="AC11076" s="20"/>
      <c r="AG11076" s="29"/>
    </row>
    <row r="11077" spans="2:33">
      <c r="B11077" s="29"/>
      <c r="D11077" s="29"/>
      <c r="E11077" s="20"/>
      <c r="F11077" s="20"/>
      <c r="AC11077" s="20"/>
      <c r="AG11077" s="29"/>
    </row>
    <row r="11078" spans="2:33">
      <c r="B11078" s="29"/>
      <c r="D11078" s="29"/>
      <c r="E11078" s="20"/>
      <c r="F11078" s="20"/>
      <c r="AC11078" s="20"/>
      <c r="AG11078" s="29"/>
    </row>
    <row r="11079" spans="2:33">
      <c r="B11079" s="29"/>
      <c r="D11079" s="29"/>
      <c r="E11079" s="20"/>
      <c r="F11079" s="20"/>
      <c r="AC11079" s="20"/>
      <c r="AG11079" s="29"/>
    </row>
    <row r="11080" spans="2:33">
      <c r="B11080" s="29"/>
      <c r="D11080" s="29"/>
      <c r="E11080" s="20"/>
      <c r="F11080" s="20"/>
      <c r="AC11080" s="20"/>
      <c r="AG11080" s="29"/>
    </row>
    <row r="11081" spans="2:33">
      <c r="B11081" s="29"/>
      <c r="D11081" s="29"/>
      <c r="E11081" s="20"/>
      <c r="F11081" s="20"/>
      <c r="AC11081" s="20"/>
      <c r="AG11081" s="29"/>
    </row>
    <row r="11082" spans="2:33">
      <c r="B11082" s="29"/>
      <c r="D11082" s="29"/>
      <c r="E11082" s="20"/>
      <c r="F11082" s="20"/>
      <c r="AC11082" s="20"/>
      <c r="AG11082" s="29"/>
    </row>
    <row r="11083" spans="2:33">
      <c r="B11083" s="29"/>
      <c r="D11083" s="29"/>
      <c r="E11083" s="20"/>
      <c r="F11083" s="20"/>
      <c r="AC11083" s="20"/>
      <c r="AG11083" s="29"/>
    </row>
    <row r="11084" spans="2:33">
      <c r="B11084" s="29"/>
      <c r="D11084" s="29"/>
      <c r="E11084" s="20"/>
      <c r="F11084" s="20"/>
      <c r="AC11084" s="20"/>
      <c r="AG11084" s="29"/>
    </row>
    <row r="11085" spans="2:33">
      <c r="B11085" s="29"/>
      <c r="D11085" s="29"/>
      <c r="E11085" s="20"/>
      <c r="F11085" s="20"/>
      <c r="AC11085" s="20"/>
      <c r="AG11085" s="29"/>
    </row>
    <row r="11086" spans="2:33">
      <c r="B11086" s="29"/>
      <c r="D11086" s="29"/>
      <c r="E11086" s="20"/>
      <c r="F11086" s="20"/>
      <c r="AC11086" s="20"/>
      <c r="AG11086" s="29"/>
    </row>
    <row r="11087" spans="2:33">
      <c r="B11087" s="29"/>
      <c r="D11087" s="29"/>
      <c r="E11087" s="20"/>
      <c r="F11087" s="20"/>
      <c r="AC11087" s="20"/>
      <c r="AG11087" s="29"/>
    </row>
    <row r="11088" spans="2:33">
      <c r="B11088" s="29"/>
      <c r="D11088" s="29"/>
      <c r="E11088" s="20"/>
      <c r="F11088" s="20"/>
      <c r="AC11088" s="20"/>
      <c r="AG11088" s="29"/>
    </row>
    <row r="11089" spans="2:33">
      <c r="B11089" s="29"/>
      <c r="D11089" s="29"/>
      <c r="E11089" s="20"/>
      <c r="F11089" s="20"/>
      <c r="AC11089" s="20"/>
      <c r="AG11089" s="29"/>
    </row>
    <row r="11090" spans="2:33">
      <c r="B11090" s="29"/>
      <c r="D11090" s="29"/>
      <c r="E11090" s="20"/>
      <c r="F11090" s="20"/>
      <c r="AC11090" s="20"/>
      <c r="AG11090" s="29"/>
    </row>
    <row r="11091" spans="2:33">
      <c r="B11091" s="29"/>
      <c r="D11091" s="29"/>
      <c r="E11091" s="20"/>
      <c r="F11091" s="20"/>
      <c r="AC11091" s="20"/>
      <c r="AG11091" s="29"/>
    </row>
    <row r="11092" spans="2:33">
      <c r="B11092" s="29"/>
      <c r="D11092" s="29"/>
      <c r="E11092" s="20"/>
      <c r="F11092" s="20"/>
      <c r="AC11092" s="20"/>
      <c r="AG11092" s="29"/>
    </row>
    <row r="11093" spans="2:33">
      <c r="B11093" s="29"/>
      <c r="D11093" s="29"/>
      <c r="E11093" s="20"/>
      <c r="F11093" s="20"/>
      <c r="AC11093" s="20"/>
      <c r="AG11093" s="29"/>
    </row>
    <row r="11094" spans="2:33">
      <c r="B11094" s="29"/>
      <c r="D11094" s="29"/>
      <c r="E11094" s="20"/>
      <c r="F11094" s="20"/>
      <c r="AC11094" s="20"/>
      <c r="AG11094" s="29"/>
    </row>
    <row r="11095" spans="2:33">
      <c r="B11095" s="29"/>
      <c r="D11095" s="29"/>
      <c r="E11095" s="20"/>
      <c r="F11095" s="20"/>
      <c r="AC11095" s="20"/>
      <c r="AG11095" s="29"/>
    </row>
    <row r="11096" spans="2:33">
      <c r="B11096" s="29"/>
      <c r="D11096" s="29"/>
      <c r="E11096" s="20"/>
      <c r="F11096" s="20"/>
      <c r="AC11096" s="20"/>
      <c r="AG11096" s="29"/>
    </row>
    <row r="11097" spans="2:33">
      <c r="B11097" s="29"/>
      <c r="D11097" s="29"/>
      <c r="E11097" s="20"/>
      <c r="F11097" s="20"/>
      <c r="AC11097" s="20"/>
      <c r="AG11097" s="29"/>
    </row>
    <row r="11098" spans="2:33">
      <c r="B11098" s="29"/>
      <c r="D11098" s="29"/>
      <c r="E11098" s="20"/>
      <c r="F11098" s="20"/>
      <c r="AC11098" s="20"/>
      <c r="AG11098" s="29"/>
    </row>
    <row r="11099" spans="2:33">
      <c r="B11099" s="29"/>
      <c r="D11099" s="29"/>
      <c r="E11099" s="20"/>
      <c r="F11099" s="20"/>
      <c r="AC11099" s="20"/>
      <c r="AG11099" s="29"/>
    </row>
    <row r="11100" spans="2:33">
      <c r="B11100" s="29"/>
      <c r="D11100" s="29"/>
      <c r="E11100" s="20"/>
      <c r="F11100" s="20"/>
      <c r="AC11100" s="20"/>
      <c r="AG11100" s="29"/>
    </row>
    <row r="11101" spans="2:33">
      <c r="B11101" s="29"/>
      <c r="D11101" s="29"/>
      <c r="E11101" s="20"/>
      <c r="F11101" s="20"/>
      <c r="AC11101" s="20"/>
      <c r="AG11101" s="29"/>
    </row>
    <row r="11102" spans="2:33">
      <c r="B11102" s="29"/>
      <c r="D11102" s="29"/>
      <c r="E11102" s="20"/>
      <c r="F11102" s="20"/>
      <c r="AC11102" s="20"/>
      <c r="AG11102" s="29"/>
    </row>
    <row r="11103" spans="2:33">
      <c r="B11103" s="29"/>
      <c r="D11103" s="29"/>
      <c r="E11103" s="20"/>
      <c r="F11103" s="20"/>
      <c r="AC11103" s="20"/>
      <c r="AG11103" s="29"/>
    </row>
    <row r="11104" spans="2:33">
      <c r="B11104" s="29"/>
      <c r="D11104" s="29"/>
      <c r="E11104" s="20"/>
      <c r="F11104" s="20"/>
      <c r="AC11104" s="20"/>
      <c r="AG11104" s="29"/>
    </row>
    <row r="11105" spans="2:33">
      <c r="B11105" s="29"/>
      <c r="D11105" s="29"/>
      <c r="E11105" s="20"/>
      <c r="F11105" s="20"/>
      <c r="AC11105" s="20"/>
      <c r="AG11105" s="29"/>
    </row>
    <row r="11106" spans="2:33">
      <c r="B11106" s="29"/>
      <c r="D11106" s="29"/>
      <c r="E11106" s="20"/>
      <c r="F11106" s="20"/>
      <c r="AC11106" s="20"/>
      <c r="AG11106" s="29"/>
    </row>
    <row r="11107" spans="2:33">
      <c r="B11107" s="29"/>
      <c r="D11107" s="29"/>
      <c r="E11107" s="20"/>
      <c r="F11107" s="20"/>
      <c r="AC11107" s="20"/>
      <c r="AG11107" s="29"/>
    </row>
    <row r="11108" spans="2:33">
      <c r="B11108" s="29"/>
      <c r="D11108" s="29"/>
      <c r="E11108" s="20"/>
      <c r="F11108" s="20"/>
      <c r="AC11108" s="20"/>
      <c r="AG11108" s="29"/>
    </row>
    <row r="11109" spans="2:33">
      <c r="B11109" s="29"/>
      <c r="D11109" s="29"/>
      <c r="E11109" s="20"/>
      <c r="F11109" s="20"/>
      <c r="AC11109" s="20"/>
      <c r="AG11109" s="29"/>
    </row>
    <row r="11110" spans="2:33">
      <c r="B11110" s="29"/>
      <c r="D11110" s="29"/>
      <c r="E11110" s="20"/>
      <c r="F11110" s="20"/>
      <c r="AC11110" s="20"/>
      <c r="AG11110" s="29"/>
    </row>
    <row r="11111" spans="2:33">
      <c r="B11111" s="29"/>
      <c r="D11111" s="29"/>
      <c r="E11111" s="20"/>
      <c r="F11111" s="20"/>
      <c r="AC11111" s="20"/>
      <c r="AG11111" s="29"/>
    </row>
    <row r="11112" spans="2:33">
      <c r="B11112" s="29"/>
      <c r="D11112" s="29"/>
      <c r="E11112" s="20"/>
      <c r="F11112" s="20"/>
      <c r="AC11112" s="20"/>
      <c r="AG11112" s="29"/>
    </row>
    <row r="11113" spans="2:33">
      <c r="B11113" s="29"/>
      <c r="D11113" s="29"/>
      <c r="E11113" s="20"/>
      <c r="F11113" s="20"/>
      <c r="AC11113" s="20"/>
      <c r="AG11113" s="29"/>
    </row>
    <row r="11114" spans="2:33">
      <c r="B11114" s="29"/>
      <c r="D11114" s="29"/>
      <c r="E11114" s="20"/>
      <c r="F11114" s="20"/>
      <c r="AC11114" s="20"/>
      <c r="AG11114" s="29"/>
    </row>
    <row r="11115" spans="2:33">
      <c r="B11115" s="29"/>
      <c r="D11115" s="29"/>
      <c r="E11115" s="20"/>
      <c r="F11115" s="20"/>
      <c r="AC11115" s="20"/>
      <c r="AG11115" s="29"/>
    </row>
    <row r="11116" spans="2:33">
      <c r="B11116" s="29"/>
      <c r="D11116" s="29"/>
      <c r="E11116" s="20"/>
      <c r="F11116" s="20"/>
      <c r="AC11116" s="20"/>
      <c r="AG11116" s="29"/>
    </row>
    <row r="11117" spans="2:33">
      <c r="B11117" s="29"/>
      <c r="D11117" s="29"/>
      <c r="E11117" s="20"/>
      <c r="F11117" s="20"/>
      <c r="AC11117" s="20"/>
      <c r="AG11117" s="29"/>
    </row>
    <row r="11118" spans="2:33">
      <c r="B11118" s="29"/>
      <c r="D11118" s="29"/>
      <c r="E11118" s="20"/>
      <c r="F11118" s="20"/>
      <c r="AC11118" s="20"/>
      <c r="AG11118" s="29"/>
    </row>
    <row r="11119" spans="2:33">
      <c r="B11119" s="29"/>
      <c r="D11119" s="29"/>
      <c r="E11119" s="20"/>
      <c r="F11119" s="20"/>
      <c r="AC11119" s="20"/>
      <c r="AG11119" s="29"/>
    </row>
    <row r="11120" spans="2:33">
      <c r="B11120" s="29"/>
      <c r="D11120" s="29"/>
      <c r="E11120" s="20"/>
      <c r="F11120" s="20"/>
      <c r="AC11120" s="20"/>
      <c r="AG11120" s="29"/>
    </row>
    <row r="11121" spans="2:33">
      <c r="B11121" s="29"/>
      <c r="D11121" s="29"/>
      <c r="E11121" s="20"/>
      <c r="F11121" s="20"/>
      <c r="AC11121" s="20"/>
      <c r="AG11121" s="29"/>
    </row>
    <row r="11122" spans="2:33">
      <c r="B11122" s="29"/>
      <c r="D11122" s="29"/>
      <c r="E11122" s="20"/>
      <c r="F11122" s="20"/>
      <c r="AC11122" s="20"/>
      <c r="AG11122" s="29"/>
    </row>
    <row r="11123" spans="2:33">
      <c r="B11123" s="29"/>
      <c r="D11123" s="29"/>
      <c r="E11123" s="20"/>
      <c r="F11123" s="20"/>
      <c r="AC11123" s="20"/>
      <c r="AG11123" s="29"/>
    </row>
    <row r="11124" spans="2:33">
      <c r="B11124" s="29"/>
      <c r="D11124" s="29"/>
      <c r="E11124" s="20"/>
      <c r="F11124" s="20"/>
      <c r="AC11124" s="20"/>
      <c r="AG11124" s="29"/>
    </row>
    <row r="11125" spans="2:33">
      <c r="B11125" s="29"/>
      <c r="D11125" s="29"/>
      <c r="E11125" s="20"/>
      <c r="F11125" s="20"/>
      <c r="AC11125" s="20"/>
      <c r="AG11125" s="29"/>
    </row>
    <row r="11126" spans="2:33">
      <c r="B11126" s="29"/>
      <c r="D11126" s="29"/>
      <c r="E11126" s="20"/>
      <c r="F11126" s="20"/>
      <c r="AC11126" s="20"/>
      <c r="AG11126" s="29"/>
    </row>
    <row r="11127" spans="2:33">
      <c r="B11127" s="29"/>
      <c r="D11127" s="29"/>
      <c r="E11127" s="20"/>
      <c r="F11127" s="20"/>
      <c r="AC11127" s="20"/>
      <c r="AG11127" s="29"/>
    </row>
    <row r="11128" spans="2:33">
      <c r="B11128" s="29"/>
      <c r="D11128" s="29"/>
      <c r="E11128" s="20"/>
      <c r="F11128" s="20"/>
      <c r="AC11128" s="20"/>
      <c r="AG11128" s="29"/>
    </row>
    <row r="11129" spans="2:33">
      <c r="B11129" s="29"/>
      <c r="D11129" s="29"/>
      <c r="E11129" s="20"/>
      <c r="F11129" s="20"/>
      <c r="AC11129" s="20"/>
      <c r="AG11129" s="29"/>
    </row>
    <row r="11130" spans="2:33">
      <c r="B11130" s="29"/>
      <c r="D11130" s="29"/>
      <c r="E11130" s="20"/>
      <c r="F11130" s="20"/>
      <c r="AC11130" s="20"/>
      <c r="AG11130" s="29"/>
    </row>
    <row r="11131" spans="2:33">
      <c r="B11131" s="29"/>
      <c r="D11131" s="29"/>
      <c r="E11131" s="20"/>
      <c r="F11131" s="20"/>
      <c r="AC11131" s="20"/>
      <c r="AG11131" s="29"/>
    </row>
    <row r="11132" spans="2:33">
      <c r="B11132" s="29"/>
      <c r="D11132" s="29"/>
      <c r="E11132" s="20"/>
      <c r="F11132" s="20"/>
      <c r="AC11132" s="20"/>
      <c r="AG11132" s="29"/>
    </row>
    <row r="11133" spans="2:33">
      <c r="B11133" s="29"/>
      <c r="D11133" s="29"/>
      <c r="E11133" s="20"/>
      <c r="F11133" s="20"/>
      <c r="AC11133" s="20"/>
      <c r="AG11133" s="29"/>
    </row>
    <row r="11134" spans="2:33">
      <c r="B11134" s="29"/>
      <c r="D11134" s="29"/>
      <c r="E11134" s="20"/>
      <c r="F11134" s="20"/>
      <c r="AC11134" s="20"/>
      <c r="AG11134" s="29"/>
    </row>
    <row r="11135" spans="2:33">
      <c r="B11135" s="29"/>
      <c r="D11135" s="29"/>
      <c r="E11135" s="20"/>
      <c r="F11135" s="20"/>
      <c r="AC11135" s="20"/>
      <c r="AG11135" s="29"/>
    </row>
    <row r="11136" spans="2:33">
      <c r="B11136" s="29"/>
      <c r="D11136" s="29"/>
      <c r="E11136" s="20"/>
      <c r="F11136" s="20"/>
      <c r="AC11136" s="20"/>
      <c r="AG11136" s="29"/>
    </row>
    <row r="11137" spans="2:33">
      <c r="B11137" s="29"/>
      <c r="D11137" s="29"/>
      <c r="E11137" s="20"/>
      <c r="F11137" s="20"/>
      <c r="AC11137" s="20"/>
      <c r="AG11137" s="29"/>
    </row>
    <row r="11138" spans="2:33">
      <c r="B11138" s="29"/>
      <c r="D11138" s="29"/>
      <c r="E11138" s="20"/>
      <c r="F11138" s="20"/>
      <c r="AC11138" s="20"/>
      <c r="AG11138" s="29"/>
    </row>
    <row r="11139" spans="2:33">
      <c r="B11139" s="29"/>
      <c r="D11139" s="29"/>
      <c r="E11139" s="20"/>
      <c r="F11139" s="20"/>
      <c r="AC11139" s="20"/>
      <c r="AG11139" s="29"/>
    </row>
    <row r="11140" spans="2:33">
      <c r="B11140" s="29"/>
      <c r="D11140" s="29"/>
      <c r="E11140" s="20"/>
      <c r="F11140" s="20"/>
      <c r="AC11140" s="20"/>
      <c r="AG11140" s="29"/>
    </row>
    <row r="11141" spans="2:33">
      <c r="B11141" s="29"/>
      <c r="D11141" s="29"/>
      <c r="E11141" s="20"/>
      <c r="F11141" s="20"/>
      <c r="AC11141" s="20"/>
      <c r="AG11141" s="29"/>
    </row>
    <row r="11142" spans="2:33">
      <c r="B11142" s="29"/>
      <c r="D11142" s="29"/>
      <c r="E11142" s="20"/>
      <c r="F11142" s="20"/>
      <c r="AC11142" s="20"/>
      <c r="AG11142" s="29"/>
    </row>
    <row r="11143" spans="2:33">
      <c r="B11143" s="29"/>
      <c r="D11143" s="29"/>
      <c r="E11143" s="20"/>
      <c r="F11143" s="20"/>
      <c r="AC11143" s="20"/>
      <c r="AG11143" s="29"/>
    </row>
    <row r="11144" spans="2:33">
      <c r="B11144" s="29"/>
      <c r="D11144" s="29"/>
      <c r="E11144" s="20"/>
      <c r="F11144" s="20"/>
      <c r="AC11144" s="20"/>
      <c r="AG11144" s="29"/>
    </row>
    <row r="11145" spans="2:33">
      <c r="B11145" s="29"/>
      <c r="D11145" s="29"/>
      <c r="E11145" s="20"/>
      <c r="F11145" s="20"/>
      <c r="AC11145" s="20"/>
      <c r="AG11145" s="29"/>
    </row>
    <row r="11146" spans="2:33">
      <c r="B11146" s="29"/>
      <c r="D11146" s="29"/>
      <c r="E11146" s="20"/>
      <c r="F11146" s="20"/>
      <c r="AC11146" s="20"/>
      <c r="AG11146" s="29"/>
    </row>
    <row r="11147" spans="2:33">
      <c r="B11147" s="29"/>
      <c r="D11147" s="29"/>
      <c r="E11147" s="20"/>
      <c r="F11147" s="20"/>
      <c r="AC11147" s="20"/>
      <c r="AG11147" s="29"/>
    </row>
    <row r="11148" spans="2:33">
      <c r="B11148" s="29"/>
      <c r="D11148" s="29"/>
      <c r="E11148" s="20"/>
      <c r="F11148" s="20"/>
      <c r="AC11148" s="20"/>
      <c r="AG11148" s="29"/>
    </row>
    <row r="11149" spans="2:33">
      <c r="B11149" s="29"/>
      <c r="D11149" s="29"/>
      <c r="E11149" s="20"/>
      <c r="F11149" s="20"/>
      <c r="AC11149" s="20"/>
      <c r="AG11149" s="29"/>
    </row>
    <row r="11150" spans="2:33">
      <c r="B11150" s="29"/>
      <c r="D11150" s="29"/>
      <c r="E11150" s="20"/>
      <c r="F11150" s="20"/>
      <c r="AC11150" s="20"/>
      <c r="AG11150" s="29"/>
    </row>
    <row r="11151" spans="2:33">
      <c r="B11151" s="29"/>
      <c r="D11151" s="29"/>
      <c r="E11151" s="20"/>
      <c r="F11151" s="20"/>
      <c r="AC11151" s="20"/>
      <c r="AG11151" s="29"/>
    </row>
    <row r="11152" spans="2:33">
      <c r="B11152" s="29"/>
      <c r="D11152" s="29"/>
      <c r="E11152" s="20"/>
      <c r="F11152" s="20"/>
      <c r="AC11152" s="20"/>
      <c r="AG11152" s="29"/>
    </row>
    <row r="11153" spans="2:33">
      <c r="B11153" s="29"/>
      <c r="D11153" s="29"/>
      <c r="E11153" s="20"/>
      <c r="F11153" s="20"/>
      <c r="AC11153" s="20"/>
      <c r="AG11153" s="29"/>
    </row>
    <row r="11154" spans="2:33">
      <c r="B11154" s="29"/>
      <c r="D11154" s="29"/>
      <c r="E11154" s="20"/>
      <c r="F11154" s="20"/>
      <c r="AC11154" s="20"/>
      <c r="AG11154" s="29"/>
    </row>
    <row r="11155" spans="2:33">
      <c r="B11155" s="29"/>
      <c r="D11155" s="29"/>
      <c r="E11155" s="20"/>
      <c r="F11155" s="20"/>
      <c r="AC11155" s="20"/>
      <c r="AG11155" s="29"/>
    </row>
    <row r="11156" spans="2:33">
      <c r="B11156" s="29"/>
      <c r="D11156" s="29"/>
      <c r="E11156" s="20"/>
      <c r="F11156" s="20"/>
      <c r="AC11156" s="20"/>
      <c r="AG11156" s="29"/>
    </row>
    <row r="11157" spans="2:33">
      <c r="B11157" s="29"/>
      <c r="D11157" s="29"/>
      <c r="E11157" s="20"/>
      <c r="F11157" s="20"/>
      <c r="AC11157" s="20"/>
      <c r="AG11157" s="29"/>
    </row>
    <row r="11158" spans="2:33">
      <c r="B11158" s="29"/>
      <c r="D11158" s="29"/>
      <c r="E11158" s="20"/>
      <c r="F11158" s="20"/>
      <c r="AC11158" s="20"/>
      <c r="AG11158" s="29"/>
    </row>
    <row r="11159" spans="2:33">
      <c r="B11159" s="29"/>
      <c r="D11159" s="29"/>
      <c r="E11159" s="20"/>
      <c r="F11159" s="20"/>
      <c r="AC11159" s="20"/>
      <c r="AG11159" s="29"/>
    </row>
    <row r="11160" spans="2:33">
      <c r="B11160" s="29"/>
      <c r="D11160" s="29"/>
      <c r="E11160" s="20"/>
      <c r="F11160" s="20"/>
      <c r="AC11160" s="20"/>
      <c r="AG11160" s="29"/>
    </row>
    <row r="11161" spans="2:33">
      <c r="B11161" s="29"/>
      <c r="D11161" s="29"/>
      <c r="E11161" s="20"/>
      <c r="F11161" s="20"/>
      <c r="AC11161" s="20"/>
      <c r="AG11161" s="29"/>
    </row>
    <row r="11162" spans="2:33">
      <c r="B11162" s="29"/>
      <c r="D11162" s="29"/>
      <c r="E11162" s="20"/>
      <c r="F11162" s="20"/>
      <c r="AC11162" s="20"/>
      <c r="AG11162" s="29"/>
    </row>
    <row r="11163" spans="2:33">
      <c r="B11163" s="29"/>
      <c r="D11163" s="29"/>
      <c r="E11163" s="20"/>
      <c r="F11163" s="20"/>
      <c r="AC11163" s="20"/>
      <c r="AG11163" s="29"/>
    </row>
    <row r="11164" spans="2:33">
      <c r="B11164" s="29"/>
      <c r="D11164" s="29"/>
      <c r="E11164" s="20"/>
      <c r="F11164" s="20"/>
      <c r="AC11164" s="20"/>
      <c r="AG11164" s="29"/>
    </row>
    <row r="11165" spans="2:33">
      <c r="B11165" s="29"/>
      <c r="D11165" s="29"/>
      <c r="E11165" s="20"/>
      <c r="F11165" s="20"/>
      <c r="AC11165" s="20"/>
      <c r="AG11165" s="29"/>
    </row>
    <row r="11166" spans="2:33">
      <c r="B11166" s="29"/>
      <c r="D11166" s="29"/>
      <c r="E11166" s="20"/>
      <c r="F11166" s="20"/>
      <c r="AC11166" s="20"/>
      <c r="AG11166" s="29"/>
    </row>
    <row r="11167" spans="2:33">
      <c r="B11167" s="29"/>
      <c r="D11167" s="29"/>
      <c r="E11167" s="20"/>
      <c r="F11167" s="20"/>
      <c r="AC11167" s="20"/>
      <c r="AG11167" s="29"/>
    </row>
    <row r="11168" spans="2:33">
      <c r="B11168" s="29"/>
      <c r="D11168" s="29"/>
      <c r="E11168" s="20"/>
      <c r="F11168" s="20"/>
      <c r="AC11168" s="20"/>
      <c r="AG11168" s="29"/>
    </row>
    <row r="11169" spans="2:33">
      <c r="B11169" s="29"/>
      <c r="D11169" s="29"/>
      <c r="E11169" s="20"/>
      <c r="F11169" s="20"/>
      <c r="AC11169" s="20"/>
      <c r="AG11169" s="29"/>
    </row>
    <row r="11170" spans="2:33">
      <c r="B11170" s="29"/>
      <c r="D11170" s="29"/>
      <c r="E11170" s="20"/>
      <c r="F11170" s="20"/>
      <c r="AC11170" s="20"/>
      <c r="AG11170" s="29"/>
    </row>
    <row r="11171" spans="2:33">
      <c r="B11171" s="29"/>
      <c r="D11171" s="29"/>
      <c r="E11171" s="20"/>
      <c r="F11171" s="20"/>
      <c r="AC11171" s="20"/>
      <c r="AG11171" s="29"/>
    </row>
    <row r="11172" spans="2:33">
      <c r="B11172" s="29"/>
      <c r="D11172" s="29"/>
      <c r="E11172" s="20"/>
      <c r="F11172" s="20"/>
      <c r="AC11172" s="20"/>
      <c r="AG11172" s="29"/>
    </row>
    <row r="11173" spans="2:33">
      <c r="B11173" s="29"/>
      <c r="D11173" s="29"/>
      <c r="E11173" s="20"/>
      <c r="F11173" s="20"/>
      <c r="AC11173" s="20"/>
      <c r="AG11173" s="29"/>
    </row>
    <row r="11174" spans="2:33">
      <c r="B11174" s="29"/>
      <c r="D11174" s="29"/>
      <c r="E11174" s="20"/>
      <c r="F11174" s="20"/>
      <c r="AC11174" s="20"/>
      <c r="AG11174" s="29"/>
    </row>
    <row r="11175" spans="2:33">
      <c r="B11175" s="29"/>
      <c r="D11175" s="29"/>
      <c r="E11175" s="20"/>
      <c r="F11175" s="20"/>
      <c r="AC11175" s="20"/>
      <c r="AG11175" s="29"/>
    </row>
    <row r="11176" spans="2:33">
      <c r="B11176" s="29"/>
      <c r="D11176" s="29"/>
      <c r="E11176" s="20"/>
      <c r="F11176" s="20"/>
      <c r="AC11176" s="20"/>
      <c r="AG11176" s="29"/>
    </row>
    <row r="11177" spans="2:33">
      <c r="B11177" s="29"/>
      <c r="D11177" s="29"/>
      <c r="E11177" s="20"/>
      <c r="F11177" s="20"/>
      <c r="AC11177" s="20"/>
      <c r="AG11177" s="29"/>
    </row>
    <row r="11178" spans="2:33">
      <c r="B11178" s="29"/>
      <c r="D11178" s="29"/>
      <c r="E11178" s="20"/>
      <c r="F11178" s="20"/>
      <c r="AC11178" s="20"/>
      <c r="AG11178" s="29"/>
    </row>
    <row r="11179" spans="2:33">
      <c r="B11179" s="29"/>
      <c r="D11179" s="29"/>
      <c r="E11179" s="20"/>
      <c r="F11179" s="20"/>
      <c r="AC11179" s="20"/>
      <c r="AG11179" s="29"/>
    </row>
    <row r="11180" spans="2:33">
      <c r="B11180" s="29"/>
      <c r="D11180" s="29"/>
      <c r="E11180" s="20"/>
      <c r="F11180" s="20"/>
      <c r="AC11180" s="20"/>
      <c r="AG11180" s="29"/>
    </row>
    <row r="11181" spans="2:33">
      <c r="B11181" s="29"/>
      <c r="D11181" s="29"/>
      <c r="E11181" s="20"/>
      <c r="F11181" s="20"/>
      <c r="AC11181" s="20"/>
      <c r="AG11181" s="29"/>
    </row>
    <row r="11182" spans="2:33">
      <c r="B11182" s="29"/>
      <c r="D11182" s="29"/>
      <c r="E11182" s="20"/>
      <c r="F11182" s="20"/>
      <c r="AC11182" s="20"/>
      <c r="AG11182" s="29"/>
    </row>
    <row r="11183" spans="2:33">
      <c r="B11183" s="29"/>
      <c r="D11183" s="29"/>
      <c r="E11183" s="20"/>
      <c r="F11183" s="20"/>
      <c r="AC11183" s="20"/>
      <c r="AG11183" s="29"/>
    </row>
    <row r="11184" spans="2:33">
      <c r="B11184" s="29"/>
      <c r="D11184" s="29"/>
      <c r="E11184" s="20"/>
      <c r="F11184" s="20"/>
      <c r="AC11184" s="20"/>
      <c r="AG11184" s="29"/>
    </row>
    <row r="11185" spans="2:33">
      <c r="B11185" s="29"/>
      <c r="D11185" s="29"/>
      <c r="E11185" s="20"/>
      <c r="F11185" s="20"/>
      <c r="AC11185" s="20"/>
      <c r="AG11185" s="29"/>
    </row>
    <row r="11186" spans="2:33">
      <c r="B11186" s="29"/>
      <c r="D11186" s="29"/>
      <c r="E11186" s="20"/>
      <c r="F11186" s="20"/>
      <c r="AC11186" s="20"/>
      <c r="AG11186" s="29"/>
    </row>
    <row r="11187" spans="2:33">
      <c r="B11187" s="29"/>
      <c r="D11187" s="29"/>
      <c r="E11187" s="20"/>
      <c r="F11187" s="20"/>
      <c r="AC11187" s="20"/>
      <c r="AG11187" s="29"/>
    </row>
    <row r="11188" spans="2:33">
      <c r="B11188" s="29"/>
      <c r="D11188" s="29"/>
      <c r="E11188" s="20"/>
      <c r="F11188" s="20"/>
      <c r="AC11188" s="20"/>
      <c r="AG11188" s="29"/>
    </row>
    <row r="11189" spans="2:33">
      <c r="B11189" s="29"/>
      <c r="D11189" s="29"/>
      <c r="E11189" s="20"/>
      <c r="F11189" s="20"/>
      <c r="AC11189" s="20"/>
      <c r="AG11189" s="29"/>
    </row>
    <row r="11190" spans="2:33">
      <c r="B11190" s="29"/>
      <c r="D11190" s="29"/>
      <c r="E11190" s="20"/>
      <c r="F11190" s="20"/>
      <c r="AC11190" s="20"/>
      <c r="AG11190" s="29"/>
    </row>
    <row r="11191" spans="2:33">
      <c r="B11191" s="29"/>
      <c r="D11191" s="29"/>
      <c r="E11191" s="20"/>
      <c r="F11191" s="20"/>
      <c r="AC11191" s="20"/>
      <c r="AG11191" s="29"/>
    </row>
    <row r="11192" spans="2:33">
      <c r="B11192" s="29"/>
      <c r="D11192" s="29"/>
      <c r="E11192" s="20"/>
      <c r="F11192" s="20"/>
      <c r="AC11192" s="20"/>
      <c r="AG11192" s="29"/>
    </row>
    <row r="11193" spans="2:33">
      <c r="B11193" s="29"/>
      <c r="D11193" s="29"/>
      <c r="E11193" s="20"/>
      <c r="F11193" s="20"/>
      <c r="AC11193" s="20"/>
      <c r="AG11193" s="29"/>
    </row>
    <row r="11194" spans="2:33">
      <c r="B11194" s="29"/>
      <c r="D11194" s="29"/>
      <c r="E11194" s="20"/>
      <c r="F11194" s="20"/>
      <c r="AC11194" s="20"/>
      <c r="AG11194" s="29"/>
    </row>
    <row r="11195" spans="2:33">
      <c r="B11195" s="29"/>
      <c r="D11195" s="29"/>
      <c r="E11195" s="20"/>
      <c r="F11195" s="20"/>
      <c r="AC11195" s="20"/>
      <c r="AG11195" s="29"/>
    </row>
    <row r="11196" spans="2:33">
      <c r="B11196" s="29"/>
      <c r="D11196" s="29"/>
      <c r="E11196" s="20"/>
      <c r="F11196" s="20"/>
      <c r="AC11196" s="20"/>
      <c r="AG11196" s="29"/>
    </row>
    <row r="11197" spans="2:33">
      <c r="B11197" s="29"/>
      <c r="D11197" s="29"/>
      <c r="E11197" s="20"/>
      <c r="F11197" s="20"/>
      <c r="AC11197" s="20"/>
      <c r="AG11197" s="29"/>
    </row>
    <row r="11198" spans="2:33">
      <c r="B11198" s="29"/>
      <c r="D11198" s="29"/>
      <c r="E11198" s="20"/>
      <c r="F11198" s="20"/>
      <c r="AC11198" s="20"/>
      <c r="AG11198" s="29"/>
    </row>
    <row r="11199" spans="2:33">
      <c r="B11199" s="29"/>
      <c r="D11199" s="29"/>
      <c r="E11199" s="20"/>
      <c r="F11199" s="20"/>
      <c r="AC11199" s="20"/>
      <c r="AG11199" s="29"/>
    </row>
    <row r="11200" spans="2:33">
      <c r="B11200" s="29"/>
      <c r="D11200" s="29"/>
      <c r="E11200" s="20"/>
      <c r="F11200" s="20"/>
      <c r="AC11200" s="20"/>
      <c r="AG11200" s="29"/>
    </row>
    <row r="11201" spans="2:33">
      <c r="B11201" s="29"/>
      <c r="D11201" s="29"/>
      <c r="E11201" s="20"/>
      <c r="F11201" s="20"/>
      <c r="AC11201" s="20"/>
      <c r="AG11201" s="29"/>
    </row>
    <row r="11202" spans="2:33">
      <c r="B11202" s="29"/>
      <c r="D11202" s="29"/>
      <c r="E11202" s="20"/>
      <c r="F11202" s="20"/>
      <c r="AC11202" s="20"/>
      <c r="AG11202" s="29"/>
    </row>
    <row r="11203" spans="2:33">
      <c r="B11203" s="29"/>
      <c r="D11203" s="29"/>
      <c r="E11203" s="20"/>
      <c r="F11203" s="20"/>
      <c r="AC11203" s="20"/>
      <c r="AG11203" s="29"/>
    </row>
    <row r="11204" spans="2:33">
      <c r="B11204" s="29"/>
      <c r="D11204" s="29"/>
      <c r="E11204" s="20"/>
      <c r="F11204" s="20"/>
      <c r="AC11204" s="20"/>
      <c r="AG11204" s="29"/>
    </row>
    <row r="11205" spans="2:33">
      <c r="B11205" s="29"/>
      <c r="D11205" s="29"/>
      <c r="E11205" s="20"/>
      <c r="F11205" s="20"/>
      <c r="AC11205" s="20"/>
      <c r="AG11205" s="29"/>
    </row>
    <row r="11206" spans="2:33">
      <c r="B11206" s="29"/>
      <c r="D11206" s="29"/>
      <c r="E11206" s="20"/>
      <c r="F11206" s="20"/>
      <c r="AC11206" s="20"/>
      <c r="AG11206" s="29"/>
    </row>
    <row r="11207" spans="2:33">
      <c r="B11207" s="29"/>
      <c r="D11207" s="29"/>
      <c r="E11207" s="20"/>
      <c r="F11207" s="20"/>
      <c r="AC11207" s="20"/>
      <c r="AG11207" s="29"/>
    </row>
    <row r="11208" spans="2:33">
      <c r="B11208" s="29"/>
      <c r="D11208" s="29"/>
      <c r="E11208" s="20"/>
      <c r="F11208" s="20"/>
      <c r="AC11208" s="20"/>
      <c r="AG11208" s="29"/>
    </row>
    <row r="11209" spans="2:33">
      <c r="B11209" s="29"/>
      <c r="D11209" s="29"/>
      <c r="E11209" s="20"/>
      <c r="F11209" s="20"/>
      <c r="AC11209" s="20"/>
      <c r="AG11209" s="29"/>
    </row>
    <row r="11210" spans="2:33">
      <c r="B11210" s="29"/>
      <c r="D11210" s="29"/>
      <c r="E11210" s="20"/>
      <c r="F11210" s="20"/>
      <c r="AC11210" s="20"/>
      <c r="AG11210" s="29"/>
    </row>
    <row r="11211" spans="2:33">
      <c r="B11211" s="29"/>
      <c r="D11211" s="29"/>
      <c r="E11211" s="20"/>
      <c r="F11211" s="20"/>
      <c r="AC11211" s="20"/>
      <c r="AG11211" s="29"/>
    </row>
    <row r="11212" spans="2:33">
      <c r="B11212" s="29"/>
      <c r="D11212" s="29"/>
      <c r="E11212" s="20"/>
      <c r="F11212" s="20"/>
      <c r="AC11212" s="20"/>
      <c r="AG11212" s="29"/>
    </row>
    <row r="11213" spans="2:33">
      <c r="B11213" s="29"/>
      <c r="D11213" s="29"/>
      <c r="E11213" s="20"/>
      <c r="F11213" s="20"/>
      <c r="AC11213" s="20"/>
      <c r="AG11213" s="29"/>
    </row>
    <row r="11214" spans="2:33">
      <c r="B11214" s="29"/>
      <c r="D11214" s="29"/>
      <c r="E11214" s="20"/>
      <c r="F11214" s="20"/>
      <c r="AC11214" s="20"/>
      <c r="AG11214" s="29"/>
    </row>
    <row r="11215" spans="2:33">
      <c r="B11215" s="29"/>
      <c r="D11215" s="29"/>
      <c r="E11215" s="20"/>
      <c r="F11215" s="20"/>
      <c r="AC11215" s="20"/>
      <c r="AG11215" s="29"/>
    </row>
    <row r="11216" spans="2:33">
      <c r="B11216" s="29"/>
      <c r="D11216" s="29"/>
      <c r="E11216" s="20"/>
      <c r="F11216" s="20"/>
      <c r="AC11216" s="20"/>
      <c r="AG11216" s="29"/>
    </row>
    <row r="11217" spans="2:33">
      <c r="B11217" s="29"/>
      <c r="D11217" s="29"/>
      <c r="E11217" s="20"/>
      <c r="F11217" s="20"/>
      <c r="AC11217" s="20"/>
      <c r="AG11217" s="29"/>
    </row>
    <row r="11218" spans="2:33">
      <c r="B11218" s="29"/>
      <c r="D11218" s="29"/>
      <c r="E11218" s="20"/>
      <c r="F11218" s="20"/>
      <c r="AC11218" s="20"/>
      <c r="AG11218" s="29"/>
    </row>
    <row r="11219" spans="2:33">
      <c r="B11219" s="29"/>
      <c r="D11219" s="29"/>
      <c r="E11219" s="20"/>
      <c r="F11219" s="20"/>
      <c r="AC11219" s="20"/>
      <c r="AG11219" s="29"/>
    </row>
    <row r="11220" spans="2:33">
      <c r="B11220" s="29"/>
      <c r="D11220" s="29"/>
      <c r="E11220" s="20"/>
      <c r="F11220" s="20"/>
      <c r="AC11220" s="20"/>
      <c r="AG11220" s="29"/>
    </row>
    <row r="11221" spans="2:33">
      <c r="B11221" s="29"/>
      <c r="D11221" s="29"/>
      <c r="E11221" s="20"/>
      <c r="F11221" s="20"/>
      <c r="AC11221" s="20"/>
      <c r="AG11221" s="29"/>
    </row>
    <row r="11222" spans="2:33">
      <c r="B11222" s="29"/>
      <c r="D11222" s="29"/>
      <c r="E11222" s="20"/>
      <c r="F11222" s="20"/>
      <c r="AC11222" s="20"/>
      <c r="AG11222" s="29"/>
    </row>
    <row r="11223" spans="2:33">
      <c r="B11223" s="29"/>
      <c r="D11223" s="29"/>
      <c r="E11223" s="20"/>
      <c r="F11223" s="20"/>
      <c r="AC11223" s="20"/>
      <c r="AG11223" s="29"/>
    </row>
    <row r="11224" spans="2:33">
      <c r="B11224" s="29"/>
      <c r="D11224" s="29"/>
      <c r="E11224" s="20"/>
      <c r="F11224" s="20"/>
      <c r="AC11224" s="20"/>
      <c r="AG11224" s="29"/>
    </row>
    <row r="11225" spans="2:33">
      <c r="B11225" s="29"/>
      <c r="D11225" s="29"/>
      <c r="E11225" s="20"/>
      <c r="F11225" s="20"/>
      <c r="AC11225" s="20"/>
      <c r="AG11225" s="29"/>
    </row>
    <row r="11226" spans="2:33">
      <c r="B11226" s="29"/>
      <c r="D11226" s="29"/>
      <c r="E11226" s="20"/>
      <c r="F11226" s="20"/>
      <c r="AC11226" s="20"/>
      <c r="AG11226" s="29"/>
    </row>
    <row r="11227" spans="2:33">
      <c r="B11227" s="29"/>
      <c r="D11227" s="29"/>
      <c r="E11227" s="20"/>
      <c r="F11227" s="20"/>
      <c r="AC11227" s="20"/>
      <c r="AG11227" s="29"/>
    </row>
    <row r="11228" spans="2:33">
      <c r="B11228" s="29"/>
      <c r="D11228" s="29"/>
      <c r="E11228" s="20"/>
      <c r="F11228" s="20"/>
      <c r="AC11228" s="20"/>
      <c r="AG11228" s="29"/>
    </row>
    <row r="11229" spans="2:33">
      <c r="B11229" s="29"/>
      <c r="D11229" s="29"/>
      <c r="E11229" s="20"/>
      <c r="F11229" s="20"/>
      <c r="AC11229" s="20"/>
      <c r="AG11229" s="29"/>
    </row>
    <row r="11230" spans="2:33">
      <c r="B11230" s="29"/>
      <c r="D11230" s="29"/>
      <c r="E11230" s="20"/>
      <c r="F11230" s="20"/>
      <c r="AC11230" s="20"/>
      <c r="AG11230" s="29"/>
    </row>
    <row r="11231" spans="2:33">
      <c r="B11231" s="29"/>
      <c r="D11231" s="29"/>
      <c r="E11231" s="20"/>
      <c r="F11231" s="20"/>
      <c r="AC11231" s="20"/>
      <c r="AG11231" s="29"/>
    </row>
    <row r="11232" spans="2:33">
      <c r="B11232" s="29"/>
      <c r="D11232" s="29"/>
      <c r="E11232" s="20"/>
      <c r="F11232" s="20"/>
      <c r="AC11232" s="20"/>
      <c r="AG11232" s="29"/>
    </row>
    <row r="11233" spans="2:33">
      <c r="B11233" s="29"/>
      <c r="D11233" s="29"/>
      <c r="E11233" s="20"/>
      <c r="F11233" s="20"/>
      <c r="AC11233" s="20"/>
      <c r="AG11233" s="29"/>
    </row>
    <row r="11234" spans="2:33">
      <c r="B11234" s="29"/>
      <c r="D11234" s="29"/>
      <c r="E11234" s="20"/>
      <c r="F11234" s="20"/>
      <c r="AC11234" s="20"/>
      <c r="AG11234" s="29"/>
    </row>
    <row r="11235" spans="2:33">
      <c r="B11235" s="29"/>
      <c r="D11235" s="29"/>
      <c r="E11235" s="20"/>
      <c r="F11235" s="20"/>
      <c r="AC11235" s="20"/>
      <c r="AG11235" s="29"/>
    </row>
    <row r="11236" spans="2:33">
      <c r="B11236" s="29"/>
      <c r="D11236" s="29"/>
      <c r="E11236" s="20"/>
      <c r="F11236" s="20"/>
      <c r="AC11236" s="20"/>
      <c r="AG11236" s="29"/>
    </row>
    <row r="11237" spans="2:33">
      <c r="B11237" s="29"/>
      <c r="D11237" s="29"/>
      <c r="E11237" s="20"/>
      <c r="F11237" s="20"/>
      <c r="AC11237" s="20"/>
      <c r="AG11237" s="29"/>
    </row>
    <row r="11238" spans="2:33">
      <c r="B11238" s="29"/>
      <c r="D11238" s="29"/>
      <c r="E11238" s="20"/>
      <c r="F11238" s="20"/>
      <c r="AC11238" s="20"/>
      <c r="AG11238" s="29"/>
    </row>
    <row r="11239" spans="2:33">
      <c r="B11239" s="29"/>
      <c r="D11239" s="29"/>
      <c r="E11239" s="20"/>
      <c r="F11239" s="20"/>
      <c r="AC11239" s="20"/>
      <c r="AG11239" s="29"/>
    </row>
    <row r="11240" spans="2:33">
      <c r="B11240" s="29"/>
      <c r="D11240" s="29"/>
      <c r="E11240" s="20"/>
      <c r="F11240" s="20"/>
      <c r="AC11240" s="20"/>
      <c r="AG11240" s="29"/>
    </row>
    <row r="11241" spans="2:33">
      <c r="B11241" s="29"/>
      <c r="D11241" s="29"/>
      <c r="E11241" s="20"/>
      <c r="F11241" s="20"/>
      <c r="AC11241" s="20"/>
      <c r="AG11241" s="29"/>
    </row>
    <row r="11242" spans="2:33">
      <c r="B11242" s="29"/>
      <c r="D11242" s="29"/>
      <c r="E11242" s="20"/>
      <c r="F11242" s="20"/>
      <c r="AC11242" s="20"/>
      <c r="AG11242" s="29"/>
    </row>
    <row r="11243" spans="2:33">
      <c r="B11243" s="29"/>
      <c r="D11243" s="29"/>
      <c r="E11243" s="20"/>
      <c r="F11243" s="20"/>
      <c r="AC11243" s="20"/>
      <c r="AG11243" s="29"/>
    </row>
    <row r="11244" spans="2:33">
      <c r="B11244" s="29"/>
      <c r="D11244" s="29"/>
      <c r="E11244" s="20"/>
      <c r="F11244" s="20"/>
      <c r="AC11244" s="20"/>
      <c r="AG11244" s="29"/>
    </row>
    <row r="11245" spans="2:33">
      <c r="B11245" s="29"/>
      <c r="D11245" s="29"/>
      <c r="E11245" s="20"/>
      <c r="F11245" s="20"/>
      <c r="AC11245" s="20"/>
      <c r="AG11245" s="29"/>
    </row>
    <row r="11246" spans="2:33">
      <c r="B11246" s="29"/>
      <c r="D11246" s="29"/>
      <c r="E11246" s="20"/>
      <c r="F11246" s="20"/>
      <c r="AC11246" s="20"/>
      <c r="AG11246" s="29"/>
    </row>
    <row r="11247" spans="2:33">
      <c r="B11247" s="29"/>
      <c r="D11247" s="29"/>
      <c r="E11247" s="20"/>
      <c r="F11247" s="20"/>
      <c r="AC11247" s="20"/>
      <c r="AG11247" s="29"/>
    </row>
    <row r="11248" spans="2:33">
      <c r="B11248" s="29"/>
      <c r="D11248" s="29"/>
      <c r="E11248" s="20"/>
      <c r="F11248" s="20"/>
      <c r="AC11248" s="20"/>
      <c r="AG11248" s="29"/>
    </row>
    <row r="11249" spans="2:33">
      <c r="B11249" s="29"/>
      <c r="D11249" s="29"/>
      <c r="E11249" s="20"/>
      <c r="F11249" s="20"/>
      <c r="AC11249" s="20"/>
      <c r="AG11249" s="29"/>
    </row>
    <row r="11250" spans="2:33">
      <c r="B11250" s="29"/>
      <c r="D11250" s="29"/>
      <c r="E11250" s="20"/>
      <c r="F11250" s="20"/>
      <c r="AC11250" s="20"/>
      <c r="AG11250" s="29"/>
    </row>
    <row r="11251" spans="2:33">
      <c r="B11251" s="29"/>
      <c r="D11251" s="29"/>
      <c r="E11251" s="20"/>
      <c r="F11251" s="20"/>
      <c r="AC11251" s="20"/>
      <c r="AG11251" s="29"/>
    </row>
    <row r="11252" spans="2:33">
      <c r="B11252" s="29"/>
      <c r="D11252" s="29"/>
      <c r="E11252" s="20"/>
      <c r="F11252" s="20"/>
      <c r="AC11252" s="20"/>
      <c r="AG11252" s="29"/>
    </row>
    <row r="11253" spans="2:33">
      <c r="B11253" s="29"/>
      <c r="D11253" s="29"/>
      <c r="E11253" s="20"/>
      <c r="F11253" s="20"/>
      <c r="AC11253" s="20"/>
      <c r="AG11253" s="29"/>
    </row>
    <row r="11254" spans="2:33">
      <c r="B11254" s="29"/>
      <c r="D11254" s="29"/>
      <c r="E11254" s="20"/>
      <c r="F11254" s="20"/>
      <c r="AC11254" s="20"/>
      <c r="AG11254" s="29"/>
    </row>
    <row r="11255" spans="2:33">
      <c r="B11255" s="29"/>
      <c r="D11255" s="29"/>
      <c r="E11255" s="20"/>
      <c r="F11255" s="20"/>
      <c r="AC11255" s="20"/>
      <c r="AG11255" s="29"/>
    </row>
    <row r="11256" spans="2:33">
      <c r="B11256" s="29"/>
      <c r="D11256" s="29"/>
      <c r="E11256" s="20"/>
      <c r="F11256" s="20"/>
      <c r="AC11256" s="20"/>
      <c r="AG11256" s="29"/>
    </row>
    <row r="11257" spans="2:33">
      <c r="B11257" s="29"/>
      <c r="D11257" s="29"/>
      <c r="E11257" s="20"/>
      <c r="F11257" s="20"/>
      <c r="AC11257" s="20"/>
      <c r="AG11257" s="29"/>
    </row>
    <row r="11258" spans="2:33">
      <c r="B11258" s="29"/>
      <c r="D11258" s="29"/>
      <c r="E11258" s="20"/>
      <c r="F11258" s="20"/>
      <c r="AC11258" s="20"/>
      <c r="AG11258" s="29"/>
    </row>
    <row r="11259" spans="2:33">
      <c r="B11259" s="29"/>
      <c r="D11259" s="29"/>
      <c r="E11259" s="20"/>
      <c r="F11259" s="20"/>
      <c r="AC11259" s="20"/>
      <c r="AG11259" s="29"/>
    </row>
    <row r="11260" spans="2:33">
      <c r="B11260" s="29"/>
      <c r="D11260" s="29"/>
      <c r="E11260" s="20"/>
      <c r="F11260" s="20"/>
      <c r="AC11260" s="20"/>
      <c r="AG11260" s="29"/>
    </row>
    <row r="11261" spans="2:33">
      <c r="B11261" s="29"/>
      <c r="D11261" s="29"/>
      <c r="E11261" s="20"/>
      <c r="F11261" s="20"/>
      <c r="AC11261" s="20"/>
      <c r="AG11261" s="29"/>
    </row>
    <row r="11262" spans="2:33">
      <c r="B11262" s="29"/>
      <c r="D11262" s="29"/>
      <c r="E11262" s="20"/>
      <c r="F11262" s="20"/>
      <c r="AC11262" s="20"/>
      <c r="AG11262" s="29"/>
    </row>
    <row r="11263" spans="2:33">
      <c r="B11263" s="29"/>
      <c r="D11263" s="29"/>
      <c r="E11263" s="20"/>
      <c r="F11263" s="20"/>
      <c r="AC11263" s="20"/>
      <c r="AG11263" s="29"/>
    </row>
    <row r="11264" spans="2:33">
      <c r="B11264" s="29"/>
      <c r="D11264" s="29"/>
      <c r="E11264" s="20"/>
      <c r="F11264" s="20"/>
      <c r="AC11264" s="20"/>
      <c r="AG11264" s="29"/>
    </row>
    <row r="11265" spans="2:33">
      <c r="B11265" s="29"/>
      <c r="D11265" s="29"/>
      <c r="E11265" s="20"/>
      <c r="F11265" s="20"/>
      <c r="AC11265" s="20"/>
      <c r="AG11265" s="29"/>
    </row>
    <row r="11266" spans="2:33">
      <c r="B11266" s="29"/>
      <c r="D11266" s="29"/>
      <c r="E11266" s="20"/>
      <c r="F11266" s="20"/>
      <c r="AC11266" s="20"/>
      <c r="AG11266" s="29"/>
    </row>
    <row r="11267" spans="2:33">
      <c r="B11267" s="29"/>
      <c r="D11267" s="29"/>
      <c r="E11267" s="20"/>
      <c r="F11267" s="20"/>
      <c r="AC11267" s="20"/>
      <c r="AG11267" s="29"/>
    </row>
    <row r="11268" spans="2:33">
      <c r="B11268" s="29"/>
      <c r="D11268" s="29"/>
      <c r="E11268" s="20"/>
      <c r="F11268" s="20"/>
      <c r="AC11268" s="20"/>
      <c r="AG11268" s="29"/>
    </row>
    <row r="11269" spans="2:33">
      <c r="B11269" s="29"/>
      <c r="D11269" s="29"/>
      <c r="E11269" s="20"/>
      <c r="F11269" s="20"/>
      <c r="AC11269" s="20"/>
      <c r="AG11269" s="29"/>
    </row>
    <row r="11270" spans="2:33">
      <c r="B11270" s="29"/>
      <c r="D11270" s="29"/>
      <c r="E11270" s="20"/>
      <c r="F11270" s="20"/>
      <c r="AC11270" s="20"/>
      <c r="AG11270" s="29"/>
    </row>
    <row r="11271" spans="2:33">
      <c r="B11271" s="29"/>
      <c r="D11271" s="29"/>
      <c r="E11271" s="20"/>
      <c r="F11271" s="20"/>
      <c r="AC11271" s="20"/>
      <c r="AG11271" s="29"/>
    </row>
    <row r="11272" spans="2:33">
      <c r="B11272" s="29"/>
      <c r="D11272" s="29"/>
      <c r="E11272" s="20"/>
      <c r="F11272" s="20"/>
      <c r="AC11272" s="20"/>
      <c r="AG11272" s="29"/>
    </row>
    <row r="11273" spans="2:33">
      <c r="B11273" s="29"/>
      <c r="D11273" s="29"/>
      <c r="E11273" s="20"/>
      <c r="F11273" s="20"/>
      <c r="AC11273" s="20"/>
      <c r="AG11273" s="29"/>
    </row>
    <row r="11274" spans="2:33">
      <c r="B11274" s="29"/>
      <c r="D11274" s="29"/>
      <c r="E11274" s="20"/>
      <c r="F11274" s="20"/>
      <c r="AC11274" s="20"/>
      <c r="AG11274" s="29"/>
    </row>
    <row r="11275" spans="2:33">
      <c r="B11275" s="29"/>
      <c r="D11275" s="29"/>
      <c r="E11275" s="20"/>
      <c r="F11275" s="20"/>
      <c r="AC11275" s="20"/>
      <c r="AG11275" s="29"/>
    </row>
    <row r="11276" spans="2:33">
      <c r="B11276" s="29"/>
      <c r="D11276" s="29"/>
      <c r="E11276" s="20"/>
      <c r="F11276" s="20"/>
      <c r="AC11276" s="20"/>
      <c r="AG11276" s="29"/>
    </row>
    <row r="11277" spans="2:33">
      <c r="B11277" s="29"/>
      <c r="D11277" s="29"/>
      <c r="E11277" s="20"/>
      <c r="F11277" s="20"/>
      <c r="AC11277" s="20"/>
      <c r="AG11277" s="29"/>
    </row>
    <row r="11278" spans="2:33">
      <c r="B11278" s="29"/>
      <c r="D11278" s="29"/>
      <c r="E11278" s="20"/>
      <c r="F11278" s="20"/>
      <c r="AC11278" s="20"/>
      <c r="AG11278" s="29"/>
    </row>
    <row r="11279" spans="2:33">
      <c r="B11279" s="29"/>
      <c r="D11279" s="29"/>
      <c r="E11279" s="20"/>
      <c r="F11279" s="20"/>
      <c r="AC11279" s="20"/>
      <c r="AG11279" s="29"/>
    </row>
    <row r="11280" spans="2:33">
      <c r="B11280" s="29"/>
      <c r="D11280" s="29"/>
      <c r="E11280" s="20"/>
      <c r="F11280" s="20"/>
      <c r="AC11280" s="20"/>
      <c r="AG11280" s="29"/>
    </row>
    <row r="11281" spans="2:33">
      <c r="B11281" s="29"/>
      <c r="D11281" s="29"/>
      <c r="E11281" s="20"/>
      <c r="F11281" s="20"/>
      <c r="AC11281" s="20"/>
      <c r="AG11281" s="29"/>
    </row>
    <row r="11282" spans="2:33">
      <c r="B11282" s="29"/>
      <c r="D11282" s="29"/>
      <c r="E11282" s="20"/>
      <c r="F11282" s="20"/>
      <c r="AC11282" s="20"/>
      <c r="AG11282" s="29"/>
    </row>
    <row r="11283" spans="2:33">
      <c r="B11283" s="29"/>
      <c r="D11283" s="29"/>
      <c r="E11283" s="20"/>
      <c r="F11283" s="20"/>
      <c r="AC11283" s="20"/>
      <c r="AG11283" s="29"/>
    </row>
    <row r="11284" spans="2:33">
      <c r="B11284" s="29"/>
      <c r="D11284" s="29"/>
      <c r="E11284" s="20"/>
      <c r="F11284" s="20"/>
      <c r="AC11284" s="20"/>
      <c r="AG11284" s="29"/>
    </row>
    <row r="11285" spans="2:33">
      <c r="B11285" s="29"/>
      <c r="D11285" s="29"/>
      <c r="E11285" s="20"/>
      <c r="F11285" s="20"/>
      <c r="AC11285" s="20"/>
      <c r="AG11285" s="29"/>
    </row>
    <row r="11286" spans="2:33">
      <c r="B11286" s="29"/>
      <c r="D11286" s="29"/>
      <c r="E11286" s="20"/>
      <c r="F11286" s="20"/>
      <c r="AC11286" s="20"/>
      <c r="AG11286" s="29"/>
    </row>
    <row r="11287" spans="2:33">
      <c r="B11287" s="29"/>
      <c r="D11287" s="29"/>
      <c r="E11287" s="20"/>
      <c r="F11287" s="20"/>
      <c r="AC11287" s="20"/>
      <c r="AG11287" s="29"/>
    </row>
    <row r="11288" spans="2:33">
      <c r="B11288" s="29"/>
      <c r="D11288" s="29"/>
      <c r="E11288" s="20"/>
      <c r="F11288" s="20"/>
      <c r="AC11288" s="20"/>
      <c r="AG11288" s="29"/>
    </row>
    <row r="11289" spans="2:33">
      <c r="B11289" s="29"/>
      <c r="D11289" s="29"/>
      <c r="E11289" s="20"/>
      <c r="F11289" s="20"/>
      <c r="AC11289" s="20"/>
      <c r="AG11289" s="29"/>
    </row>
    <row r="11290" spans="2:33">
      <c r="B11290" s="29"/>
      <c r="D11290" s="29"/>
      <c r="E11290" s="20"/>
      <c r="F11290" s="20"/>
      <c r="AC11290" s="20"/>
      <c r="AG11290" s="29"/>
    </row>
    <row r="11291" spans="2:33">
      <c r="B11291" s="29"/>
      <c r="D11291" s="29"/>
      <c r="E11291" s="20"/>
      <c r="F11291" s="20"/>
      <c r="AC11291" s="20"/>
      <c r="AG11291" s="29"/>
    </row>
    <row r="11292" spans="2:33">
      <c r="B11292" s="29"/>
      <c r="D11292" s="29"/>
      <c r="E11292" s="20"/>
      <c r="F11292" s="20"/>
      <c r="AC11292" s="20"/>
      <c r="AG11292" s="29"/>
    </row>
    <row r="11293" spans="2:33">
      <c r="B11293" s="29"/>
      <c r="D11293" s="29"/>
      <c r="E11293" s="20"/>
      <c r="F11293" s="20"/>
      <c r="AC11293" s="20"/>
      <c r="AG11293" s="29"/>
    </row>
    <row r="11294" spans="2:33">
      <c r="B11294" s="29"/>
      <c r="D11294" s="29"/>
      <c r="E11294" s="20"/>
      <c r="F11294" s="20"/>
      <c r="AC11294" s="20"/>
      <c r="AG11294" s="29"/>
    </row>
    <row r="11295" spans="2:33">
      <c r="B11295" s="29"/>
      <c r="D11295" s="29"/>
      <c r="E11295" s="20"/>
      <c r="F11295" s="20"/>
      <c r="AC11295" s="20"/>
      <c r="AG11295" s="29"/>
    </row>
    <row r="11296" spans="2:33">
      <c r="B11296" s="29"/>
      <c r="D11296" s="29"/>
      <c r="E11296" s="20"/>
      <c r="F11296" s="20"/>
      <c r="AC11296" s="20"/>
      <c r="AG11296" s="29"/>
    </row>
    <row r="11297" spans="2:33">
      <c r="B11297" s="29"/>
      <c r="D11297" s="29"/>
      <c r="E11297" s="20"/>
      <c r="F11297" s="20"/>
      <c r="AC11297" s="20"/>
      <c r="AG11297" s="29"/>
    </row>
    <row r="11298" spans="2:33">
      <c r="B11298" s="29"/>
      <c r="D11298" s="29"/>
      <c r="E11298" s="20"/>
      <c r="F11298" s="20"/>
      <c r="AC11298" s="20"/>
      <c r="AG11298" s="29"/>
    </row>
    <row r="11299" spans="2:33">
      <c r="B11299" s="29"/>
      <c r="D11299" s="29"/>
      <c r="E11299" s="20"/>
      <c r="F11299" s="20"/>
      <c r="AC11299" s="20"/>
      <c r="AG11299" s="29"/>
    </row>
    <row r="11300" spans="2:33">
      <c r="B11300" s="29"/>
      <c r="D11300" s="29"/>
      <c r="E11300" s="20"/>
      <c r="F11300" s="20"/>
      <c r="AC11300" s="20"/>
      <c r="AG11300" s="29"/>
    </row>
    <row r="11301" spans="2:33">
      <c r="B11301" s="29"/>
      <c r="D11301" s="29"/>
      <c r="E11301" s="20"/>
      <c r="F11301" s="20"/>
      <c r="AC11301" s="20"/>
      <c r="AG11301" s="29"/>
    </row>
    <row r="11302" spans="2:33">
      <c r="B11302" s="29"/>
      <c r="D11302" s="29"/>
      <c r="E11302" s="20"/>
      <c r="F11302" s="20"/>
      <c r="AC11302" s="20"/>
      <c r="AG11302" s="29"/>
    </row>
    <row r="11303" spans="2:33">
      <c r="B11303" s="29"/>
      <c r="D11303" s="29"/>
      <c r="E11303" s="20"/>
      <c r="F11303" s="20"/>
      <c r="AC11303" s="20"/>
      <c r="AG11303" s="29"/>
    </row>
    <row r="11304" spans="2:33">
      <c r="B11304" s="29"/>
      <c r="D11304" s="29"/>
      <c r="E11304" s="20"/>
      <c r="F11304" s="20"/>
      <c r="AC11304" s="20"/>
      <c r="AG11304" s="29"/>
    </row>
    <row r="11305" spans="2:33">
      <c r="B11305" s="29"/>
      <c r="D11305" s="29"/>
      <c r="E11305" s="20"/>
      <c r="F11305" s="20"/>
      <c r="AC11305" s="20"/>
      <c r="AG11305" s="29"/>
    </row>
    <row r="11306" spans="2:33">
      <c r="B11306" s="29"/>
      <c r="D11306" s="29"/>
      <c r="E11306" s="20"/>
      <c r="F11306" s="20"/>
      <c r="AC11306" s="20"/>
      <c r="AG11306" s="29"/>
    </row>
    <row r="11307" spans="2:33">
      <c r="B11307" s="29"/>
      <c r="D11307" s="29"/>
      <c r="E11307" s="20"/>
      <c r="F11307" s="20"/>
      <c r="AC11307" s="20"/>
      <c r="AG11307" s="29"/>
    </row>
    <row r="11308" spans="2:33">
      <c r="B11308" s="29"/>
      <c r="D11308" s="29"/>
      <c r="E11308" s="20"/>
      <c r="F11308" s="20"/>
      <c r="AC11308" s="20"/>
      <c r="AG11308" s="29"/>
    </row>
    <row r="11309" spans="2:33">
      <c r="B11309" s="29"/>
      <c r="D11309" s="29"/>
      <c r="E11309" s="20"/>
      <c r="F11309" s="20"/>
      <c r="AC11309" s="20"/>
      <c r="AG11309" s="29"/>
    </row>
    <row r="11310" spans="2:33">
      <c r="B11310" s="29"/>
      <c r="D11310" s="29"/>
      <c r="E11310" s="20"/>
      <c r="F11310" s="20"/>
      <c r="AC11310" s="20"/>
      <c r="AG11310" s="29"/>
    </row>
    <row r="11311" spans="2:33">
      <c r="B11311" s="29"/>
      <c r="D11311" s="29"/>
      <c r="E11311" s="20"/>
      <c r="F11311" s="20"/>
      <c r="AC11311" s="20"/>
      <c r="AG11311" s="29"/>
    </row>
    <row r="11312" spans="2:33">
      <c r="B11312" s="29"/>
      <c r="D11312" s="29"/>
      <c r="E11312" s="20"/>
      <c r="F11312" s="20"/>
      <c r="AC11312" s="20"/>
      <c r="AG11312" s="29"/>
    </row>
    <row r="11313" spans="2:33">
      <c r="B11313" s="29"/>
      <c r="D11313" s="29"/>
      <c r="E11313" s="20"/>
      <c r="F11313" s="20"/>
      <c r="AC11313" s="20"/>
      <c r="AG11313" s="29"/>
    </row>
    <row r="11314" spans="2:33">
      <c r="B11314" s="29"/>
      <c r="D11314" s="29"/>
      <c r="E11314" s="20"/>
      <c r="F11314" s="20"/>
      <c r="AC11314" s="20"/>
      <c r="AG11314" s="29"/>
    </row>
    <row r="11315" spans="2:33">
      <c r="B11315" s="29"/>
      <c r="D11315" s="29"/>
      <c r="E11315" s="20"/>
      <c r="F11315" s="20"/>
      <c r="AC11315" s="20"/>
      <c r="AG11315" s="29"/>
    </row>
    <row r="11316" spans="2:33">
      <c r="B11316" s="29"/>
      <c r="D11316" s="29"/>
      <c r="E11316" s="20"/>
      <c r="F11316" s="20"/>
      <c r="AC11316" s="20"/>
      <c r="AG11316" s="29"/>
    </row>
    <row r="11317" spans="2:33">
      <c r="B11317" s="29"/>
      <c r="D11317" s="29"/>
      <c r="E11317" s="20"/>
      <c r="F11317" s="20"/>
      <c r="AC11317" s="20"/>
      <c r="AG11317" s="29"/>
    </row>
    <row r="11318" spans="2:33">
      <c r="B11318" s="29"/>
      <c r="D11318" s="29"/>
      <c r="E11318" s="20"/>
      <c r="F11318" s="20"/>
      <c r="AC11318" s="20"/>
      <c r="AG11318" s="29"/>
    </row>
    <row r="11319" spans="2:33">
      <c r="B11319" s="29"/>
      <c r="D11319" s="29"/>
      <c r="E11319" s="20"/>
      <c r="F11319" s="20"/>
      <c r="AC11319" s="20"/>
      <c r="AG11319" s="29"/>
    </row>
    <row r="11320" spans="2:33">
      <c r="B11320" s="29"/>
      <c r="D11320" s="29"/>
      <c r="E11320" s="20"/>
      <c r="F11320" s="20"/>
      <c r="AC11320" s="20"/>
      <c r="AG11320" s="29"/>
    </row>
    <row r="11321" spans="2:33">
      <c r="B11321" s="29"/>
      <c r="D11321" s="29"/>
      <c r="E11321" s="20"/>
      <c r="F11321" s="20"/>
      <c r="AC11321" s="20"/>
      <c r="AG11321" s="29"/>
    </row>
    <row r="11322" spans="2:33">
      <c r="B11322" s="29"/>
      <c r="D11322" s="29"/>
      <c r="E11322" s="20"/>
      <c r="F11322" s="20"/>
      <c r="AC11322" s="20"/>
      <c r="AG11322" s="29"/>
    </row>
    <row r="11323" spans="2:33">
      <c r="B11323" s="29"/>
      <c r="D11323" s="29"/>
      <c r="E11323" s="20"/>
      <c r="F11323" s="20"/>
      <c r="AC11323" s="20"/>
      <c r="AG11323" s="29"/>
    </row>
    <row r="11324" spans="2:33">
      <c r="B11324" s="29"/>
      <c r="D11324" s="29"/>
      <c r="E11324" s="20"/>
      <c r="F11324" s="20"/>
      <c r="AC11324" s="20"/>
      <c r="AG11324" s="29"/>
    </row>
    <row r="11325" spans="2:33">
      <c r="B11325" s="29"/>
      <c r="D11325" s="29"/>
      <c r="E11325" s="20"/>
      <c r="F11325" s="20"/>
      <c r="AC11325" s="20"/>
      <c r="AG11325" s="29"/>
    </row>
    <row r="11326" spans="2:33">
      <c r="B11326" s="29"/>
      <c r="D11326" s="29"/>
      <c r="E11326" s="20"/>
      <c r="F11326" s="20"/>
      <c r="AC11326" s="20"/>
      <c r="AG11326" s="29"/>
    </row>
    <row r="11327" spans="2:33">
      <c r="B11327" s="29"/>
      <c r="D11327" s="29"/>
      <c r="E11327" s="20"/>
      <c r="F11327" s="20"/>
      <c r="AC11327" s="20"/>
      <c r="AG11327" s="29"/>
    </row>
    <row r="11328" spans="2:33">
      <c r="B11328" s="29"/>
      <c r="D11328" s="29"/>
      <c r="E11328" s="20"/>
      <c r="F11328" s="20"/>
      <c r="AC11328" s="20"/>
      <c r="AG11328" s="29"/>
    </row>
    <row r="11329" spans="2:33">
      <c r="B11329" s="29"/>
      <c r="D11329" s="29"/>
      <c r="E11329" s="20"/>
      <c r="F11329" s="20"/>
      <c r="AC11329" s="20"/>
      <c r="AG11329" s="29"/>
    </row>
    <row r="11330" spans="2:33">
      <c r="B11330" s="29"/>
      <c r="D11330" s="29"/>
      <c r="E11330" s="20"/>
      <c r="F11330" s="20"/>
      <c r="AC11330" s="20"/>
      <c r="AG11330" s="29"/>
    </row>
    <row r="11331" spans="2:33">
      <c r="B11331" s="29"/>
      <c r="D11331" s="29"/>
      <c r="E11331" s="20"/>
      <c r="F11331" s="20"/>
      <c r="AC11331" s="20"/>
      <c r="AG11331" s="29"/>
    </row>
    <row r="11332" spans="2:33">
      <c r="B11332" s="29"/>
      <c r="D11332" s="29"/>
      <c r="E11332" s="20"/>
      <c r="F11332" s="20"/>
      <c r="AC11332" s="20"/>
      <c r="AG11332" s="29"/>
    </row>
    <row r="11333" spans="2:33">
      <c r="B11333" s="29"/>
      <c r="D11333" s="29"/>
      <c r="E11333" s="20"/>
      <c r="F11333" s="20"/>
      <c r="AC11333" s="20"/>
      <c r="AG11333" s="29"/>
    </row>
    <row r="11334" spans="2:33">
      <c r="B11334" s="29"/>
      <c r="D11334" s="29"/>
      <c r="E11334" s="20"/>
      <c r="F11334" s="20"/>
      <c r="AC11334" s="20"/>
      <c r="AG11334" s="29"/>
    </row>
    <row r="11335" spans="2:33">
      <c r="B11335" s="29"/>
      <c r="D11335" s="29"/>
      <c r="E11335" s="20"/>
      <c r="F11335" s="20"/>
      <c r="AC11335" s="20"/>
      <c r="AG11335" s="29"/>
    </row>
    <row r="11336" spans="2:33">
      <c r="B11336" s="29"/>
      <c r="D11336" s="29"/>
      <c r="E11336" s="20"/>
      <c r="F11336" s="20"/>
      <c r="AC11336" s="20"/>
      <c r="AG11336" s="29"/>
    </row>
    <row r="11337" spans="2:33">
      <c r="B11337" s="29"/>
      <c r="D11337" s="29"/>
      <c r="E11337" s="20"/>
      <c r="F11337" s="20"/>
      <c r="AC11337" s="20"/>
      <c r="AG11337" s="29"/>
    </row>
    <row r="11338" spans="2:33">
      <c r="B11338" s="29"/>
      <c r="D11338" s="29"/>
      <c r="E11338" s="20"/>
      <c r="F11338" s="20"/>
      <c r="AC11338" s="20"/>
      <c r="AG11338" s="29"/>
    </row>
    <row r="11339" spans="2:33">
      <c r="B11339" s="29"/>
      <c r="D11339" s="29"/>
      <c r="E11339" s="20"/>
      <c r="F11339" s="20"/>
      <c r="AC11339" s="20"/>
      <c r="AG11339" s="29"/>
    </row>
    <row r="11340" spans="2:33">
      <c r="B11340" s="29"/>
      <c r="D11340" s="29"/>
      <c r="E11340" s="20"/>
      <c r="F11340" s="20"/>
      <c r="AC11340" s="20"/>
      <c r="AG11340" s="29"/>
    </row>
    <row r="11341" spans="2:33">
      <c r="B11341" s="29"/>
      <c r="D11341" s="29"/>
      <c r="E11341" s="20"/>
      <c r="F11341" s="20"/>
      <c r="AC11341" s="20"/>
      <c r="AG11341" s="29"/>
    </row>
    <row r="11342" spans="2:33">
      <c r="B11342" s="29"/>
      <c r="D11342" s="29"/>
      <c r="E11342" s="20"/>
      <c r="F11342" s="20"/>
      <c r="AC11342" s="20"/>
      <c r="AG11342" s="29"/>
    </row>
    <row r="11343" spans="2:33">
      <c r="B11343" s="29"/>
      <c r="D11343" s="29"/>
      <c r="E11343" s="20"/>
      <c r="F11343" s="20"/>
      <c r="AC11343" s="20"/>
      <c r="AG11343" s="29"/>
    </row>
    <row r="11344" spans="2:33">
      <c r="B11344" s="29"/>
      <c r="D11344" s="29"/>
      <c r="E11344" s="20"/>
      <c r="F11344" s="20"/>
      <c r="AC11344" s="20"/>
      <c r="AG11344" s="29"/>
    </row>
    <row r="11345" spans="2:33">
      <c r="B11345" s="29"/>
      <c r="D11345" s="29"/>
      <c r="E11345" s="20"/>
      <c r="F11345" s="20"/>
      <c r="AC11345" s="20"/>
      <c r="AG11345" s="29"/>
    </row>
    <row r="11346" spans="2:33">
      <c r="B11346" s="29"/>
      <c r="D11346" s="29"/>
      <c r="E11346" s="20"/>
      <c r="F11346" s="20"/>
      <c r="AC11346" s="20"/>
      <c r="AG11346" s="29"/>
    </row>
    <row r="11347" spans="2:33">
      <c r="B11347" s="29"/>
      <c r="D11347" s="29"/>
      <c r="E11347" s="20"/>
      <c r="F11347" s="20"/>
      <c r="AC11347" s="20"/>
      <c r="AG11347" s="29"/>
    </row>
    <row r="11348" spans="2:33">
      <c r="B11348" s="29"/>
      <c r="D11348" s="29"/>
      <c r="E11348" s="20"/>
      <c r="F11348" s="20"/>
      <c r="AC11348" s="20"/>
      <c r="AG11348" s="29"/>
    </row>
    <row r="11349" spans="2:33">
      <c r="B11349" s="29"/>
      <c r="D11349" s="29"/>
      <c r="E11349" s="20"/>
      <c r="F11349" s="20"/>
      <c r="AC11349" s="20"/>
      <c r="AG11349" s="29"/>
    </row>
    <row r="11350" spans="2:33">
      <c r="B11350" s="29"/>
      <c r="D11350" s="29"/>
      <c r="E11350" s="20"/>
      <c r="F11350" s="20"/>
      <c r="AC11350" s="20"/>
      <c r="AG11350" s="29"/>
    </row>
    <row r="11351" spans="2:33">
      <c r="B11351" s="29"/>
      <c r="D11351" s="29"/>
      <c r="E11351" s="20"/>
      <c r="F11351" s="20"/>
      <c r="AC11351" s="20"/>
      <c r="AG11351" s="29"/>
    </row>
    <row r="11352" spans="2:33">
      <c r="B11352" s="29"/>
      <c r="D11352" s="29"/>
      <c r="E11352" s="20"/>
      <c r="F11352" s="20"/>
      <c r="AC11352" s="20"/>
      <c r="AG11352" s="29"/>
    </row>
    <row r="11353" spans="2:33">
      <c r="B11353" s="29"/>
      <c r="D11353" s="29"/>
      <c r="E11353" s="20"/>
      <c r="F11353" s="20"/>
      <c r="AC11353" s="20"/>
      <c r="AG11353" s="29"/>
    </row>
    <row r="11354" spans="2:33">
      <c r="B11354" s="29"/>
      <c r="D11354" s="29"/>
      <c r="E11354" s="20"/>
      <c r="F11354" s="20"/>
      <c r="AC11354" s="20"/>
      <c r="AG11354" s="29"/>
    </row>
    <row r="11355" spans="2:33">
      <c r="B11355" s="29"/>
      <c r="D11355" s="29"/>
      <c r="E11355" s="20"/>
      <c r="F11355" s="20"/>
      <c r="AC11355" s="20"/>
      <c r="AG11355" s="29"/>
    </row>
    <row r="11356" spans="2:33">
      <c r="B11356" s="29"/>
      <c r="D11356" s="29"/>
      <c r="E11356" s="20"/>
      <c r="F11356" s="20"/>
      <c r="AC11356" s="20"/>
      <c r="AG11356" s="29"/>
    </row>
    <row r="11357" spans="2:33">
      <c r="B11357" s="29"/>
      <c r="D11357" s="29"/>
      <c r="E11357" s="20"/>
      <c r="F11357" s="20"/>
      <c r="AC11357" s="20"/>
      <c r="AG11357" s="29"/>
    </row>
    <row r="11358" spans="2:33">
      <c r="B11358" s="29"/>
      <c r="D11358" s="29"/>
      <c r="E11358" s="20"/>
      <c r="F11358" s="20"/>
      <c r="AC11358" s="20"/>
      <c r="AG11358" s="29"/>
    </row>
    <row r="11359" spans="2:33">
      <c r="B11359" s="29"/>
      <c r="D11359" s="29"/>
      <c r="E11359" s="20"/>
      <c r="F11359" s="20"/>
      <c r="AC11359" s="20"/>
      <c r="AG11359" s="29"/>
    </row>
    <row r="11360" spans="2:33">
      <c r="B11360" s="29"/>
      <c r="D11360" s="29"/>
      <c r="E11360" s="20"/>
      <c r="F11360" s="20"/>
      <c r="AC11360" s="20"/>
      <c r="AG11360" s="29"/>
    </row>
    <row r="11361" spans="2:33">
      <c r="B11361" s="29"/>
      <c r="D11361" s="29"/>
      <c r="E11361" s="20"/>
      <c r="F11361" s="20"/>
      <c r="AC11361" s="20"/>
      <c r="AG11361" s="29"/>
    </row>
    <row r="11362" spans="2:33">
      <c r="B11362" s="29"/>
      <c r="D11362" s="29"/>
      <c r="E11362" s="20"/>
      <c r="F11362" s="20"/>
      <c r="AC11362" s="20"/>
      <c r="AG11362" s="29"/>
    </row>
    <row r="11363" spans="2:33">
      <c r="B11363" s="29"/>
      <c r="D11363" s="29"/>
      <c r="E11363" s="20"/>
      <c r="F11363" s="20"/>
      <c r="AC11363" s="20"/>
      <c r="AG11363" s="29"/>
    </row>
    <row r="11364" spans="2:33">
      <c r="B11364" s="29"/>
      <c r="D11364" s="29"/>
      <c r="E11364" s="20"/>
      <c r="F11364" s="20"/>
      <c r="AC11364" s="20"/>
      <c r="AG11364" s="29"/>
    </row>
    <row r="11365" spans="2:33">
      <c r="B11365" s="29"/>
      <c r="D11365" s="29"/>
      <c r="E11365" s="20"/>
      <c r="F11365" s="20"/>
      <c r="AC11365" s="20"/>
      <c r="AG11365" s="29"/>
    </row>
    <row r="11366" spans="2:33">
      <c r="B11366" s="29"/>
      <c r="D11366" s="29"/>
      <c r="E11366" s="20"/>
      <c r="F11366" s="20"/>
      <c r="AC11366" s="20"/>
      <c r="AG11366" s="29"/>
    </row>
    <row r="11367" spans="2:33">
      <c r="B11367" s="29"/>
      <c r="D11367" s="29"/>
      <c r="E11367" s="20"/>
      <c r="F11367" s="20"/>
      <c r="AC11367" s="20"/>
      <c r="AG11367" s="29"/>
    </row>
    <row r="11368" spans="2:33">
      <c r="B11368" s="29"/>
      <c r="D11368" s="29"/>
      <c r="E11368" s="20"/>
      <c r="F11368" s="20"/>
      <c r="AC11368" s="20"/>
      <c r="AG11368" s="29"/>
    </row>
    <row r="11369" spans="2:33">
      <c r="B11369" s="29"/>
      <c r="D11369" s="29"/>
      <c r="E11369" s="20"/>
      <c r="F11369" s="20"/>
      <c r="AC11369" s="20"/>
      <c r="AG11369" s="29"/>
    </row>
    <row r="11370" spans="2:33">
      <c r="B11370" s="29"/>
      <c r="D11370" s="29"/>
      <c r="E11370" s="20"/>
      <c r="F11370" s="20"/>
      <c r="AC11370" s="20"/>
      <c r="AG11370" s="29"/>
    </row>
    <row r="11371" spans="2:33">
      <c r="B11371" s="29"/>
      <c r="D11371" s="29"/>
      <c r="E11371" s="20"/>
      <c r="F11371" s="20"/>
      <c r="AC11371" s="20"/>
      <c r="AG11371" s="29"/>
    </row>
    <row r="11372" spans="2:33">
      <c r="B11372" s="29"/>
      <c r="D11372" s="29"/>
      <c r="E11372" s="20"/>
      <c r="F11372" s="20"/>
      <c r="AC11372" s="20"/>
      <c r="AG11372" s="29"/>
    </row>
    <row r="11373" spans="2:33">
      <c r="B11373" s="29"/>
      <c r="D11373" s="29"/>
      <c r="E11373" s="20"/>
      <c r="F11373" s="20"/>
      <c r="AC11373" s="20"/>
      <c r="AG11373" s="29"/>
    </row>
    <row r="11374" spans="2:33">
      <c r="B11374" s="29"/>
      <c r="D11374" s="29"/>
      <c r="E11374" s="20"/>
      <c r="F11374" s="20"/>
      <c r="AC11374" s="20"/>
      <c r="AG11374" s="29"/>
    </row>
    <row r="11375" spans="2:33">
      <c r="B11375" s="29"/>
      <c r="D11375" s="29"/>
      <c r="E11375" s="20"/>
      <c r="F11375" s="20"/>
      <c r="AC11375" s="20"/>
      <c r="AG11375" s="29"/>
    </row>
    <row r="11376" spans="2:33">
      <c r="B11376" s="29"/>
      <c r="D11376" s="29"/>
      <c r="E11376" s="20"/>
      <c r="F11376" s="20"/>
      <c r="AC11376" s="20"/>
      <c r="AG11376" s="29"/>
    </row>
    <row r="11377" spans="2:33">
      <c r="B11377" s="29"/>
      <c r="D11377" s="29"/>
      <c r="E11377" s="20"/>
      <c r="F11377" s="20"/>
      <c r="AC11377" s="20"/>
      <c r="AG11377" s="29"/>
    </row>
    <row r="11378" spans="2:33">
      <c r="B11378" s="29"/>
      <c r="D11378" s="29"/>
      <c r="E11378" s="20"/>
      <c r="F11378" s="20"/>
      <c r="AC11378" s="20"/>
      <c r="AG11378" s="29"/>
    </row>
    <row r="11379" spans="2:33">
      <c r="B11379" s="29"/>
      <c r="D11379" s="29"/>
      <c r="E11379" s="20"/>
      <c r="F11379" s="20"/>
      <c r="AC11379" s="20"/>
      <c r="AG11379" s="29"/>
    </row>
    <row r="11380" spans="2:33">
      <c r="B11380" s="29"/>
      <c r="D11380" s="29"/>
      <c r="E11380" s="20"/>
      <c r="F11380" s="20"/>
      <c r="AC11380" s="20"/>
      <c r="AG11380" s="29"/>
    </row>
    <row r="11381" spans="2:33">
      <c r="B11381" s="29"/>
      <c r="D11381" s="29"/>
      <c r="E11381" s="20"/>
      <c r="F11381" s="20"/>
      <c r="AC11381" s="20"/>
      <c r="AG11381" s="29"/>
    </row>
    <row r="11382" spans="2:33">
      <c r="B11382" s="29"/>
      <c r="D11382" s="29"/>
      <c r="E11382" s="20"/>
      <c r="F11382" s="20"/>
      <c r="AC11382" s="20"/>
      <c r="AG11382" s="29"/>
    </row>
    <row r="11383" spans="2:33">
      <c r="B11383" s="29"/>
      <c r="D11383" s="29"/>
      <c r="E11383" s="20"/>
      <c r="F11383" s="20"/>
      <c r="AC11383" s="20"/>
      <c r="AG11383" s="29"/>
    </row>
    <row r="11384" spans="2:33">
      <c r="B11384" s="29"/>
      <c r="D11384" s="29"/>
      <c r="E11384" s="20"/>
      <c r="F11384" s="20"/>
      <c r="AC11384" s="20"/>
      <c r="AG11384" s="29"/>
    </row>
    <row r="11385" spans="2:33">
      <c r="B11385" s="29"/>
      <c r="D11385" s="29"/>
      <c r="E11385" s="20"/>
      <c r="F11385" s="20"/>
      <c r="AC11385" s="20"/>
      <c r="AG11385" s="29"/>
    </row>
    <row r="11386" spans="2:33">
      <c r="B11386" s="29"/>
      <c r="D11386" s="29"/>
      <c r="E11386" s="20"/>
      <c r="F11386" s="20"/>
      <c r="AC11386" s="20"/>
      <c r="AG11386" s="29"/>
    </row>
    <row r="11387" spans="2:33">
      <c r="B11387" s="29"/>
      <c r="D11387" s="29"/>
      <c r="E11387" s="20"/>
      <c r="F11387" s="20"/>
      <c r="AC11387" s="20"/>
      <c r="AG11387" s="29"/>
    </row>
    <row r="11388" spans="2:33">
      <c r="B11388" s="29"/>
      <c r="D11388" s="29"/>
      <c r="E11388" s="20"/>
      <c r="F11388" s="20"/>
      <c r="AC11388" s="20"/>
      <c r="AG11388" s="29"/>
    </row>
    <row r="11389" spans="2:33">
      <c r="B11389" s="29"/>
      <c r="D11389" s="29"/>
      <c r="E11389" s="20"/>
      <c r="F11389" s="20"/>
      <c r="AC11389" s="20"/>
      <c r="AG11389" s="29"/>
    </row>
    <row r="11390" spans="2:33">
      <c r="B11390" s="29"/>
      <c r="D11390" s="29"/>
      <c r="E11390" s="20"/>
      <c r="F11390" s="20"/>
      <c r="AC11390" s="20"/>
      <c r="AG11390" s="29"/>
    </row>
    <row r="11391" spans="2:33">
      <c r="B11391" s="29"/>
      <c r="D11391" s="29"/>
      <c r="E11391" s="20"/>
      <c r="F11391" s="20"/>
      <c r="AC11391" s="20"/>
      <c r="AG11391" s="29"/>
    </row>
    <row r="11392" spans="2:33">
      <c r="B11392" s="29"/>
      <c r="D11392" s="29"/>
      <c r="E11392" s="20"/>
      <c r="F11392" s="20"/>
      <c r="AC11392" s="20"/>
      <c r="AG11392" s="29"/>
    </row>
    <row r="11393" spans="2:33">
      <c r="B11393" s="29"/>
      <c r="D11393" s="29"/>
      <c r="E11393" s="20"/>
      <c r="F11393" s="20"/>
      <c r="AC11393" s="20"/>
      <c r="AG11393" s="29"/>
    </row>
    <row r="11394" spans="2:33">
      <c r="B11394" s="29"/>
      <c r="D11394" s="29"/>
      <c r="E11394" s="20"/>
      <c r="F11394" s="20"/>
      <c r="AC11394" s="20"/>
      <c r="AG11394" s="29"/>
    </row>
    <row r="11395" spans="2:33">
      <c r="B11395" s="29"/>
      <c r="D11395" s="29"/>
      <c r="E11395" s="20"/>
      <c r="F11395" s="20"/>
      <c r="AC11395" s="20"/>
      <c r="AG11395" s="29"/>
    </row>
    <row r="11396" spans="2:33">
      <c r="B11396" s="29"/>
      <c r="D11396" s="29"/>
      <c r="E11396" s="20"/>
      <c r="F11396" s="20"/>
      <c r="AC11396" s="20"/>
      <c r="AG11396" s="29"/>
    </row>
    <row r="11397" spans="2:33">
      <c r="B11397" s="29"/>
      <c r="D11397" s="29"/>
      <c r="E11397" s="20"/>
      <c r="F11397" s="20"/>
      <c r="AC11397" s="20"/>
      <c r="AG11397" s="29"/>
    </row>
    <row r="11398" spans="2:33">
      <c r="B11398" s="29"/>
      <c r="D11398" s="29"/>
      <c r="E11398" s="20"/>
      <c r="F11398" s="20"/>
      <c r="AC11398" s="20"/>
      <c r="AG11398" s="29"/>
    </row>
    <row r="11399" spans="2:33">
      <c r="B11399" s="29"/>
      <c r="D11399" s="29"/>
      <c r="E11399" s="20"/>
      <c r="F11399" s="20"/>
      <c r="AC11399" s="20"/>
      <c r="AG11399" s="29"/>
    </row>
    <row r="11400" spans="2:33">
      <c r="B11400" s="29"/>
      <c r="D11400" s="29"/>
      <c r="E11400" s="20"/>
      <c r="F11400" s="20"/>
      <c r="AC11400" s="20"/>
      <c r="AG11400" s="29"/>
    </row>
    <row r="11401" spans="2:33">
      <c r="B11401" s="29"/>
      <c r="D11401" s="29"/>
      <c r="E11401" s="20"/>
      <c r="F11401" s="20"/>
      <c r="AC11401" s="20"/>
      <c r="AG11401" s="29"/>
    </row>
    <row r="11402" spans="2:33">
      <c r="B11402" s="29"/>
      <c r="D11402" s="29"/>
      <c r="E11402" s="20"/>
      <c r="F11402" s="20"/>
      <c r="AC11402" s="20"/>
      <c r="AG11402" s="29"/>
    </row>
    <row r="11403" spans="2:33">
      <c r="B11403" s="29"/>
      <c r="D11403" s="29"/>
      <c r="E11403" s="20"/>
      <c r="F11403" s="20"/>
      <c r="AC11403" s="20"/>
      <c r="AG11403" s="29"/>
    </row>
    <row r="11404" spans="2:33">
      <c r="B11404" s="29"/>
      <c r="D11404" s="29"/>
      <c r="E11404" s="20"/>
      <c r="F11404" s="20"/>
      <c r="AC11404" s="20"/>
      <c r="AG11404" s="29"/>
    </row>
    <row r="11405" spans="2:33">
      <c r="B11405" s="29"/>
      <c r="D11405" s="29"/>
      <c r="E11405" s="20"/>
      <c r="F11405" s="20"/>
      <c r="AC11405" s="20"/>
      <c r="AG11405" s="29"/>
    </row>
    <row r="11406" spans="2:33">
      <c r="B11406" s="29"/>
      <c r="D11406" s="29"/>
      <c r="E11406" s="20"/>
      <c r="F11406" s="20"/>
      <c r="AC11406" s="20"/>
      <c r="AG11406" s="29"/>
    </row>
    <row r="11407" spans="2:33">
      <c r="B11407" s="29"/>
      <c r="D11407" s="29"/>
      <c r="E11407" s="20"/>
      <c r="F11407" s="20"/>
      <c r="AC11407" s="20"/>
      <c r="AG11407" s="29"/>
    </row>
    <row r="11408" spans="2:33">
      <c r="B11408" s="29"/>
      <c r="D11408" s="29"/>
      <c r="E11408" s="20"/>
      <c r="F11408" s="20"/>
      <c r="AC11408" s="20"/>
      <c r="AG11408" s="29"/>
    </row>
    <row r="11409" spans="2:33">
      <c r="B11409" s="29"/>
      <c r="D11409" s="29"/>
      <c r="E11409" s="20"/>
      <c r="F11409" s="20"/>
      <c r="AC11409" s="20"/>
      <c r="AG11409" s="29"/>
    </row>
    <row r="11410" spans="2:33">
      <c r="B11410" s="29"/>
      <c r="D11410" s="29"/>
      <c r="E11410" s="20"/>
      <c r="F11410" s="20"/>
      <c r="AC11410" s="20"/>
      <c r="AG11410" s="29"/>
    </row>
    <row r="11411" spans="2:33">
      <c r="B11411" s="29"/>
      <c r="D11411" s="29"/>
      <c r="E11411" s="20"/>
      <c r="F11411" s="20"/>
      <c r="AC11411" s="20"/>
      <c r="AG11411" s="29"/>
    </row>
    <row r="11412" spans="2:33">
      <c r="B11412" s="29"/>
      <c r="D11412" s="29"/>
      <c r="E11412" s="20"/>
      <c r="F11412" s="20"/>
      <c r="AC11412" s="20"/>
      <c r="AG11412" s="29"/>
    </row>
    <row r="11413" spans="2:33">
      <c r="B11413" s="29"/>
      <c r="D11413" s="29"/>
      <c r="E11413" s="20"/>
      <c r="F11413" s="20"/>
      <c r="AC11413" s="20"/>
      <c r="AG11413" s="29"/>
    </row>
    <row r="11414" spans="2:33">
      <c r="B11414" s="29"/>
      <c r="D11414" s="29"/>
      <c r="E11414" s="20"/>
      <c r="F11414" s="20"/>
      <c r="AC11414" s="20"/>
      <c r="AG11414" s="29"/>
    </row>
    <row r="11415" spans="2:33">
      <c r="B11415" s="29"/>
      <c r="D11415" s="29"/>
      <c r="E11415" s="20"/>
      <c r="F11415" s="20"/>
      <c r="AC11415" s="20"/>
      <c r="AG11415" s="29"/>
    </row>
    <row r="11416" spans="2:33">
      <c r="B11416" s="29"/>
      <c r="D11416" s="29"/>
      <c r="E11416" s="20"/>
      <c r="F11416" s="20"/>
      <c r="AC11416" s="20"/>
      <c r="AG11416" s="29"/>
    </row>
    <row r="11417" spans="2:33">
      <c r="B11417" s="29"/>
      <c r="D11417" s="29"/>
      <c r="E11417" s="20"/>
      <c r="F11417" s="20"/>
      <c r="AC11417" s="20"/>
      <c r="AG11417" s="29"/>
    </row>
    <row r="11418" spans="2:33">
      <c r="B11418" s="29"/>
      <c r="D11418" s="29"/>
      <c r="E11418" s="20"/>
      <c r="F11418" s="20"/>
      <c r="AC11418" s="20"/>
      <c r="AG11418" s="29"/>
    </row>
    <row r="11419" spans="2:33">
      <c r="B11419" s="29"/>
      <c r="D11419" s="29"/>
      <c r="E11419" s="20"/>
      <c r="F11419" s="20"/>
      <c r="AC11419" s="20"/>
      <c r="AG11419" s="29"/>
    </row>
    <row r="11420" spans="2:33">
      <c r="B11420" s="29"/>
      <c r="D11420" s="29"/>
      <c r="E11420" s="20"/>
      <c r="F11420" s="20"/>
      <c r="AC11420" s="20"/>
      <c r="AG11420" s="29"/>
    </row>
    <row r="11421" spans="2:33">
      <c r="B11421" s="29"/>
      <c r="D11421" s="29"/>
      <c r="E11421" s="20"/>
      <c r="F11421" s="20"/>
      <c r="AC11421" s="20"/>
      <c r="AG11421" s="29"/>
    </row>
    <row r="11422" spans="2:33">
      <c r="B11422" s="29"/>
      <c r="D11422" s="29"/>
      <c r="E11422" s="20"/>
      <c r="F11422" s="20"/>
      <c r="AC11422" s="20"/>
      <c r="AG11422" s="29"/>
    </row>
    <row r="11423" spans="2:33">
      <c r="B11423" s="29"/>
      <c r="D11423" s="29"/>
      <c r="E11423" s="20"/>
      <c r="F11423" s="20"/>
      <c r="AC11423" s="20"/>
      <c r="AG11423" s="29"/>
    </row>
    <row r="11424" spans="2:33">
      <c r="B11424" s="29"/>
      <c r="D11424" s="29"/>
      <c r="E11424" s="20"/>
      <c r="F11424" s="20"/>
      <c r="AC11424" s="20"/>
      <c r="AG11424" s="29"/>
    </row>
    <row r="11425" spans="2:33">
      <c r="B11425" s="29"/>
      <c r="D11425" s="29"/>
      <c r="E11425" s="20"/>
      <c r="F11425" s="20"/>
      <c r="AC11425" s="20"/>
      <c r="AG11425" s="29"/>
    </row>
    <row r="11426" spans="2:33">
      <c r="B11426" s="29"/>
      <c r="D11426" s="29"/>
      <c r="E11426" s="20"/>
      <c r="F11426" s="20"/>
      <c r="AC11426" s="20"/>
      <c r="AG11426" s="29"/>
    </row>
    <row r="11427" spans="2:33">
      <c r="B11427" s="29"/>
      <c r="D11427" s="29"/>
      <c r="E11427" s="20"/>
      <c r="F11427" s="20"/>
      <c r="AC11427" s="20"/>
      <c r="AG11427" s="29"/>
    </row>
    <row r="11428" spans="2:33">
      <c r="B11428" s="29"/>
      <c r="D11428" s="29"/>
      <c r="E11428" s="20"/>
      <c r="F11428" s="20"/>
      <c r="AC11428" s="20"/>
      <c r="AG11428" s="29"/>
    </row>
    <row r="11429" spans="2:33">
      <c r="B11429" s="29"/>
      <c r="D11429" s="29"/>
      <c r="E11429" s="20"/>
      <c r="F11429" s="20"/>
      <c r="AC11429" s="20"/>
      <c r="AG11429" s="29"/>
    </row>
    <row r="11430" spans="2:33">
      <c r="B11430" s="29"/>
      <c r="D11430" s="29"/>
      <c r="E11430" s="20"/>
      <c r="F11430" s="20"/>
      <c r="AC11430" s="20"/>
      <c r="AG11430" s="29"/>
    </row>
    <row r="11431" spans="2:33">
      <c r="B11431" s="29"/>
      <c r="D11431" s="29"/>
      <c r="E11431" s="20"/>
      <c r="F11431" s="20"/>
      <c r="AC11431" s="20"/>
      <c r="AG11431" s="29"/>
    </row>
    <row r="11432" spans="2:33">
      <c r="B11432" s="29"/>
      <c r="D11432" s="29"/>
      <c r="E11432" s="20"/>
      <c r="F11432" s="20"/>
      <c r="AC11432" s="20"/>
      <c r="AG11432" s="29"/>
    </row>
    <row r="11433" spans="2:33">
      <c r="B11433" s="29"/>
      <c r="D11433" s="29"/>
      <c r="E11433" s="20"/>
      <c r="F11433" s="20"/>
      <c r="AC11433" s="20"/>
      <c r="AG11433" s="29"/>
    </row>
    <row r="11434" spans="2:33">
      <c r="B11434" s="29"/>
      <c r="D11434" s="29"/>
      <c r="E11434" s="20"/>
      <c r="F11434" s="20"/>
      <c r="AC11434" s="20"/>
      <c r="AG11434" s="29"/>
    </row>
    <row r="11435" spans="2:33">
      <c r="B11435" s="29"/>
      <c r="D11435" s="29"/>
      <c r="E11435" s="20"/>
      <c r="F11435" s="20"/>
      <c r="AC11435" s="20"/>
      <c r="AG11435" s="29"/>
    </row>
    <row r="11436" spans="2:33">
      <c r="B11436" s="29"/>
      <c r="D11436" s="29"/>
      <c r="E11436" s="20"/>
      <c r="F11436" s="20"/>
      <c r="AC11436" s="20"/>
      <c r="AG11436" s="29"/>
    </row>
    <row r="11437" spans="2:33">
      <c r="B11437" s="29"/>
      <c r="D11437" s="29"/>
      <c r="E11437" s="20"/>
      <c r="F11437" s="20"/>
      <c r="AC11437" s="20"/>
      <c r="AG11437" s="29"/>
    </row>
    <row r="11438" spans="2:33">
      <c r="B11438" s="29"/>
      <c r="D11438" s="29"/>
      <c r="E11438" s="20"/>
      <c r="F11438" s="20"/>
      <c r="AC11438" s="20"/>
      <c r="AG11438" s="29"/>
    </row>
    <row r="11439" spans="2:33">
      <c r="B11439" s="29"/>
      <c r="D11439" s="29"/>
      <c r="E11439" s="20"/>
      <c r="F11439" s="20"/>
      <c r="AC11439" s="20"/>
      <c r="AG11439" s="29"/>
    </row>
    <row r="11440" spans="2:33">
      <c r="B11440" s="29"/>
      <c r="D11440" s="29"/>
      <c r="E11440" s="20"/>
      <c r="F11440" s="20"/>
      <c r="AC11440" s="20"/>
      <c r="AG11440" s="29"/>
    </row>
    <row r="11441" spans="2:33">
      <c r="B11441" s="29"/>
      <c r="D11441" s="29"/>
      <c r="E11441" s="20"/>
      <c r="F11441" s="20"/>
      <c r="AC11441" s="20"/>
      <c r="AG11441" s="29"/>
    </row>
    <row r="11442" spans="2:33">
      <c r="B11442" s="29"/>
      <c r="D11442" s="29"/>
      <c r="E11442" s="20"/>
      <c r="F11442" s="20"/>
      <c r="AC11442" s="20"/>
      <c r="AG11442" s="29"/>
    </row>
    <row r="11443" spans="2:33">
      <c r="B11443" s="29"/>
      <c r="D11443" s="29"/>
      <c r="E11443" s="20"/>
      <c r="F11443" s="20"/>
      <c r="AC11443" s="20"/>
      <c r="AG11443" s="29"/>
    </row>
    <row r="11444" spans="2:33">
      <c r="B11444" s="29"/>
      <c r="D11444" s="29"/>
      <c r="E11444" s="20"/>
      <c r="F11444" s="20"/>
      <c r="AC11444" s="20"/>
      <c r="AG11444" s="29"/>
    </row>
    <row r="11445" spans="2:33">
      <c r="B11445" s="29"/>
      <c r="D11445" s="29"/>
      <c r="E11445" s="20"/>
      <c r="F11445" s="20"/>
      <c r="AC11445" s="20"/>
      <c r="AG11445" s="29"/>
    </row>
    <row r="11446" spans="2:33">
      <c r="B11446" s="29"/>
      <c r="D11446" s="29"/>
      <c r="E11446" s="20"/>
      <c r="F11446" s="20"/>
      <c r="AC11446" s="20"/>
      <c r="AG11446" s="29"/>
    </row>
    <row r="11447" spans="2:33">
      <c r="B11447" s="29"/>
      <c r="D11447" s="29"/>
      <c r="E11447" s="20"/>
      <c r="F11447" s="20"/>
      <c r="AC11447" s="20"/>
      <c r="AG11447" s="29"/>
    </row>
    <row r="11448" spans="2:33">
      <c r="B11448" s="29"/>
      <c r="D11448" s="29"/>
      <c r="E11448" s="20"/>
      <c r="F11448" s="20"/>
      <c r="AC11448" s="20"/>
      <c r="AG11448" s="29"/>
    </row>
    <row r="11449" spans="2:33">
      <c r="B11449" s="29"/>
      <c r="D11449" s="29"/>
      <c r="E11449" s="20"/>
      <c r="F11449" s="20"/>
      <c r="AC11449" s="20"/>
      <c r="AG11449" s="29"/>
    </row>
    <row r="11450" spans="2:33">
      <c r="B11450" s="29"/>
      <c r="D11450" s="29"/>
      <c r="E11450" s="20"/>
      <c r="F11450" s="20"/>
      <c r="AC11450" s="20"/>
      <c r="AG11450" s="29"/>
    </row>
    <row r="11451" spans="2:33">
      <c r="B11451" s="29"/>
      <c r="D11451" s="29"/>
      <c r="E11451" s="20"/>
      <c r="F11451" s="20"/>
      <c r="AC11451" s="20"/>
      <c r="AG11451" s="29"/>
    </row>
    <row r="11452" spans="2:33">
      <c r="B11452" s="29"/>
      <c r="D11452" s="29"/>
      <c r="E11452" s="20"/>
      <c r="F11452" s="20"/>
      <c r="AC11452" s="20"/>
      <c r="AG11452" s="29"/>
    </row>
    <row r="11453" spans="2:33">
      <c r="B11453" s="29"/>
      <c r="D11453" s="29"/>
      <c r="E11453" s="20"/>
      <c r="F11453" s="20"/>
      <c r="AC11453" s="20"/>
      <c r="AG11453" s="29"/>
    </row>
    <row r="11454" spans="2:33">
      <c r="B11454" s="29"/>
      <c r="D11454" s="29"/>
      <c r="E11454" s="20"/>
      <c r="F11454" s="20"/>
      <c r="AC11454" s="20"/>
      <c r="AG11454" s="29"/>
    </row>
    <row r="11455" spans="2:33">
      <c r="B11455" s="29"/>
      <c r="D11455" s="29"/>
      <c r="E11455" s="20"/>
      <c r="F11455" s="20"/>
      <c r="AC11455" s="20"/>
      <c r="AG11455" s="29"/>
    </row>
    <row r="11456" spans="2:33">
      <c r="B11456" s="29"/>
      <c r="D11456" s="29"/>
      <c r="E11456" s="20"/>
      <c r="F11456" s="20"/>
      <c r="AC11456" s="20"/>
      <c r="AG11456" s="29"/>
    </row>
    <row r="11457" spans="2:33">
      <c r="B11457" s="29"/>
      <c r="D11457" s="29"/>
      <c r="E11457" s="20"/>
      <c r="F11457" s="20"/>
      <c r="AC11457" s="20"/>
      <c r="AG11457" s="29"/>
    </row>
    <row r="11458" spans="2:33">
      <c r="B11458" s="29"/>
      <c r="D11458" s="29"/>
      <c r="E11458" s="20"/>
      <c r="F11458" s="20"/>
      <c r="AC11458" s="20"/>
      <c r="AG11458" s="29"/>
    </row>
    <row r="11459" spans="2:33">
      <c r="B11459" s="29"/>
      <c r="D11459" s="29"/>
      <c r="E11459" s="20"/>
      <c r="F11459" s="20"/>
      <c r="AC11459" s="20"/>
      <c r="AG11459" s="29"/>
    </row>
    <row r="11460" spans="2:33">
      <c r="B11460" s="29"/>
      <c r="D11460" s="29"/>
      <c r="E11460" s="20"/>
      <c r="F11460" s="20"/>
      <c r="AC11460" s="20"/>
      <c r="AG11460" s="29"/>
    </row>
    <row r="11461" spans="2:33">
      <c r="B11461" s="29"/>
      <c r="D11461" s="29"/>
      <c r="E11461" s="20"/>
      <c r="F11461" s="20"/>
      <c r="AC11461" s="20"/>
      <c r="AG11461" s="29"/>
    </row>
    <row r="11462" spans="2:33">
      <c r="B11462" s="29"/>
      <c r="D11462" s="29"/>
      <c r="E11462" s="20"/>
      <c r="F11462" s="20"/>
      <c r="AC11462" s="20"/>
      <c r="AG11462" s="29"/>
    </row>
    <row r="11463" spans="2:33">
      <c r="B11463" s="29"/>
      <c r="D11463" s="29"/>
      <c r="E11463" s="20"/>
      <c r="F11463" s="20"/>
      <c r="AC11463" s="20"/>
      <c r="AG11463" s="29"/>
    </row>
    <row r="11464" spans="2:33">
      <c r="B11464" s="29"/>
      <c r="D11464" s="29"/>
      <c r="E11464" s="20"/>
      <c r="F11464" s="20"/>
      <c r="AC11464" s="20"/>
      <c r="AG11464" s="29"/>
    </row>
    <row r="11465" spans="2:33">
      <c r="B11465" s="29"/>
      <c r="D11465" s="29"/>
      <c r="E11465" s="20"/>
      <c r="F11465" s="20"/>
      <c r="AC11465" s="20"/>
      <c r="AG11465" s="29"/>
    </row>
    <row r="11466" spans="2:33">
      <c r="B11466" s="29"/>
      <c r="D11466" s="29"/>
      <c r="E11466" s="20"/>
      <c r="F11466" s="20"/>
      <c r="AC11466" s="20"/>
      <c r="AG11466" s="29"/>
    </row>
    <row r="11467" spans="2:33">
      <c r="B11467" s="29"/>
      <c r="D11467" s="29"/>
      <c r="E11467" s="20"/>
      <c r="F11467" s="20"/>
      <c r="AC11467" s="20"/>
      <c r="AG11467" s="29"/>
    </row>
    <row r="11468" spans="2:33">
      <c r="B11468" s="29"/>
      <c r="D11468" s="29"/>
      <c r="E11468" s="20"/>
      <c r="F11468" s="20"/>
      <c r="AC11468" s="20"/>
      <c r="AG11468" s="29"/>
    </row>
    <row r="11469" spans="2:33">
      <c r="B11469" s="29"/>
      <c r="D11469" s="29"/>
      <c r="E11469" s="20"/>
      <c r="F11469" s="20"/>
      <c r="AC11469" s="20"/>
      <c r="AG11469" s="29"/>
    </row>
    <row r="11470" spans="2:33">
      <c r="B11470" s="29"/>
      <c r="D11470" s="29"/>
      <c r="E11470" s="20"/>
      <c r="F11470" s="20"/>
      <c r="AC11470" s="20"/>
      <c r="AG11470" s="29"/>
    </row>
    <row r="11471" spans="2:33">
      <c r="B11471" s="29"/>
      <c r="D11471" s="29"/>
      <c r="E11471" s="20"/>
      <c r="F11471" s="20"/>
      <c r="AC11471" s="20"/>
      <c r="AG11471" s="29"/>
    </row>
    <row r="11472" spans="2:33">
      <c r="B11472" s="29"/>
      <c r="D11472" s="29"/>
      <c r="E11472" s="20"/>
      <c r="F11472" s="20"/>
      <c r="AC11472" s="20"/>
      <c r="AG11472" s="29"/>
    </row>
    <row r="11473" spans="2:33">
      <c r="B11473" s="29"/>
      <c r="D11473" s="29"/>
      <c r="E11473" s="20"/>
      <c r="F11473" s="20"/>
      <c r="AC11473" s="20"/>
      <c r="AG11473" s="29"/>
    </row>
    <row r="11474" spans="2:33">
      <c r="B11474" s="29"/>
      <c r="D11474" s="29"/>
      <c r="E11474" s="20"/>
      <c r="F11474" s="20"/>
      <c r="AC11474" s="20"/>
      <c r="AG11474" s="29"/>
    </row>
    <row r="11475" spans="2:33">
      <c r="B11475" s="29"/>
      <c r="D11475" s="29"/>
      <c r="E11475" s="20"/>
      <c r="F11475" s="20"/>
      <c r="AC11475" s="20"/>
      <c r="AG11475" s="29"/>
    </row>
    <row r="11476" spans="2:33">
      <c r="B11476" s="29"/>
      <c r="D11476" s="29"/>
      <c r="E11476" s="20"/>
      <c r="F11476" s="20"/>
      <c r="AC11476" s="20"/>
      <c r="AG11476" s="29"/>
    </row>
    <row r="11477" spans="2:33">
      <c r="B11477" s="29"/>
      <c r="D11477" s="29"/>
      <c r="E11477" s="20"/>
      <c r="F11477" s="20"/>
      <c r="AC11477" s="20"/>
      <c r="AG11477" s="29"/>
    </row>
    <row r="11478" spans="2:33">
      <c r="B11478" s="29"/>
      <c r="D11478" s="29"/>
      <c r="E11478" s="20"/>
      <c r="F11478" s="20"/>
      <c r="AC11478" s="20"/>
      <c r="AG11478" s="29"/>
    </row>
    <row r="11479" spans="2:33">
      <c r="B11479" s="29"/>
      <c r="D11479" s="29"/>
      <c r="E11479" s="20"/>
      <c r="F11479" s="20"/>
      <c r="AC11479" s="20"/>
      <c r="AG11479" s="29"/>
    </row>
    <row r="11480" spans="2:33">
      <c r="B11480" s="29"/>
      <c r="D11480" s="29"/>
      <c r="E11480" s="20"/>
      <c r="F11480" s="20"/>
      <c r="AC11480" s="20"/>
      <c r="AG11480" s="29"/>
    </row>
    <row r="11481" spans="2:33">
      <c r="B11481" s="29"/>
      <c r="D11481" s="29"/>
      <c r="E11481" s="20"/>
      <c r="F11481" s="20"/>
      <c r="AC11481" s="20"/>
      <c r="AG11481" s="29"/>
    </row>
    <row r="11482" spans="2:33">
      <c r="B11482" s="29"/>
      <c r="D11482" s="29"/>
      <c r="E11482" s="20"/>
      <c r="F11482" s="20"/>
      <c r="AC11482" s="20"/>
      <c r="AG11482" s="29"/>
    </row>
    <row r="11483" spans="2:33">
      <c r="B11483" s="29"/>
      <c r="D11483" s="29"/>
      <c r="E11483" s="20"/>
      <c r="F11483" s="20"/>
      <c r="AC11483" s="20"/>
      <c r="AG11483" s="29"/>
    </row>
    <row r="11484" spans="2:33">
      <c r="B11484" s="29"/>
      <c r="D11484" s="29"/>
      <c r="E11484" s="20"/>
      <c r="F11484" s="20"/>
      <c r="AC11484" s="20"/>
      <c r="AG11484" s="29"/>
    </row>
    <row r="11485" spans="2:33">
      <c r="B11485" s="29"/>
      <c r="D11485" s="29"/>
      <c r="E11485" s="20"/>
      <c r="F11485" s="20"/>
      <c r="AC11485" s="20"/>
      <c r="AG11485" s="29"/>
    </row>
    <row r="11486" spans="2:33">
      <c r="B11486" s="29"/>
      <c r="D11486" s="29"/>
      <c r="E11486" s="20"/>
      <c r="F11486" s="20"/>
      <c r="AC11486" s="20"/>
      <c r="AG11486" s="29"/>
    </row>
    <row r="11487" spans="2:33">
      <c r="B11487" s="29"/>
      <c r="D11487" s="29"/>
      <c r="E11487" s="20"/>
      <c r="F11487" s="20"/>
      <c r="AC11487" s="20"/>
      <c r="AG11487" s="29"/>
    </row>
    <row r="11488" spans="2:33">
      <c r="B11488" s="29"/>
      <c r="D11488" s="29"/>
      <c r="E11488" s="20"/>
      <c r="F11488" s="20"/>
      <c r="AC11488" s="20"/>
      <c r="AG11488" s="29"/>
    </row>
    <row r="11489" spans="2:33">
      <c r="B11489" s="29"/>
      <c r="D11489" s="29"/>
      <c r="E11489" s="20"/>
      <c r="F11489" s="20"/>
      <c r="AC11489" s="20"/>
      <c r="AG11489" s="29"/>
    </row>
    <row r="11490" spans="2:33">
      <c r="B11490" s="29"/>
      <c r="D11490" s="29"/>
      <c r="E11490" s="20"/>
      <c r="F11490" s="20"/>
      <c r="AC11490" s="20"/>
      <c r="AG11490" s="29"/>
    </row>
    <row r="11491" spans="2:33">
      <c r="B11491" s="29"/>
      <c r="D11491" s="29"/>
      <c r="E11491" s="20"/>
      <c r="F11491" s="20"/>
      <c r="AC11491" s="20"/>
      <c r="AG11491" s="29"/>
    </row>
    <row r="11492" spans="2:33">
      <c r="B11492" s="29"/>
      <c r="D11492" s="29"/>
      <c r="E11492" s="20"/>
      <c r="F11492" s="20"/>
      <c r="AC11492" s="20"/>
      <c r="AG11492" s="29"/>
    </row>
    <row r="11493" spans="2:33">
      <c r="B11493" s="29"/>
      <c r="D11493" s="29"/>
      <c r="E11493" s="20"/>
      <c r="F11493" s="20"/>
      <c r="AC11493" s="20"/>
      <c r="AG11493" s="29"/>
    </row>
    <row r="11494" spans="2:33">
      <c r="B11494" s="29"/>
      <c r="D11494" s="29"/>
      <c r="E11494" s="20"/>
      <c r="F11494" s="20"/>
      <c r="AC11494" s="20"/>
      <c r="AG11494" s="29"/>
    </row>
    <row r="11495" spans="2:33">
      <c r="B11495" s="29"/>
      <c r="D11495" s="29"/>
      <c r="E11495" s="20"/>
      <c r="F11495" s="20"/>
      <c r="AC11495" s="20"/>
      <c r="AG11495" s="29"/>
    </row>
    <row r="11496" spans="2:33">
      <c r="B11496" s="29"/>
      <c r="D11496" s="29"/>
      <c r="E11496" s="20"/>
      <c r="F11496" s="20"/>
      <c r="AC11496" s="20"/>
      <c r="AG11496" s="29"/>
    </row>
    <row r="11497" spans="2:33">
      <c r="B11497" s="29"/>
      <c r="D11497" s="29"/>
      <c r="E11497" s="20"/>
      <c r="F11497" s="20"/>
      <c r="AC11497" s="20"/>
      <c r="AG11497" s="29"/>
    </row>
    <row r="11498" spans="2:33">
      <c r="B11498" s="29"/>
      <c r="D11498" s="29"/>
      <c r="E11498" s="20"/>
      <c r="F11498" s="20"/>
      <c r="AC11498" s="20"/>
      <c r="AG11498" s="29"/>
    </row>
    <row r="11499" spans="2:33">
      <c r="B11499" s="29"/>
      <c r="D11499" s="29"/>
      <c r="E11499" s="20"/>
      <c r="F11499" s="20"/>
      <c r="AC11499" s="20"/>
      <c r="AG11499" s="29"/>
    </row>
    <row r="11500" spans="2:33">
      <c r="B11500" s="29"/>
      <c r="D11500" s="29"/>
      <c r="E11500" s="20"/>
      <c r="F11500" s="20"/>
      <c r="AC11500" s="20"/>
      <c r="AG11500" s="29"/>
    </row>
    <row r="11501" spans="2:33">
      <c r="B11501" s="29"/>
      <c r="D11501" s="29"/>
      <c r="E11501" s="20"/>
      <c r="F11501" s="20"/>
      <c r="AC11501" s="20"/>
      <c r="AG11501" s="29"/>
    </row>
    <row r="11502" spans="2:33">
      <c r="B11502" s="29"/>
      <c r="D11502" s="29"/>
      <c r="E11502" s="20"/>
      <c r="F11502" s="20"/>
      <c r="AC11502" s="20"/>
      <c r="AG11502" s="29"/>
    </row>
    <row r="11503" spans="2:33">
      <c r="B11503" s="29"/>
      <c r="D11503" s="29"/>
      <c r="E11503" s="20"/>
      <c r="F11503" s="20"/>
      <c r="AC11503" s="20"/>
      <c r="AG11503" s="29"/>
    </row>
    <row r="11504" spans="2:33">
      <c r="B11504" s="29"/>
      <c r="D11504" s="29"/>
      <c r="E11504" s="20"/>
      <c r="F11504" s="20"/>
      <c r="AC11504" s="20"/>
      <c r="AG11504" s="29"/>
    </row>
    <row r="11505" spans="2:33">
      <c r="B11505" s="29"/>
      <c r="D11505" s="29"/>
      <c r="E11505" s="20"/>
      <c r="F11505" s="20"/>
      <c r="AC11505" s="20"/>
      <c r="AG11505" s="29"/>
    </row>
    <row r="11506" spans="2:33">
      <c r="B11506" s="29"/>
      <c r="D11506" s="29"/>
      <c r="E11506" s="20"/>
      <c r="F11506" s="20"/>
      <c r="AC11506" s="20"/>
      <c r="AG11506" s="29"/>
    </row>
    <row r="11507" spans="2:33">
      <c r="B11507" s="29"/>
      <c r="D11507" s="29"/>
      <c r="E11507" s="20"/>
      <c r="F11507" s="20"/>
      <c r="AC11507" s="20"/>
      <c r="AG11507" s="29"/>
    </row>
    <row r="11508" spans="2:33">
      <c r="B11508" s="29"/>
      <c r="D11508" s="29"/>
      <c r="E11508" s="20"/>
      <c r="F11508" s="20"/>
      <c r="AC11508" s="20"/>
      <c r="AG11508" s="29"/>
    </row>
    <row r="11509" spans="2:33">
      <c r="B11509" s="29"/>
      <c r="D11509" s="29"/>
      <c r="E11509" s="20"/>
      <c r="F11509" s="20"/>
      <c r="AC11509" s="20"/>
      <c r="AG11509" s="29"/>
    </row>
    <row r="11510" spans="2:33">
      <c r="B11510" s="29"/>
      <c r="D11510" s="29"/>
      <c r="E11510" s="20"/>
      <c r="F11510" s="20"/>
      <c r="AC11510" s="20"/>
      <c r="AG11510" s="29"/>
    </row>
    <row r="11511" spans="2:33">
      <c r="B11511" s="29"/>
      <c r="D11511" s="29"/>
      <c r="E11511" s="20"/>
      <c r="F11511" s="20"/>
      <c r="AC11511" s="20"/>
      <c r="AG11511" s="29"/>
    </row>
    <row r="11512" spans="2:33">
      <c r="B11512" s="29"/>
      <c r="D11512" s="29"/>
      <c r="E11512" s="20"/>
      <c r="F11512" s="20"/>
      <c r="AC11512" s="20"/>
      <c r="AG11512" s="29"/>
    </row>
    <row r="11513" spans="2:33">
      <c r="B11513" s="29"/>
      <c r="D11513" s="29"/>
      <c r="E11513" s="20"/>
      <c r="F11513" s="20"/>
      <c r="AC11513" s="20"/>
      <c r="AG11513" s="29"/>
    </row>
    <row r="11514" spans="2:33">
      <c r="B11514" s="29"/>
      <c r="D11514" s="29"/>
      <c r="E11514" s="20"/>
      <c r="F11514" s="20"/>
      <c r="AC11514" s="20"/>
      <c r="AG11514" s="29"/>
    </row>
    <row r="11515" spans="2:33">
      <c r="B11515" s="29"/>
      <c r="D11515" s="29"/>
      <c r="E11515" s="20"/>
      <c r="F11515" s="20"/>
      <c r="AC11515" s="20"/>
      <c r="AG11515" s="29"/>
    </row>
    <row r="11516" spans="2:33">
      <c r="B11516" s="29"/>
      <c r="D11516" s="29"/>
      <c r="E11516" s="20"/>
      <c r="F11516" s="20"/>
      <c r="AC11516" s="20"/>
      <c r="AG11516" s="29"/>
    </row>
    <row r="11517" spans="2:33">
      <c r="B11517" s="29"/>
      <c r="D11517" s="29"/>
      <c r="E11517" s="20"/>
      <c r="F11517" s="20"/>
      <c r="AC11517" s="20"/>
      <c r="AG11517" s="29"/>
    </row>
    <row r="11518" spans="2:33">
      <c r="B11518" s="29"/>
      <c r="D11518" s="29"/>
      <c r="E11518" s="20"/>
      <c r="F11518" s="20"/>
      <c r="AC11518" s="20"/>
      <c r="AG11518" s="29"/>
    </row>
    <row r="11519" spans="2:33">
      <c r="B11519" s="29"/>
      <c r="D11519" s="29"/>
      <c r="E11519" s="20"/>
      <c r="F11519" s="20"/>
      <c r="AC11519" s="20"/>
      <c r="AG11519" s="29"/>
    </row>
    <row r="11520" spans="2:33">
      <c r="B11520" s="29"/>
      <c r="D11520" s="29"/>
      <c r="E11520" s="20"/>
      <c r="F11520" s="20"/>
      <c r="AC11520" s="20"/>
      <c r="AG11520" s="29"/>
    </row>
    <row r="11521" spans="2:33">
      <c r="B11521" s="29"/>
      <c r="D11521" s="29"/>
      <c r="E11521" s="20"/>
      <c r="F11521" s="20"/>
      <c r="AC11521" s="20"/>
      <c r="AG11521" s="29"/>
    </row>
    <row r="11522" spans="2:33">
      <c r="B11522" s="29"/>
      <c r="D11522" s="29"/>
      <c r="E11522" s="20"/>
      <c r="F11522" s="20"/>
      <c r="AC11522" s="20"/>
      <c r="AG11522" s="29"/>
    </row>
    <row r="11523" spans="2:33">
      <c r="B11523" s="29"/>
      <c r="D11523" s="29"/>
      <c r="E11523" s="20"/>
      <c r="F11523" s="20"/>
      <c r="AC11523" s="20"/>
      <c r="AG11523" s="29"/>
    </row>
    <row r="11524" spans="2:33">
      <c r="B11524" s="29"/>
      <c r="D11524" s="29"/>
      <c r="E11524" s="20"/>
      <c r="F11524" s="20"/>
      <c r="AC11524" s="20"/>
      <c r="AG11524" s="29"/>
    </row>
    <row r="11525" spans="2:33">
      <c r="B11525" s="29"/>
      <c r="D11525" s="29"/>
      <c r="E11525" s="20"/>
      <c r="F11525" s="20"/>
      <c r="AC11525" s="20"/>
      <c r="AG11525" s="29"/>
    </row>
    <row r="11526" spans="2:33">
      <c r="B11526" s="29"/>
      <c r="D11526" s="29"/>
      <c r="E11526" s="20"/>
      <c r="F11526" s="20"/>
      <c r="AC11526" s="20"/>
      <c r="AG11526" s="29"/>
    </row>
    <row r="11527" spans="2:33">
      <c r="B11527" s="29"/>
      <c r="D11527" s="29"/>
      <c r="E11527" s="20"/>
      <c r="F11527" s="20"/>
      <c r="AC11527" s="20"/>
      <c r="AG11527" s="29"/>
    </row>
    <row r="11528" spans="2:33">
      <c r="B11528" s="29"/>
      <c r="D11528" s="29"/>
      <c r="E11528" s="20"/>
      <c r="F11528" s="20"/>
      <c r="AC11528" s="20"/>
      <c r="AG11528" s="29"/>
    </row>
    <row r="11529" spans="2:33">
      <c r="B11529" s="29"/>
      <c r="D11529" s="29"/>
      <c r="E11529" s="20"/>
      <c r="F11529" s="20"/>
      <c r="AC11529" s="20"/>
      <c r="AG11529" s="29"/>
    </row>
    <row r="11530" spans="2:33">
      <c r="B11530" s="29"/>
      <c r="D11530" s="29"/>
      <c r="E11530" s="20"/>
      <c r="F11530" s="20"/>
      <c r="AC11530" s="20"/>
      <c r="AG11530" s="29"/>
    </row>
    <row r="11531" spans="2:33">
      <c r="B11531" s="29"/>
      <c r="D11531" s="29"/>
      <c r="E11531" s="20"/>
      <c r="F11531" s="20"/>
      <c r="AC11531" s="20"/>
      <c r="AG11531" s="29"/>
    </row>
    <row r="11532" spans="2:33">
      <c r="B11532" s="29"/>
      <c r="D11532" s="29"/>
      <c r="E11532" s="20"/>
      <c r="F11532" s="20"/>
      <c r="AC11532" s="20"/>
      <c r="AG11532" s="29"/>
    </row>
    <row r="11533" spans="2:33">
      <c r="B11533" s="29"/>
      <c r="D11533" s="29"/>
      <c r="E11533" s="20"/>
      <c r="F11533" s="20"/>
      <c r="AC11533" s="20"/>
      <c r="AG11533" s="29"/>
    </row>
    <row r="11534" spans="2:33">
      <c r="B11534" s="29"/>
      <c r="D11534" s="29"/>
      <c r="E11534" s="20"/>
      <c r="F11534" s="20"/>
      <c r="AC11534" s="20"/>
      <c r="AG11534" s="29"/>
    </row>
    <row r="11535" spans="2:33">
      <c r="B11535" s="29"/>
      <c r="D11535" s="29"/>
      <c r="E11535" s="20"/>
      <c r="F11535" s="20"/>
      <c r="AC11535" s="20"/>
      <c r="AG11535" s="29"/>
    </row>
    <row r="11536" spans="2:33">
      <c r="B11536" s="29"/>
      <c r="D11536" s="29"/>
      <c r="E11536" s="20"/>
      <c r="F11536" s="20"/>
      <c r="AC11536" s="20"/>
      <c r="AG11536" s="29"/>
    </row>
    <row r="11537" spans="2:33">
      <c r="B11537" s="29"/>
      <c r="D11537" s="29"/>
      <c r="E11537" s="20"/>
      <c r="F11537" s="20"/>
      <c r="AC11537" s="20"/>
      <c r="AG11537" s="29"/>
    </row>
    <row r="11538" spans="2:33">
      <c r="B11538" s="29"/>
      <c r="D11538" s="29"/>
      <c r="E11538" s="20"/>
      <c r="F11538" s="20"/>
      <c r="AC11538" s="20"/>
      <c r="AG11538" s="29"/>
    </row>
    <row r="11539" spans="2:33">
      <c r="B11539" s="29"/>
      <c r="D11539" s="29"/>
      <c r="E11539" s="20"/>
      <c r="F11539" s="20"/>
      <c r="AC11539" s="20"/>
      <c r="AG11539" s="29"/>
    </row>
    <row r="11540" spans="2:33">
      <c r="B11540" s="29"/>
      <c r="D11540" s="29"/>
      <c r="E11540" s="20"/>
      <c r="F11540" s="20"/>
      <c r="AC11540" s="20"/>
      <c r="AG11540" s="29"/>
    </row>
    <row r="11541" spans="2:33">
      <c r="B11541" s="29"/>
      <c r="D11541" s="29"/>
      <c r="E11541" s="20"/>
      <c r="F11541" s="20"/>
      <c r="AC11541" s="20"/>
      <c r="AG11541" s="29"/>
    </row>
    <row r="11542" spans="2:33">
      <c r="B11542" s="29"/>
      <c r="D11542" s="29"/>
      <c r="E11542" s="20"/>
      <c r="F11542" s="20"/>
      <c r="AC11542" s="20"/>
      <c r="AG11542" s="29"/>
    </row>
    <row r="11543" spans="2:33">
      <c r="B11543" s="29"/>
      <c r="D11543" s="29"/>
      <c r="E11543" s="20"/>
      <c r="F11543" s="20"/>
      <c r="AC11543" s="20"/>
      <c r="AG11543" s="29"/>
    </row>
    <row r="11544" spans="2:33">
      <c r="B11544" s="29"/>
      <c r="D11544" s="29"/>
      <c r="E11544" s="20"/>
      <c r="F11544" s="20"/>
      <c r="AC11544" s="20"/>
      <c r="AG11544" s="29"/>
    </row>
    <row r="11545" spans="2:33">
      <c r="B11545" s="29"/>
      <c r="D11545" s="29"/>
      <c r="E11545" s="20"/>
      <c r="F11545" s="20"/>
      <c r="AC11545" s="20"/>
      <c r="AG11545" s="29"/>
    </row>
    <row r="11546" spans="2:33">
      <c r="B11546" s="29"/>
      <c r="D11546" s="29"/>
      <c r="E11546" s="20"/>
      <c r="F11546" s="20"/>
      <c r="AC11546" s="20"/>
      <c r="AG11546" s="29"/>
    </row>
    <row r="11547" spans="2:33">
      <c r="B11547" s="29"/>
      <c r="D11547" s="29"/>
      <c r="E11547" s="20"/>
      <c r="F11547" s="20"/>
      <c r="AC11547" s="20"/>
      <c r="AG11547" s="29"/>
    </row>
    <row r="11548" spans="2:33">
      <c r="B11548" s="29"/>
      <c r="D11548" s="29"/>
      <c r="E11548" s="20"/>
      <c r="F11548" s="20"/>
      <c r="AC11548" s="20"/>
      <c r="AG11548" s="29"/>
    </row>
    <row r="11549" spans="2:33">
      <c r="B11549" s="29"/>
      <c r="D11549" s="29"/>
      <c r="E11549" s="20"/>
      <c r="F11549" s="20"/>
      <c r="AC11549" s="20"/>
      <c r="AG11549" s="29"/>
    </row>
    <row r="11550" spans="2:33">
      <c r="B11550" s="29"/>
      <c r="D11550" s="29"/>
      <c r="E11550" s="20"/>
      <c r="F11550" s="20"/>
      <c r="AC11550" s="20"/>
      <c r="AG11550" s="29"/>
    </row>
    <row r="11551" spans="2:33">
      <c r="B11551" s="29"/>
      <c r="D11551" s="29"/>
      <c r="E11551" s="20"/>
      <c r="F11551" s="20"/>
      <c r="AC11551" s="20"/>
      <c r="AG11551" s="29"/>
    </row>
    <row r="11552" spans="2:33">
      <c r="B11552" s="29"/>
      <c r="D11552" s="29"/>
      <c r="E11552" s="20"/>
      <c r="F11552" s="20"/>
      <c r="AC11552" s="20"/>
      <c r="AG11552" s="29"/>
    </row>
    <row r="11553" spans="2:33">
      <c r="B11553" s="29"/>
      <c r="D11553" s="29"/>
      <c r="E11553" s="20"/>
      <c r="F11553" s="20"/>
      <c r="AC11553" s="20"/>
      <c r="AG11553" s="29"/>
    </row>
    <row r="11554" spans="2:33">
      <c r="B11554" s="29"/>
      <c r="D11554" s="29"/>
      <c r="E11554" s="20"/>
      <c r="F11554" s="20"/>
      <c r="AC11554" s="20"/>
      <c r="AG11554" s="29"/>
    </row>
    <row r="11555" spans="2:33">
      <c r="B11555" s="29"/>
      <c r="D11555" s="29"/>
      <c r="E11555" s="20"/>
      <c r="F11555" s="20"/>
      <c r="AC11555" s="20"/>
      <c r="AG11555" s="29"/>
    </row>
    <row r="11556" spans="2:33">
      <c r="B11556" s="29"/>
      <c r="D11556" s="29"/>
      <c r="E11556" s="20"/>
      <c r="F11556" s="20"/>
      <c r="AC11556" s="20"/>
      <c r="AG11556" s="29"/>
    </row>
    <row r="11557" spans="2:33">
      <c r="B11557" s="29"/>
      <c r="D11557" s="29"/>
      <c r="E11557" s="20"/>
      <c r="F11557" s="20"/>
      <c r="AC11557" s="20"/>
      <c r="AG11557" s="29"/>
    </row>
    <row r="11558" spans="2:33">
      <c r="B11558" s="29"/>
      <c r="D11558" s="29"/>
      <c r="E11558" s="20"/>
      <c r="F11558" s="20"/>
      <c r="AC11558" s="20"/>
      <c r="AG11558" s="29"/>
    </row>
    <row r="11559" spans="2:33">
      <c r="B11559" s="29"/>
      <c r="D11559" s="29"/>
      <c r="E11559" s="20"/>
      <c r="F11559" s="20"/>
      <c r="AC11559" s="20"/>
      <c r="AG11559" s="29"/>
    </row>
    <row r="11560" spans="2:33">
      <c r="B11560" s="29"/>
      <c r="D11560" s="29"/>
      <c r="E11560" s="20"/>
      <c r="F11560" s="20"/>
      <c r="AC11560" s="20"/>
      <c r="AG11560" s="29"/>
    </row>
    <row r="11561" spans="2:33">
      <c r="B11561" s="29"/>
      <c r="D11561" s="29"/>
      <c r="E11561" s="20"/>
      <c r="F11561" s="20"/>
      <c r="AC11561" s="20"/>
      <c r="AG11561" s="29"/>
    </row>
    <row r="11562" spans="2:33">
      <c r="B11562" s="29"/>
      <c r="D11562" s="29"/>
      <c r="E11562" s="20"/>
      <c r="F11562" s="20"/>
      <c r="AC11562" s="20"/>
      <c r="AG11562" s="29"/>
    </row>
    <row r="11563" spans="2:33">
      <c r="B11563" s="29"/>
      <c r="D11563" s="29"/>
      <c r="E11563" s="20"/>
      <c r="F11563" s="20"/>
      <c r="AC11563" s="20"/>
      <c r="AG11563" s="29"/>
    </row>
    <row r="11564" spans="2:33">
      <c r="B11564" s="29"/>
      <c r="D11564" s="29"/>
      <c r="E11564" s="20"/>
      <c r="F11564" s="20"/>
      <c r="AC11564" s="20"/>
      <c r="AG11564" s="29"/>
    </row>
    <row r="11565" spans="2:33">
      <c r="B11565" s="29"/>
      <c r="D11565" s="29"/>
      <c r="E11565" s="20"/>
      <c r="F11565" s="20"/>
      <c r="AC11565" s="20"/>
      <c r="AG11565" s="29"/>
    </row>
    <row r="11566" spans="2:33">
      <c r="B11566" s="29"/>
      <c r="D11566" s="29"/>
      <c r="E11566" s="20"/>
      <c r="F11566" s="20"/>
      <c r="AC11566" s="20"/>
      <c r="AG11566" s="29"/>
    </row>
    <row r="11567" spans="2:33">
      <c r="B11567" s="29"/>
      <c r="D11567" s="29"/>
      <c r="E11567" s="20"/>
      <c r="F11567" s="20"/>
      <c r="AC11567" s="20"/>
      <c r="AG11567" s="29"/>
    </row>
    <row r="11568" spans="2:33">
      <c r="B11568" s="29"/>
      <c r="D11568" s="29"/>
      <c r="E11568" s="20"/>
      <c r="F11568" s="20"/>
      <c r="AC11568" s="20"/>
      <c r="AG11568" s="29"/>
    </row>
    <row r="11569" spans="2:33">
      <c r="B11569" s="29"/>
      <c r="D11569" s="29"/>
      <c r="E11569" s="20"/>
      <c r="F11569" s="20"/>
      <c r="AC11569" s="20"/>
      <c r="AG11569" s="29"/>
    </row>
    <row r="11570" spans="2:33">
      <c r="B11570" s="29"/>
      <c r="D11570" s="29"/>
      <c r="E11570" s="20"/>
      <c r="F11570" s="20"/>
      <c r="AC11570" s="20"/>
      <c r="AG11570" s="29"/>
    </row>
    <row r="11571" spans="2:33">
      <c r="B11571" s="29"/>
      <c r="D11571" s="29"/>
      <c r="E11571" s="20"/>
      <c r="F11571" s="20"/>
      <c r="AC11571" s="20"/>
      <c r="AG11571" s="29"/>
    </row>
    <row r="11572" spans="2:33">
      <c r="B11572" s="29"/>
      <c r="D11572" s="29"/>
      <c r="E11572" s="20"/>
      <c r="F11572" s="20"/>
      <c r="AC11572" s="20"/>
      <c r="AG11572" s="29"/>
    </row>
    <row r="11573" spans="2:33">
      <c r="B11573" s="29"/>
      <c r="D11573" s="29"/>
      <c r="E11573" s="20"/>
      <c r="F11573" s="20"/>
      <c r="AC11573" s="20"/>
      <c r="AG11573" s="29"/>
    </row>
    <row r="11574" spans="2:33">
      <c r="B11574" s="29"/>
      <c r="D11574" s="29"/>
      <c r="E11574" s="20"/>
      <c r="F11574" s="20"/>
      <c r="AC11574" s="20"/>
      <c r="AG11574" s="29"/>
    </row>
    <row r="11575" spans="2:33">
      <c r="B11575" s="29"/>
      <c r="D11575" s="29"/>
      <c r="E11575" s="20"/>
      <c r="F11575" s="20"/>
      <c r="AC11575" s="20"/>
      <c r="AG11575" s="29"/>
    </row>
    <row r="11576" spans="2:33">
      <c r="B11576" s="29"/>
      <c r="D11576" s="29"/>
      <c r="E11576" s="20"/>
      <c r="F11576" s="20"/>
      <c r="AC11576" s="20"/>
      <c r="AG11576" s="29"/>
    </row>
    <row r="11577" spans="2:33">
      <c r="B11577" s="29"/>
      <c r="D11577" s="29"/>
      <c r="E11577" s="20"/>
      <c r="F11577" s="20"/>
      <c r="AC11577" s="20"/>
      <c r="AG11577" s="29"/>
    </row>
    <row r="11578" spans="2:33">
      <c r="B11578" s="29"/>
      <c r="D11578" s="29"/>
      <c r="E11578" s="20"/>
      <c r="F11578" s="20"/>
      <c r="AC11578" s="20"/>
      <c r="AG11578" s="29"/>
    </row>
    <row r="11579" spans="2:33">
      <c r="B11579" s="29"/>
      <c r="D11579" s="29"/>
      <c r="E11579" s="20"/>
      <c r="F11579" s="20"/>
      <c r="AC11579" s="20"/>
      <c r="AG11579" s="29"/>
    </row>
    <row r="11580" spans="2:33">
      <c r="B11580" s="29"/>
      <c r="D11580" s="29"/>
      <c r="E11580" s="20"/>
      <c r="F11580" s="20"/>
      <c r="AC11580" s="20"/>
      <c r="AG11580" s="29"/>
    </row>
    <row r="11581" spans="2:33">
      <c r="B11581" s="29"/>
      <c r="D11581" s="29"/>
      <c r="E11581" s="20"/>
      <c r="F11581" s="20"/>
      <c r="AC11581" s="20"/>
      <c r="AG11581" s="29"/>
    </row>
    <row r="11582" spans="2:33">
      <c r="B11582" s="29"/>
      <c r="D11582" s="29"/>
      <c r="E11582" s="20"/>
      <c r="F11582" s="20"/>
      <c r="AC11582" s="20"/>
      <c r="AG11582" s="29"/>
    </row>
    <row r="11583" spans="2:33">
      <c r="B11583" s="29"/>
      <c r="D11583" s="29"/>
      <c r="E11583" s="20"/>
      <c r="F11583" s="20"/>
      <c r="AC11583" s="20"/>
      <c r="AG11583" s="29"/>
    </row>
    <row r="11584" spans="2:33">
      <c r="B11584" s="29"/>
      <c r="D11584" s="29"/>
      <c r="E11584" s="20"/>
      <c r="F11584" s="20"/>
      <c r="AC11584" s="20"/>
      <c r="AG11584" s="29"/>
    </row>
    <row r="11585" spans="2:33">
      <c r="B11585" s="29"/>
      <c r="D11585" s="29"/>
      <c r="E11585" s="20"/>
      <c r="F11585" s="20"/>
      <c r="AC11585" s="20"/>
      <c r="AG11585" s="29"/>
    </row>
    <row r="11586" spans="2:33">
      <c r="B11586" s="29"/>
      <c r="D11586" s="29"/>
      <c r="E11586" s="20"/>
      <c r="F11586" s="20"/>
      <c r="AC11586" s="20"/>
      <c r="AG11586" s="29"/>
    </row>
    <row r="11587" spans="2:33">
      <c r="B11587" s="29"/>
      <c r="D11587" s="29"/>
      <c r="E11587" s="20"/>
      <c r="F11587" s="20"/>
      <c r="AC11587" s="20"/>
      <c r="AG11587" s="29"/>
    </row>
    <row r="11588" spans="2:33">
      <c r="B11588" s="29"/>
      <c r="D11588" s="29"/>
      <c r="E11588" s="20"/>
      <c r="F11588" s="20"/>
      <c r="AC11588" s="20"/>
      <c r="AG11588" s="29"/>
    </row>
    <row r="11589" spans="2:33">
      <c r="B11589" s="29"/>
      <c r="D11589" s="29"/>
      <c r="E11589" s="20"/>
      <c r="F11589" s="20"/>
      <c r="AC11589" s="20"/>
      <c r="AG11589" s="29"/>
    </row>
    <row r="11590" spans="2:33">
      <c r="B11590" s="29"/>
      <c r="D11590" s="29"/>
      <c r="E11590" s="20"/>
      <c r="F11590" s="20"/>
      <c r="AC11590" s="20"/>
      <c r="AG11590" s="29"/>
    </row>
    <row r="11591" spans="2:33">
      <c r="B11591" s="29"/>
      <c r="D11591" s="29"/>
      <c r="E11591" s="20"/>
      <c r="F11591" s="20"/>
      <c r="AC11591" s="20"/>
      <c r="AG11591" s="29"/>
    </row>
    <row r="11592" spans="2:33">
      <c r="B11592" s="29"/>
      <c r="D11592" s="29"/>
      <c r="E11592" s="20"/>
      <c r="F11592" s="20"/>
      <c r="AC11592" s="20"/>
      <c r="AG11592" s="29"/>
    </row>
    <row r="11593" spans="2:33">
      <c r="B11593" s="29"/>
      <c r="D11593" s="29"/>
      <c r="E11593" s="20"/>
      <c r="F11593" s="20"/>
      <c r="AC11593" s="20"/>
      <c r="AG11593" s="29"/>
    </row>
    <row r="11594" spans="2:33">
      <c r="B11594" s="29"/>
      <c r="D11594" s="29"/>
      <c r="E11594" s="20"/>
      <c r="F11594" s="20"/>
      <c r="AC11594" s="20"/>
      <c r="AG11594" s="29"/>
    </row>
    <row r="11595" spans="2:33">
      <c r="B11595" s="29"/>
      <c r="D11595" s="29"/>
      <c r="E11595" s="20"/>
      <c r="F11595" s="20"/>
      <c r="AC11595" s="20"/>
      <c r="AG11595" s="29"/>
    </row>
    <row r="11596" spans="2:33">
      <c r="B11596" s="29"/>
      <c r="D11596" s="29"/>
      <c r="E11596" s="20"/>
      <c r="F11596" s="20"/>
      <c r="AC11596" s="20"/>
      <c r="AG11596" s="29"/>
    </row>
    <row r="11597" spans="2:33">
      <c r="B11597" s="29"/>
      <c r="D11597" s="29"/>
      <c r="E11597" s="20"/>
      <c r="F11597" s="20"/>
      <c r="AC11597" s="20"/>
      <c r="AG11597" s="29"/>
    </row>
    <row r="11598" spans="2:33">
      <c r="B11598" s="29"/>
      <c r="D11598" s="29"/>
      <c r="E11598" s="20"/>
      <c r="F11598" s="20"/>
      <c r="AC11598" s="20"/>
      <c r="AG11598" s="29"/>
    </row>
    <row r="11599" spans="2:33">
      <c r="B11599" s="29"/>
      <c r="D11599" s="29"/>
      <c r="E11599" s="20"/>
      <c r="F11599" s="20"/>
      <c r="AC11599" s="20"/>
      <c r="AG11599" s="29"/>
    </row>
    <row r="11600" spans="2:33">
      <c r="B11600" s="29"/>
      <c r="D11600" s="29"/>
      <c r="E11600" s="20"/>
      <c r="F11600" s="20"/>
      <c r="AC11600" s="20"/>
      <c r="AG11600" s="29"/>
    </row>
    <row r="11601" spans="2:33">
      <c r="B11601" s="29"/>
      <c r="D11601" s="29"/>
      <c r="E11601" s="20"/>
      <c r="F11601" s="20"/>
      <c r="AC11601" s="20"/>
      <c r="AG11601" s="29"/>
    </row>
    <row r="11602" spans="2:33">
      <c r="B11602" s="29"/>
      <c r="D11602" s="29"/>
      <c r="E11602" s="20"/>
      <c r="F11602" s="20"/>
      <c r="AC11602" s="20"/>
      <c r="AG11602" s="29"/>
    </row>
    <row r="11603" spans="2:33">
      <c r="B11603" s="29"/>
      <c r="D11603" s="29"/>
      <c r="E11603" s="20"/>
      <c r="F11603" s="20"/>
      <c r="AC11603" s="20"/>
      <c r="AG11603" s="29"/>
    </row>
    <row r="11604" spans="2:33">
      <c r="B11604" s="29"/>
      <c r="D11604" s="29"/>
      <c r="E11604" s="20"/>
      <c r="F11604" s="20"/>
      <c r="AC11604" s="20"/>
      <c r="AG11604" s="29"/>
    </row>
    <row r="11605" spans="2:33">
      <c r="B11605" s="29"/>
      <c r="D11605" s="29"/>
      <c r="E11605" s="20"/>
      <c r="F11605" s="20"/>
      <c r="AC11605" s="20"/>
      <c r="AG11605" s="29"/>
    </row>
    <row r="11606" spans="2:33">
      <c r="B11606" s="29"/>
      <c r="D11606" s="29"/>
      <c r="E11606" s="20"/>
      <c r="F11606" s="20"/>
      <c r="AC11606" s="20"/>
      <c r="AG11606" s="29"/>
    </row>
    <row r="11607" spans="2:33">
      <c r="B11607" s="29"/>
      <c r="D11607" s="29"/>
      <c r="E11607" s="20"/>
      <c r="F11607" s="20"/>
      <c r="AC11607" s="20"/>
      <c r="AG11607" s="29"/>
    </row>
    <row r="11608" spans="2:33">
      <c r="B11608" s="29"/>
      <c r="D11608" s="29"/>
      <c r="E11608" s="20"/>
      <c r="F11608" s="20"/>
      <c r="AC11608" s="20"/>
      <c r="AG11608" s="29"/>
    </row>
    <row r="11609" spans="2:33">
      <c r="B11609" s="29"/>
      <c r="D11609" s="29"/>
      <c r="E11609" s="20"/>
      <c r="F11609" s="20"/>
      <c r="AC11609" s="20"/>
      <c r="AG11609" s="29"/>
    </row>
    <row r="11610" spans="2:33">
      <c r="B11610" s="29"/>
      <c r="D11610" s="29"/>
      <c r="E11610" s="20"/>
      <c r="F11610" s="20"/>
      <c r="AC11610" s="20"/>
      <c r="AG11610" s="29"/>
    </row>
    <row r="11611" spans="2:33">
      <c r="B11611" s="29"/>
      <c r="D11611" s="29"/>
      <c r="E11611" s="20"/>
      <c r="F11611" s="20"/>
      <c r="AC11611" s="20"/>
      <c r="AG11611" s="29"/>
    </row>
    <row r="11612" spans="2:33">
      <c r="B11612" s="29"/>
      <c r="D11612" s="29"/>
      <c r="E11612" s="20"/>
      <c r="F11612" s="20"/>
      <c r="AC11612" s="20"/>
      <c r="AG11612" s="29"/>
    </row>
    <row r="11613" spans="2:33">
      <c r="B11613" s="29"/>
      <c r="D11613" s="29"/>
      <c r="E11613" s="20"/>
      <c r="F11613" s="20"/>
      <c r="AC11613" s="20"/>
      <c r="AG11613" s="29"/>
    </row>
    <row r="11614" spans="2:33">
      <c r="B11614" s="29"/>
      <c r="D11614" s="29"/>
      <c r="E11614" s="20"/>
      <c r="F11614" s="20"/>
      <c r="AC11614" s="20"/>
      <c r="AG11614" s="29"/>
    </row>
    <row r="11615" spans="2:33">
      <c r="B11615" s="29"/>
      <c r="D11615" s="29"/>
      <c r="E11615" s="20"/>
      <c r="F11615" s="20"/>
      <c r="AC11615" s="20"/>
      <c r="AG11615" s="29"/>
    </row>
    <row r="11616" spans="2:33">
      <c r="B11616" s="29"/>
      <c r="D11616" s="29"/>
      <c r="E11616" s="20"/>
      <c r="F11616" s="20"/>
      <c r="AC11616" s="20"/>
      <c r="AG11616" s="29"/>
    </row>
    <row r="11617" spans="2:33">
      <c r="B11617" s="29"/>
      <c r="D11617" s="29"/>
      <c r="E11617" s="20"/>
      <c r="F11617" s="20"/>
      <c r="AC11617" s="20"/>
      <c r="AG11617" s="29"/>
    </row>
    <row r="11618" spans="2:33">
      <c r="B11618" s="29"/>
      <c r="D11618" s="29"/>
      <c r="E11618" s="20"/>
      <c r="F11618" s="20"/>
      <c r="AC11618" s="20"/>
      <c r="AG11618" s="29"/>
    </row>
    <row r="11619" spans="2:33">
      <c r="B11619" s="29"/>
      <c r="D11619" s="29"/>
      <c r="E11619" s="20"/>
      <c r="F11619" s="20"/>
      <c r="AC11619" s="20"/>
      <c r="AG11619" s="29"/>
    </row>
    <row r="11620" spans="2:33">
      <c r="B11620" s="29"/>
      <c r="D11620" s="29"/>
      <c r="E11620" s="20"/>
      <c r="F11620" s="20"/>
      <c r="AC11620" s="20"/>
      <c r="AG11620" s="29"/>
    </row>
    <row r="11621" spans="2:33">
      <c r="B11621" s="29"/>
      <c r="D11621" s="29"/>
      <c r="E11621" s="20"/>
      <c r="F11621" s="20"/>
      <c r="AC11621" s="20"/>
      <c r="AG11621" s="29"/>
    </row>
    <row r="11622" spans="2:33">
      <c r="B11622" s="29"/>
      <c r="D11622" s="29"/>
      <c r="E11622" s="20"/>
      <c r="F11622" s="20"/>
      <c r="AC11622" s="20"/>
      <c r="AG11622" s="29"/>
    </row>
    <row r="11623" spans="2:33">
      <c r="B11623" s="29"/>
      <c r="D11623" s="29"/>
      <c r="E11623" s="20"/>
      <c r="F11623" s="20"/>
      <c r="AC11623" s="20"/>
      <c r="AG11623" s="29"/>
    </row>
    <row r="11624" spans="2:33">
      <c r="B11624" s="29"/>
      <c r="D11624" s="29"/>
      <c r="E11624" s="20"/>
      <c r="F11624" s="20"/>
      <c r="AC11624" s="20"/>
      <c r="AG11624" s="29"/>
    </row>
    <row r="11625" spans="2:33">
      <c r="B11625" s="29"/>
      <c r="D11625" s="29"/>
      <c r="E11625" s="20"/>
      <c r="F11625" s="20"/>
      <c r="AC11625" s="20"/>
      <c r="AG11625" s="29"/>
    </row>
    <row r="11626" spans="2:33">
      <c r="B11626" s="29"/>
      <c r="D11626" s="29"/>
      <c r="E11626" s="20"/>
      <c r="F11626" s="20"/>
      <c r="AC11626" s="20"/>
      <c r="AG11626" s="29"/>
    </row>
    <row r="11627" spans="2:33">
      <c r="B11627" s="29"/>
      <c r="D11627" s="29"/>
      <c r="E11627" s="20"/>
      <c r="F11627" s="20"/>
      <c r="AC11627" s="20"/>
      <c r="AG11627" s="29"/>
    </row>
    <row r="11628" spans="2:33">
      <c r="B11628" s="29"/>
      <c r="D11628" s="29"/>
      <c r="E11628" s="20"/>
      <c r="F11628" s="20"/>
      <c r="AC11628" s="20"/>
      <c r="AG11628" s="29"/>
    </row>
    <row r="11629" spans="2:33">
      <c r="B11629" s="29"/>
      <c r="D11629" s="29"/>
      <c r="E11629" s="20"/>
      <c r="F11629" s="20"/>
      <c r="AC11629" s="20"/>
      <c r="AG11629" s="29"/>
    </row>
    <row r="11630" spans="2:33">
      <c r="B11630" s="29"/>
      <c r="D11630" s="29"/>
      <c r="E11630" s="20"/>
      <c r="F11630" s="20"/>
      <c r="AC11630" s="20"/>
      <c r="AG11630" s="29"/>
    </row>
    <row r="11631" spans="2:33">
      <c r="B11631" s="29"/>
      <c r="D11631" s="29"/>
      <c r="E11631" s="20"/>
      <c r="F11631" s="20"/>
      <c r="AC11631" s="20"/>
      <c r="AG11631" s="29"/>
    </row>
    <row r="11632" spans="2:33">
      <c r="B11632" s="29"/>
      <c r="D11632" s="29"/>
      <c r="E11632" s="20"/>
      <c r="F11632" s="20"/>
      <c r="AC11632" s="20"/>
      <c r="AG11632" s="29"/>
    </row>
    <row r="11633" spans="2:33">
      <c r="B11633" s="29"/>
      <c r="D11633" s="29"/>
      <c r="E11633" s="20"/>
      <c r="F11633" s="20"/>
      <c r="AC11633" s="20"/>
      <c r="AG11633" s="29"/>
    </row>
    <row r="11634" spans="2:33">
      <c r="B11634" s="29"/>
      <c r="D11634" s="29"/>
      <c r="E11634" s="20"/>
      <c r="F11634" s="20"/>
      <c r="AC11634" s="20"/>
      <c r="AG11634" s="29"/>
    </row>
    <row r="11635" spans="2:33">
      <c r="B11635" s="29"/>
      <c r="D11635" s="29"/>
      <c r="E11635" s="20"/>
      <c r="F11635" s="20"/>
      <c r="AC11635" s="20"/>
      <c r="AG11635" s="29"/>
    </row>
    <row r="11636" spans="2:33">
      <c r="B11636" s="29"/>
      <c r="D11636" s="29"/>
      <c r="E11636" s="20"/>
      <c r="F11636" s="20"/>
      <c r="AC11636" s="20"/>
      <c r="AG11636" s="29"/>
    </row>
    <row r="11637" spans="2:33">
      <c r="B11637" s="29"/>
      <c r="D11637" s="29"/>
      <c r="E11637" s="20"/>
      <c r="F11637" s="20"/>
      <c r="AC11637" s="20"/>
      <c r="AG11637" s="29"/>
    </row>
    <row r="11638" spans="2:33">
      <c r="B11638" s="29"/>
      <c r="D11638" s="29"/>
      <c r="E11638" s="20"/>
      <c r="F11638" s="20"/>
      <c r="AC11638" s="20"/>
      <c r="AG11638" s="29"/>
    </row>
    <row r="11639" spans="2:33">
      <c r="B11639" s="29"/>
      <c r="D11639" s="29"/>
      <c r="E11639" s="20"/>
      <c r="F11639" s="20"/>
      <c r="AC11639" s="20"/>
      <c r="AG11639" s="29"/>
    </row>
    <row r="11640" spans="2:33">
      <c r="B11640" s="29"/>
      <c r="D11640" s="29"/>
      <c r="E11640" s="20"/>
      <c r="F11640" s="20"/>
      <c r="AC11640" s="20"/>
      <c r="AG11640" s="29"/>
    </row>
    <row r="11641" spans="2:33">
      <c r="B11641" s="29"/>
      <c r="D11641" s="29"/>
      <c r="E11641" s="20"/>
      <c r="F11641" s="20"/>
      <c r="AC11641" s="20"/>
      <c r="AG11641" s="29"/>
    </row>
    <row r="11642" spans="2:33">
      <c r="B11642" s="29"/>
      <c r="D11642" s="29"/>
      <c r="E11642" s="20"/>
      <c r="F11642" s="20"/>
      <c r="AC11642" s="20"/>
      <c r="AG11642" s="29"/>
    </row>
    <row r="11643" spans="2:33">
      <c r="B11643" s="29"/>
      <c r="D11643" s="29"/>
      <c r="E11643" s="20"/>
      <c r="F11643" s="20"/>
      <c r="AC11643" s="20"/>
      <c r="AG11643" s="29"/>
    </row>
    <row r="11644" spans="2:33">
      <c r="B11644" s="29"/>
      <c r="D11644" s="29"/>
      <c r="E11644" s="20"/>
      <c r="F11644" s="20"/>
      <c r="AC11644" s="20"/>
      <c r="AG11644" s="29"/>
    </row>
    <row r="11645" spans="2:33">
      <c r="B11645" s="29"/>
      <c r="D11645" s="29"/>
      <c r="E11645" s="20"/>
      <c r="F11645" s="20"/>
      <c r="AC11645" s="20"/>
      <c r="AG11645" s="29"/>
    </row>
    <row r="11646" spans="2:33">
      <c r="B11646" s="29"/>
      <c r="D11646" s="29"/>
      <c r="E11646" s="20"/>
      <c r="F11646" s="20"/>
      <c r="AC11646" s="20"/>
      <c r="AG11646" s="29"/>
    </row>
    <row r="11647" spans="2:33">
      <c r="B11647" s="29"/>
      <c r="D11647" s="29"/>
      <c r="E11647" s="20"/>
      <c r="F11647" s="20"/>
      <c r="AC11647" s="20"/>
      <c r="AG11647" s="29"/>
    </row>
    <row r="11648" spans="2:33">
      <c r="B11648" s="29"/>
      <c r="D11648" s="29"/>
      <c r="E11648" s="20"/>
      <c r="F11648" s="20"/>
      <c r="AC11648" s="20"/>
      <c r="AG11648" s="29"/>
    </row>
    <row r="11649" spans="2:33">
      <c r="B11649" s="29"/>
      <c r="D11649" s="29"/>
      <c r="E11649" s="20"/>
      <c r="F11649" s="20"/>
      <c r="AC11649" s="20"/>
      <c r="AG11649" s="29"/>
    </row>
    <row r="11650" spans="2:33">
      <c r="B11650" s="29"/>
      <c r="D11650" s="29"/>
      <c r="E11650" s="20"/>
      <c r="F11650" s="20"/>
      <c r="AC11650" s="20"/>
      <c r="AG11650" s="29"/>
    </row>
    <row r="11651" spans="2:33">
      <c r="B11651" s="29"/>
      <c r="D11651" s="29"/>
      <c r="E11651" s="20"/>
      <c r="F11651" s="20"/>
      <c r="AC11651" s="20"/>
      <c r="AG11651" s="29"/>
    </row>
    <row r="11652" spans="2:33">
      <c r="B11652" s="29"/>
      <c r="D11652" s="29"/>
      <c r="E11652" s="20"/>
      <c r="F11652" s="20"/>
      <c r="AC11652" s="20"/>
      <c r="AG11652" s="29"/>
    </row>
    <row r="11653" spans="2:33">
      <c r="B11653" s="29"/>
      <c r="D11653" s="29"/>
      <c r="E11653" s="20"/>
      <c r="F11653" s="20"/>
      <c r="AC11653" s="20"/>
      <c r="AG11653" s="29"/>
    </row>
    <row r="11654" spans="2:33">
      <c r="B11654" s="29"/>
      <c r="D11654" s="29"/>
      <c r="E11654" s="20"/>
      <c r="F11654" s="20"/>
      <c r="AC11654" s="20"/>
      <c r="AG11654" s="29"/>
    </row>
    <row r="11655" spans="2:33">
      <c r="B11655" s="29"/>
      <c r="D11655" s="29"/>
      <c r="E11655" s="20"/>
      <c r="F11655" s="20"/>
      <c r="AC11655" s="20"/>
      <c r="AG11655" s="29"/>
    </row>
    <row r="11656" spans="2:33">
      <c r="B11656" s="29"/>
      <c r="D11656" s="29"/>
      <c r="E11656" s="20"/>
      <c r="F11656" s="20"/>
      <c r="AC11656" s="20"/>
      <c r="AG11656" s="29"/>
    </row>
    <row r="11657" spans="2:33">
      <c r="B11657" s="29"/>
      <c r="D11657" s="29"/>
      <c r="E11657" s="20"/>
      <c r="F11657" s="20"/>
      <c r="AC11657" s="20"/>
      <c r="AG11657" s="29"/>
    </row>
    <row r="11658" spans="2:33">
      <c r="B11658" s="29"/>
      <c r="D11658" s="29"/>
      <c r="E11658" s="20"/>
      <c r="F11658" s="20"/>
      <c r="AC11658" s="20"/>
      <c r="AG11658" s="29"/>
    </row>
    <row r="11659" spans="2:33">
      <c r="B11659" s="29"/>
      <c r="D11659" s="29"/>
      <c r="E11659" s="20"/>
      <c r="F11659" s="20"/>
      <c r="AC11659" s="20"/>
      <c r="AG11659" s="29"/>
    </row>
    <row r="11660" spans="2:33">
      <c r="B11660" s="29"/>
      <c r="D11660" s="29"/>
      <c r="E11660" s="20"/>
      <c r="F11660" s="20"/>
      <c r="AC11660" s="20"/>
      <c r="AG11660" s="29"/>
    </row>
    <row r="11661" spans="2:33">
      <c r="B11661" s="29"/>
      <c r="D11661" s="29"/>
      <c r="E11661" s="20"/>
      <c r="F11661" s="20"/>
      <c r="AC11661" s="20"/>
      <c r="AG11661" s="29"/>
    </row>
    <row r="11662" spans="2:33">
      <c r="B11662" s="29"/>
      <c r="D11662" s="29"/>
      <c r="E11662" s="20"/>
      <c r="F11662" s="20"/>
      <c r="AC11662" s="20"/>
      <c r="AG11662" s="29"/>
    </row>
    <row r="11663" spans="2:33">
      <c r="B11663" s="29"/>
      <c r="D11663" s="29"/>
      <c r="E11663" s="20"/>
      <c r="F11663" s="20"/>
      <c r="AC11663" s="20"/>
      <c r="AG11663" s="29"/>
    </row>
    <row r="11664" spans="2:33">
      <c r="B11664" s="29"/>
      <c r="D11664" s="29"/>
      <c r="E11664" s="20"/>
      <c r="F11664" s="20"/>
      <c r="AC11664" s="20"/>
      <c r="AG11664" s="29"/>
    </row>
    <row r="11665" spans="2:33">
      <c r="B11665" s="29"/>
      <c r="D11665" s="29"/>
      <c r="E11665" s="20"/>
      <c r="F11665" s="20"/>
      <c r="AC11665" s="20"/>
      <c r="AG11665" s="29"/>
    </row>
    <row r="11666" spans="2:33">
      <c r="B11666" s="29"/>
      <c r="D11666" s="29"/>
      <c r="E11666" s="20"/>
      <c r="F11666" s="20"/>
      <c r="AC11666" s="20"/>
      <c r="AG11666" s="29"/>
    </row>
    <row r="11667" spans="2:33">
      <c r="B11667" s="29"/>
      <c r="D11667" s="29"/>
      <c r="E11667" s="20"/>
      <c r="F11667" s="20"/>
      <c r="AC11667" s="20"/>
      <c r="AG11667" s="29"/>
    </row>
    <row r="11668" spans="2:33">
      <c r="B11668" s="29"/>
      <c r="D11668" s="29"/>
      <c r="E11668" s="20"/>
      <c r="F11668" s="20"/>
      <c r="AC11668" s="20"/>
      <c r="AG11668" s="29"/>
    </row>
    <row r="11669" spans="2:33">
      <c r="B11669" s="29"/>
      <c r="D11669" s="29"/>
      <c r="E11669" s="20"/>
      <c r="F11669" s="20"/>
      <c r="AC11669" s="20"/>
      <c r="AG11669" s="29"/>
    </row>
    <row r="11670" spans="2:33">
      <c r="B11670" s="29"/>
      <c r="D11670" s="29"/>
      <c r="E11670" s="20"/>
      <c r="F11670" s="20"/>
      <c r="AC11670" s="20"/>
      <c r="AG11670" s="29"/>
    </row>
    <row r="11671" spans="2:33">
      <c r="B11671" s="29"/>
      <c r="D11671" s="29"/>
      <c r="E11671" s="20"/>
      <c r="F11671" s="20"/>
      <c r="AC11671" s="20"/>
      <c r="AG11671" s="29"/>
    </row>
    <row r="11672" spans="2:33">
      <c r="B11672" s="29"/>
      <c r="D11672" s="29"/>
      <c r="E11672" s="20"/>
      <c r="F11672" s="20"/>
      <c r="AC11672" s="20"/>
      <c r="AG11672" s="29"/>
    </row>
    <row r="11673" spans="2:33">
      <c r="B11673" s="29"/>
      <c r="D11673" s="29"/>
      <c r="E11673" s="20"/>
      <c r="F11673" s="20"/>
      <c r="AC11673" s="20"/>
      <c r="AG11673" s="29"/>
    </row>
    <row r="11674" spans="2:33">
      <c r="B11674" s="29"/>
      <c r="D11674" s="29"/>
      <c r="E11674" s="20"/>
      <c r="F11674" s="20"/>
      <c r="AC11674" s="20"/>
      <c r="AG11674" s="29"/>
    </row>
    <row r="11675" spans="2:33">
      <c r="B11675" s="29"/>
      <c r="D11675" s="29"/>
      <c r="E11675" s="20"/>
      <c r="F11675" s="20"/>
      <c r="AC11675" s="20"/>
      <c r="AG11675" s="29"/>
    </row>
    <row r="11676" spans="2:33">
      <c r="B11676" s="29"/>
      <c r="D11676" s="29"/>
      <c r="E11676" s="20"/>
      <c r="F11676" s="20"/>
      <c r="AC11676" s="20"/>
      <c r="AG11676" s="29"/>
    </row>
    <row r="11677" spans="2:33">
      <c r="B11677" s="29"/>
      <c r="D11677" s="29"/>
      <c r="E11677" s="20"/>
      <c r="F11677" s="20"/>
      <c r="AC11677" s="20"/>
      <c r="AG11677" s="29"/>
    </row>
    <row r="11678" spans="2:33">
      <c r="B11678" s="29"/>
      <c r="D11678" s="29"/>
      <c r="E11678" s="20"/>
      <c r="F11678" s="20"/>
      <c r="AC11678" s="20"/>
      <c r="AG11678" s="29"/>
    </row>
    <row r="11679" spans="2:33">
      <c r="B11679" s="29"/>
      <c r="D11679" s="29"/>
      <c r="E11679" s="20"/>
      <c r="F11679" s="20"/>
      <c r="AC11679" s="20"/>
      <c r="AG11679" s="29"/>
    </row>
    <row r="11680" spans="2:33">
      <c r="B11680" s="29"/>
      <c r="D11680" s="29"/>
      <c r="E11680" s="20"/>
      <c r="F11680" s="20"/>
      <c r="AC11680" s="20"/>
      <c r="AG11680" s="29"/>
    </row>
    <row r="11681" spans="2:33">
      <c r="B11681" s="29"/>
      <c r="D11681" s="29"/>
      <c r="E11681" s="20"/>
      <c r="F11681" s="20"/>
      <c r="AC11681" s="20"/>
      <c r="AG11681" s="29"/>
    </row>
    <row r="11682" spans="2:33">
      <c r="B11682" s="29"/>
      <c r="D11682" s="29"/>
      <c r="E11682" s="20"/>
      <c r="F11682" s="20"/>
      <c r="AC11682" s="20"/>
      <c r="AG11682" s="29"/>
    </row>
    <row r="11683" spans="2:33">
      <c r="B11683" s="29"/>
      <c r="D11683" s="29"/>
      <c r="E11683" s="20"/>
      <c r="F11683" s="20"/>
      <c r="AC11683" s="20"/>
      <c r="AG11683" s="29"/>
    </row>
    <row r="11684" spans="2:33">
      <c r="B11684" s="29"/>
      <c r="D11684" s="29"/>
      <c r="E11684" s="20"/>
      <c r="F11684" s="20"/>
      <c r="AC11684" s="20"/>
      <c r="AG11684" s="29"/>
    </row>
    <row r="11685" spans="2:33">
      <c r="B11685" s="29"/>
      <c r="D11685" s="29"/>
      <c r="E11685" s="20"/>
      <c r="F11685" s="20"/>
      <c r="AC11685" s="20"/>
      <c r="AG11685" s="29"/>
    </row>
    <row r="11686" spans="2:33">
      <c r="B11686" s="29"/>
      <c r="D11686" s="29"/>
      <c r="E11686" s="20"/>
      <c r="F11686" s="20"/>
      <c r="AC11686" s="20"/>
      <c r="AG11686" s="29"/>
    </row>
    <row r="11687" spans="2:33">
      <c r="B11687" s="29"/>
      <c r="D11687" s="29"/>
      <c r="E11687" s="20"/>
      <c r="F11687" s="20"/>
      <c r="AC11687" s="20"/>
      <c r="AG11687" s="29"/>
    </row>
    <row r="11688" spans="2:33">
      <c r="B11688" s="29"/>
      <c r="D11688" s="29"/>
      <c r="E11688" s="20"/>
      <c r="F11688" s="20"/>
      <c r="AC11688" s="20"/>
      <c r="AG11688" s="29"/>
    </row>
    <row r="11689" spans="2:33">
      <c r="B11689" s="29"/>
      <c r="D11689" s="29"/>
      <c r="E11689" s="20"/>
      <c r="F11689" s="20"/>
      <c r="AC11689" s="20"/>
      <c r="AG11689" s="29"/>
    </row>
    <row r="11690" spans="2:33">
      <c r="B11690" s="29"/>
      <c r="D11690" s="29"/>
      <c r="E11690" s="20"/>
      <c r="F11690" s="20"/>
      <c r="AC11690" s="20"/>
      <c r="AG11690" s="29"/>
    </row>
    <row r="11691" spans="2:33">
      <c r="B11691" s="29"/>
      <c r="D11691" s="29"/>
      <c r="E11691" s="20"/>
      <c r="F11691" s="20"/>
      <c r="AC11691" s="20"/>
      <c r="AG11691" s="29"/>
    </row>
    <row r="11692" spans="2:33">
      <c r="B11692" s="29"/>
      <c r="D11692" s="29"/>
      <c r="E11692" s="20"/>
      <c r="F11692" s="20"/>
      <c r="AC11692" s="20"/>
      <c r="AG11692" s="29"/>
    </row>
    <row r="11693" spans="2:33">
      <c r="B11693" s="29"/>
      <c r="D11693" s="29"/>
      <c r="E11693" s="20"/>
      <c r="F11693" s="20"/>
      <c r="AC11693" s="20"/>
      <c r="AG11693" s="29"/>
    </row>
    <row r="11694" spans="2:33">
      <c r="B11694" s="29"/>
      <c r="D11694" s="29"/>
      <c r="E11694" s="20"/>
      <c r="F11694" s="20"/>
      <c r="AC11694" s="20"/>
      <c r="AG11694" s="29"/>
    </row>
    <row r="11695" spans="2:33">
      <c r="B11695" s="29"/>
      <c r="D11695" s="29"/>
      <c r="E11695" s="20"/>
      <c r="F11695" s="20"/>
      <c r="AC11695" s="20"/>
      <c r="AG11695" s="29"/>
    </row>
    <row r="11696" spans="2:33">
      <c r="B11696" s="29"/>
      <c r="D11696" s="29"/>
      <c r="E11696" s="20"/>
      <c r="F11696" s="20"/>
      <c r="AC11696" s="20"/>
      <c r="AG11696" s="29"/>
    </row>
    <row r="11697" spans="2:33">
      <c r="B11697" s="29"/>
      <c r="D11697" s="29"/>
      <c r="E11697" s="20"/>
      <c r="F11697" s="20"/>
      <c r="AC11697" s="20"/>
      <c r="AG11697" s="29"/>
    </row>
    <row r="11698" spans="2:33">
      <c r="B11698" s="29"/>
      <c r="D11698" s="29"/>
      <c r="E11698" s="20"/>
      <c r="F11698" s="20"/>
      <c r="AC11698" s="20"/>
      <c r="AG11698" s="29"/>
    </row>
    <row r="11699" spans="2:33">
      <c r="B11699" s="29"/>
      <c r="D11699" s="29"/>
      <c r="E11699" s="20"/>
      <c r="F11699" s="20"/>
      <c r="AC11699" s="20"/>
      <c r="AG11699" s="29"/>
    </row>
    <row r="11700" spans="2:33">
      <c r="B11700" s="29"/>
      <c r="D11700" s="29"/>
      <c r="E11700" s="20"/>
      <c r="F11700" s="20"/>
      <c r="AC11700" s="20"/>
      <c r="AG11700" s="29"/>
    </row>
    <row r="11701" spans="2:33">
      <c r="B11701" s="29"/>
      <c r="D11701" s="29"/>
      <c r="E11701" s="20"/>
      <c r="F11701" s="20"/>
      <c r="AC11701" s="20"/>
      <c r="AG11701" s="29"/>
    </row>
    <row r="11702" spans="2:33">
      <c r="B11702" s="29"/>
      <c r="D11702" s="29"/>
      <c r="E11702" s="20"/>
      <c r="F11702" s="20"/>
      <c r="AC11702" s="20"/>
      <c r="AG11702" s="29"/>
    </row>
    <row r="11703" spans="2:33">
      <c r="B11703" s="29"/>
      <c r="D11703" s="29"/>
      <c r="E11703" s="20"/>
      <c r="F11703" s="20"/>
      <c r="AC11703" s="20"/>
      <c r="AG11703" s="29"/>
    </row>
    <row r="11704" spans="2:33">
      <c r="B11704" s="29"/>
      <c r="D11704" s="29"/>
      <c r="E11704" s="20"/>
      <c r="F11704" s="20"/>
      <c r="AC11704" s="20"/>
      <c r="AG11704" s="29"/>
    </row>
    <row r="11705" spans="2:33">
      <c r="B11705" s="29"/>
      <c r="D11705" s="29"/>
      <c r="E11705" s="20"/>
      <c r="F11705" s="20"/>
      <c r="AC11705" s="20"/>
      <c r="AG11705" s="29"/>
    </row>
    <row r="11706" spans="2:33">
      <c r="B11706" s="29"/>
      <c r="D11706" s="29"/>
      <c r="E11706" s="20"/>
      <c r="F11706" s="20"/>
      <c r="AC11706" s="20"/>
      <c r="AG11706" s="29"/>
    </row>
    <row r="11707" spans="2:33">
      <c r="B11707" s="29"/>
      <c r="D11707" s="29"/>
      <c r="E11707" s="20"/>
      <c r="F11707" s="20"/>
      <c r="AC11707" s="20"/>
      <c r="AG11707" s="29"/>
    </row>
    <row r="11708" spans="2:33">
      <c r="B11708" s="29"/>
      <c r="D11708" s="29"/>
      <c r="E11708" s="20"/>
      <c r="F11708" s="20"/>
      <c r="AC11708" s="20"/>
      <c r="AG11708" s="29"/>
    </row>
    <row r="11709" spans="2:33">
      <c r="B11709" s="29"/>
      <c r="D11709" s="29"/>
      <c r="E11709" s="20"/>
      <c r="F11709" s="20"/>
      <c r="AC11709" s="20"/>
      <c r="AG11709" s="29"/>
    </row>
    <row r="11710" spans="2:33">
      <c r="B11710" s="29"/>
      <c r="D11710" s="29"/>
      <c r="E11710" s="20"/>
      <c r="F11710" s="20"/>
      <c r="AC11710" s="20"/>
      <c r="AG11710" s="29"/>
    </row>
    <row r="11711" spans="2:33">
      <c r="B11711" s="29"/>
      <c r="D11711" s="29"/>
      <c r="E11711" s="20"/>
      <c r="F11711" s="20"/>
      <c r="AC11711" s="20"/>
      <c r="AG11711" s="29"/>
    </row>
    <row r="11712" spans="2:33">
      <c r="B11712" s="29"/>
      <c r="D11712" s="29"/>
      <c r="E11712" s="20"/>
      <c r="F11712" s="20"/>
      <c r="AC11712" s="20"/>
      <c r="AG11712" s="29"/>
    </row>
    <row r="11713" spans="2:33">
      <c r="B11713" s="29"/>
      <c r="D11713" s="29"/>
      <c r="E11713" s="20"/>
      <c r="F11713" s="20"/>
      <c r="AC11713" s="20"/>
      <c r="AG11713" s="29"/>
    </row>
    <row r="11714" spans="2:33">
      <c r="B11714" s="29"/>
      <c r="D11714" s="29"/>
      <c r="E11714" s="20"/>
      <c r="F11714" s="20"/>
      <c r="AC11714" s="20"/>
      <c r="AG11714" s="29"/>
    </row>
    <row r="11715" spans="2:33">
      <c r="B11715" s="29"/>
      <c r="D11715" s="29"/>
      <c r="E11715" s="20"/>
      <c r="F11715" s="20"/>
      <c r="AC11715" s="20"/>
      <c r="AG11715" s="29"/>
    </row>
    <row r="11716" spans="2:33">
      <c r="B11716" s="29"/>
      <c r="D11716" s="29"/>
      <c r="E11716" s="20"/>
      <c r="F11716" s="20"/>
      <c r="AC11716" s="20"/>
      <c r="AG11716" s="29"/>
    </row>
    <row r="11717" spans="2:33">
      <c r="B11717" s="29"/>
      <c r="D11717" s="29"/>
      <c r="E11717" s="20"/>
      <c r="F11717" s="20"/>
      <c r="AC11717" s="20"/>
      <c r="AG11717" s="29"/>
    </row>
    <row r="11718" spans="2:33">
      <c r="B11718" s="29"/>
      <c r="D11718" s="29"/>
      <c r="E11718" s="20"/>
      <c r="F11718" s="20"/>
      <c r="AC11718" s="20"/>
      <c r="AG11718" s="29"/>
    </row>
    <row r="11719" spans="2:33">
      <c r="B11719" s="29"/>
      <c r="D11719" s="29"/>
      <c r="E11719" s="20"/>
      <c r="F11719" s="20"/>
      <c r="AC11719" s="20"/>
      <c r="AG11719" s="29"/>
    </row>
    <row r="11720" spans="2:33">
      <c r="B11720" s="29"/>
      <c r="D11720" s="29"/>
      <c r="E11720" s="20"/>
      <c r="F11720" s="20"/>
      <c r="AC11720" s="20"/>
      <c r="AG11720" s="29"/>
    </row>
    <row r="11721" spans="2:33">
      <c r="B11721" s="29"/>
      <c r="D11721" s="29"/>
      <c r="E11721" s="20"/>
      <c r="F11721" s="20"/>
      <c r="AC11721" s="20"/>
      <c r="AG11721" s="29"/>
    </row>
    <row r="11722" spans="2:33">
      <c r="B11722" s="29"/>
      <c r="D11722" s="29"/>
      <c r="E11722" s="20"/>
      <c r="F11722" s="20"/>
      <c r="AC11722" s="20"/>
      <c r="AG11722" s="29"/>
    </row>
    <row r="11723" spans="2:33">
      <c r="B11723" s="29"/>
      <c r="D11723" s="29"/>
      <c r="E11723" s="20"/>
      <c r="F11723" s="20"/>
      <c r="AC11723" s="20"/>
      <c r="AG11723" s="29"/>
    </row>
    <row r="11724" spans="2:33">
      <c r="B11724" s="29"/>
      <c r="D11724" s="29"/>
      <c r="E11724" s="20"/>
      <c r="F11724" s="20"/>
      <c r="AC11724" s="20"/>
      <c r="AG11724" s="29"/>
    </row>
    <row r="11725" spans="2:33">
      <c r="B11725" s="29"/>
      <c r="D11725" s="29"/>
      <c r="E11725" s="20"/>
      <c r="F11725" s="20"/>
      <c r="AC11725" s="20"/>
      <c r="AG11725" s="29"/>
    </row>
    <row r="11726" spans="2:33">
      <c r="B11726" s="29"/>
      <c r="D11726" s="29"/>
      <c r="E11726" s="20"/>
      <c r="F11726" s="20"/>
      <c r="AC11726" s="20"/>
      <c r="AG11726" s="29"/>
    </row>
    <row r="11727" spans="2:33">
      <c r="B11727" s="29"/>
      <c r="D11727" s="29"/>
      <c r="E11727" s="20"/>
      <c r="F11727" s="20"/>
      <c r="AC11727" s="20"/>
      <c r="AG11727" s="29"/>
    </row>
    <row r="11728" spans="2:33">
      <c r="B11728" s="29"/>
      <c r="D11728" s="29"/>
      <c r="E11728" s="20"/>
      <c r="F11728" s="20"/>
      <c r="AC11728" s="20"/>
      <c r="AG11728" s="29"/>
    </row>
    <row r="11729" spans="2:33">
      <c r="B11729" s="29"/>
      <c r="D11729" s="29"/>
      <c r="E11729" s="20"/>
      <c r="F11729" s="20"/>
      <c r="AC11729" s="20"/>
      <c r="AG11729" s="29"/>
    </row>
    <row r="11730" spans="2:33">
      <c r="B11730" s="29"/>
      <c r="D11730" s="29"/>
      <c r="E11730" s="20"/>
      <c r="F11730" s="20"/>
      <c r="AC11730" s="20"/>
      <c r="AG11730" s="29"/>
    </row>
    <row r="11731" spans="2:33">
      <c r="B11731" s="29"/>
      <c r="D11731" s="29"/>
      <c r="E11731" s="20"/>
      <c r="F11731" s="20"/>
      <c r="AC11731" s="20"/>
      <c r="AG11731" s="29"/>
    </row>
    <row r="11732" spans="2:33">
      <c r="B11732" s="29"/>
      <c r="D11732" s="29"/>
      <c r="E11732" s="20"/>
      <c r="F11732" s="20"/>
      <c r="AC11732" s="20"/>
      <c r="AG11732" s="29"/>
    </row>
    <row r="11733" spans="2:33">
      <c r="B11733" s="29"/>
      <c r="D11733" s="29"/>
      <c r="E11733" s="20"/>
      <c r="F11733" s="20"/>
      <c r="AC11733" s="20"/>
      <c r="AG11733" s="29"/>
    </row>
    <row r="11734" spans="2:33">
      <c r="B11734" s="29"/>
      <c r="D11734" s="29"/>
      <c r="E11734" s="20"/>
      <c r="F11734" s="20"/>
      <c r="AC11734" s="20"/>
      <c r="AG11734" s="29"/>
    </row>
    <row r="11735" spans="2:33">
      <c r="B11735" s="29"/>
      <c r="D11735" s="29"/>
      <c r="E11735" s="20"/>
      <c r="F11735" s="20"/>
      <c r="AC11735" s="20"/>
      <c r="AG11735" s="29"/>
    </row>
    <row r="11736" spans="2:33">
      <c r="B11736" s="29"/>
      <c r="D11736" s="29"/>
      <c r="E11736" s="20"/>
      <c r="F11736" s="20"/>
      <c r="AC11736" s="20"/>
      <c r="AG11736" s="29"/>
    </row>
    <row r="11737" spans="2:33">
      <c r="B11737" s="29"/>
      <c r="D11737" s="29"/>
      <c r="E11737" s="20"/>
      <c r="F11737" s="20"/>
      <c r="AC11737" s="20"/>
      <c r="AG11737" s="29"/>
    </row>
    <row r="11738" spans="2:33">
      <c r="B11738" s="29"/>
      <c r="D11738" s="29"/>
      <c r="E11738" s="20"/>
      <c r="F11738" s="20"/>
      <c r="AC11738" s="20"/>
      <c r="AG11738" s="29"/>
    </row>
    <row r="11739" spans="2:33">
      <c r="B11739" s="29"/>
      <c r="D11739" s="29"/>
      <c r="E11739" s="20"/>
      <c r="F11739" s="20"/>
      <c r="AC11739" s="20"/>
      <c r="AG11739" s="29"/>
    </row>
    <row r="11740" spans="2:33">
      <c r="B11740" s="29"/>
      <c r="D11740" s="29"/>
      <c r="E11740" s="20"/>
      <c r="F11740" s="20"/>
      <c r="AC11740" s="20"/>
      <c r="AG11740" s="29"/>
    </row>
    <row r="11741" spans="2:33">
      <c r="B11741" s="29"/>
      <c r="D11741" s="29"/>
      <c r="E11741" s="20"/>
      <c r="F11741" s="20"/>
      <c r="AC11741" s="20"/>
      <c r="AG11741" s="29"/>
    </row>
    <row r="11742" spans="2:33">
      <c r="B11742" s="29"/>
      <c r="D11742" s="29"/>
      <c r="E11742" s="20"/>
      <c r="F11742" s="20"/>
      <c r="AC11742" s="20"/>
      <c r="AG11742" s="29"/>
    </row>
    <row r="11743" spans="2:33">
      <c r="B11743" s="29"/>
      <c r="D11743" s="29"/>
      <c r="E11743" s="20"/>
      <c r="F11743" s="20"/>
      <c r="AC11743" s="20"/>
      <c r="AG11743" s="29"/>
    </row>
    <row r="11744" spans="2:33">
      <c r="B11744" s="29"/>
      <c r="D11744" s="29"/>
      <c r="E11744" s="20"/>
      <c r="F11744" s="20"/>
      <c r="AC11744" s="20"/>
      <c r="AG11744" s="29"/>
    </row>
    <row r="11745" spans="2:33">
      <c r="B11745" s="29"/>
      <c r="D11745" s="29"/>
      <c r="E11745" s="20"/>
      <c r="F11745" s="20"/>
      <c r="AC11745" s="20"/>
      <c r="AG11745" s="29"/>
    </row>
    <row r="11746" spans="2:33">
      <c r="B11746" s="29"/>
      <c r="D11746" s="29"/>
      <c r="E11746" s="20"/>
      <c r="F11746" s="20"/>
      <c r="AC11746" s="20"/>
      <c r="AG11746" s="29"/>
    </row>
    <row r="11747" spans="2:33">
      <c r="B11747" s="29"/>
      <c r="D11747" s="29"/>
      <c r="E11747" s="20"/>
      <c r="F11747" s="20"/>
      <c r="AC11747" s="20"/>
      <c r="AG11747" s="29"/>
    </row>
    <row r="11748" spans="2:33">
      <c r="B11748" s="29"/>
      <c r="D11748" s="29"/>
      <c r="E11748" s="20"/>
      <c r="F11748" s="20"/>
      <c r="AC11748" s="20"/>
      <c r="AG11748" s="29"/>
    </row>
    <row r="11749" spans="2:33">
      <c r="B11749" s="29"/>
      <c r="D11749" s="29"/>
      <c r="E11749" s="20"/>
      <c r="F11749" s="20"/>
      <c r="AC11749" s="20"/>
      <c r="AG11749" s="29"/>
    </row>
    <row r="11750" spans="2:33">
      <c r="B11750" s="29"/>
      <c r="D11750" s="29"/>
      <c r="E11750" s="20"/>
      <c r="F11750" s="20"/>
      <c r="AC11750" s="20"/>
      <c r="AG11750" s="29"/>
    </row>
    <row r="11751" spans="2:33">
      <c r="B11751" s="29"/>
      <c r="D11751" s="29"/>
      <c r="E11751" s="20"/>
      <c r="F11751" s="20"/>
      <c r="AC11751" s="20"/>
      <c r="AG11751" s="29"/>
    </row>
    <row r="11752" spans="2:33">
      <c r="B11752" s="29"/>
      <c r="D11752" s="29"/>
      <c r="E11752" s="20"/>
      <c r="F11752" s="20"/>
      <c r="AC11752" s="20"/>
      <c r="AG11752" s="29"/>
    </row>
    <row r="11753" spans="2:33">
      <c r="B11753" s="29"/>
      <c r="D11753" s="29"/>
      <c r="E11753" s="20"/>
      <c r="F11753" s="20"/>
      <c r="AC11753" s="20"/>
      <c r="AG11753" s="29"/>
    </row>
    <row r="11754" spans="2:33">
      <c r="B11754" s="29"/>
      <c r="D11754" s="29"/>
      <c r="E11754" s="20"/>
      <c r="F11754" s="20"/>
      <c r="AC11754" s="20"/>
      <c r="AG11754" s="29"/>
    </row>
    <row r="11755" spans="2:33">
      <c r="B11755" s="29"/>
      <c r="D11755" s="29"/>
      <c r="E11755" s="20"/>
      <c r="F11755" s="20"/>
      <c r="AC11755" s="20"/>
      <c r="AG11755" s="29"/>
    </row>
    <row r="11756" spans="2:33">
      <c r="B11756" s="29"/>
      <c r="D11756" s="29"/>
      <c r="E11756" s="20"/>
      <c r="F11756" s="20"/>
      <c r="AC11756" s="20"/>
      <c r="AG11756" s="29"/>
    </row>
    <row r="11757" spans="2:33">
      <c r="B11757" s="29"/>
      <c r="D11757" s="29"/>
      <c r="E11757" s="20"/>
      <c r="F11757" s="20"/>
      <c r="AC11757" s="20"/>
      <c r="AG11757" s="29"/>
    </row>
    <row r="11758" spans="2:33">
      <c r="B11758" s="29"/>
      <c r="D11758" s="29"/>
      <c r="E11758" s="20"/>
      <c r="F11758" s="20"/>
      <c r="AC11758" s="20"/>
      <c r="AG11758" s="29"/>
    </row>
    <row r="11759" spans="2:33">
      <c r="B11759" s="29"/>
      <c r="D11759" s="29"/>
      <c r="E11759" s="20"/>
      <c r="F11759" s="20"/>
      <c r="AC11759" s="20"/>
      <c r="AG11759" s="29"/>
    </row>
    <row r="11760" spans="2:33">
      <c r="B11760" s="29"/>
      <c r="D11760" s="29"/>
      <c r="E11760" s="20"/>
      <c r="F11760" s="20"/>
      <c r="AC11760" s="20"/>
      <c r="AG11760" s="29"/>
    </row>
    <row r="11761" spans="2:33">
      <c r="B11761" s="29"/>
      <c r="D11761" s="29"/>
      <c r="E11761" s="20"/>
      <c r="F11761" s="20"/>
      <c r="AC11761" s="20"/>
      <c r="AG11761" s="29"/>
    </row>
    <row r="11762" spans="2:33">
      <c r="B11762" s="29"/>
      <c r="D11762" s="29"/>
      <c r="E11762" s="20"/>
      <c r="F11762" s="20"/>
      <c r="AC11762" s="20"/>
      <c r="AG11762" s="29"/>
    </row>
    <row r="11763" spans="2:33">
      <c r="B11763" s="29"/>
      <c r="D11763" s="29"/>
      <c r="E11763" s="20"/>
      <c r="F11763" s="20"/>
      <c r="AC11763" s="20"/>
      <c r="AG11763" s="29"/>
    </row>
    <row r="11764" spans="2:33">
      <c r="B11764" s="29"/>
      <c r="D11764" s="29"/>
      <c r="E11764" s="20"/>
      <c r="F11764" s="20"/>
      <c r="AC11764" s="20"/>
      <c r="AG11764" s="29"/>
    </row>
    <row r="11765" spans="2:33">
      <c r="B11765" s="29"/>
      <c r="D11765" s="29"/>
      <c r="E11765" s="20"/>
      <c r="F11765" s="20"/>
      <c r="AC11765" s="20"/>
      <c r="AG11765" s="29"/>
    </row>
    <row r="11766" spans="2:33">
      <c r="B11766" s="29"/>
      <c r="D11766" s="29"/>
      <c r="E11766" s="20"/>
      <c r="F11766" s="20"/>
      <c r="AC11766" s="20"/>
      <c r="AG11766" s="29"/>
    </row>
    <row r="11767" spans="2:33">
      <c r="B11767" s="29"/>
      <c r="D11767" s="29"/>
      <c r="E11767" s="20"/>
      <c r="F11767" s="20"/>
      <c r="AC11767" s="20"/>
      <c r="AG11767" s="29"/>
    </row>
    <row r="11768" spans="2:33">
      <c r="B11768" s="29"/>
      <c r="D11768" s="29"/>
      <c r="E11768" s="20"/>
      <c r="F11768" s="20"/>
      <c r="AC11768" s="20"/>
      <c r="AG11768" s="29"/>
    </row>
    <row r="11769" spans="2:33">
      <c r="B11769" s="29"/>
      <c r="D11769" s="29"/>
      <c r="E11769" s="20"/>
      <c r="F11769" s="20"/>
      <c r="AC11769" s="20"/>
      <c r="AG11769" s="29"/>
    </row>
    <row r="11770" spans="2:33">
      <c r="B11770" s="29"/>
      <c r="D11770" s="29"/>
      <c r="E11770" s="20"/>
      <c r="F11770" s="20"/>
      <c r="AC11770" s="20"/>
      <c r="AG11770" s="29"/>
    </row>
    <row r="11771" spans="2:33">
      <c r="B11771" s="29"/>
      <c r="D11771" s="29"/>
      <c r="E11771" s="20"/>
      <c r="F11771" s="20"/>
      <c r="AC11771" s="20"/>
      <c r="AG11771" s="29"/>
    </row>
    <row r="11772" spans="2:33">
      <c r="B11772" s="29"/>
      <c r="D11772" s="29"/>
      <c r="E11772" s="20"/>
      <c r="F11772" s="20"/>
      <c r="AC11772" s="20"/>
      <c r="AG11772" s="29"/>
    </row>
    <row r="11773" spans="2:33">
      <c r="B11773" s="29"/>
      <c r="D11773" s="29"/>
      <c r="E11773" s="20"/>
      <c r="F11773" s="20"/>
      <c r="AC11773" s="20"/>
      <c r="AG11773" s="29"/>
    </row>
    <row r="11774" spans="2:33">
      <c r="B11774" s="29"/>
      <c r="D11774" s="29"/>
      <c r="E11774" s="20"/>
      <c r="F11774" s="20"/>
      <c r="AC11774" s="20"/>
      <c r="AG11774" s="29"/>
    </row>
    <row r="11775" spans="2:33">
      <c r="B11775" s="29"/>
      <c r="D11775" s="29"/>
      <c r="E11775" s="20"/>
      <c r="F11775" s="20"/>
      <c r="AC11775" s="20"/>
      <c r="AG11775" s="29"/>
    </row>
    <row r="11776" spans="2:33">
      <c r="B11776" s="29"/>
      <c r="D11776" s="29"/>
      <c r="E11776" s="20"/>
      <c r="F11776" s="20"/>
      <c r="AC11776" s="20"/>
      <c r="AG11776" s="29"/>
    </row>
    <row r="11777" spans="2:33">
      <c r="B11777" s="29"/>
      <c r="D11777" s="29"/>
      <c r="E11777" s="20"/>
      <c r="F11777" s="20"/>
      <c r="AC11777" s="20"/>
      <c r="AG11777" s="29"/>
    </row>
    <row r="11778" spans="2:33">
      <c r="B11778" s="29"/>
      <c r="D11778" s="29"/>
      <c r="E11778" s="20"/>
      <c r="F11778" s="20"/>
      <c r="AC11778" s="20"/>
      <c r="AG11778" s="29"/>
    </row>
    <row r="11779" spans="2:33">
      <c r="B11779" s="29"/>
      <c r="D11779" s="29"/>
      <c r="E11779" s="20"/>
      <c r="F11779" s="20"/>
      <c r="AC11779" s="20"/>
      <c r="AG11779" s="29"/>
    </row>
    <row r="11780" spans="2:33">
      <c r="B11780" s="29"/>
      <c r="D11780" s="29"/>
      <c r="E11780" s="20"/>
      <c r="F11780" s="20"/>
      <c r="AC11780" s="20"/>
      <c r="AG11780" s="29"/>
    </row>
    <row r="11781" spans="2:33">
      <c r="B11781" s="29"/>
      <c r="D11781" s="29"/>
      <c r="E11781" s="20"/>
      <c r="F11781" s="20"/>
      <c r="AC11781" s="20"/>
      <c r="AG11781" s="29"/>
    </row>
    <row r="11782" spans="2:33">
      <c r="B11782" s="29"/>
      <c r="D11782" s="29"/>
      <c r="E11782" s="20"/>
      <c r="F11782" s="20"/>
      <c r="AC11782" s="20"/>
      <c r="AG11782" s="29"/>
    </row>
    <row r="11783" spans="2:33">
      <c r="B11783" s="29"/>
      <c r="D11783" s="29"/>
      <c r="E11783" s="20"/>
      <c r="F11783" s="20"/>
      <c r="AC11783" s="20"/>
      <c r="AG11783" s="29"/>
    </row>
    <row r="11784" spans="2:33">
      <c r="B11784" s="29"/>
      <c r="D11784" s="29"/>
      <c r="E11784" s="20"/>
      <c r="F11784" s="20"/>
      <c r="AC11784" s="20"/>
      <c r="AG11784" s="29"/>
    </row>
    <row r="11785" spans="2:33">
      <c r="B11785" s="29"/>
      <c r="D11785" s="29"/>
      <c r="E11785" s="20"/>
      <c r="F11785" s="20"/>
      <c r="AC11785" s="20"/>
      <c r="AG11785" s="29"/>
    </row>
    <row r="11786" spans="2:33">
      <c r="B11786" s="29"/>
      <c r="D11786" s="29"/>
      <c r="E11786" s="20"/>
      <c r="F11786" s="20"/>
      <c r="AC11786" s="20"/>
      <c r="AG11786" s="29"/>
    </row>
    <row r="11787" spans="2:33">
      <c r="B11787" s="29"/>
      <c r="D11787" s="29"/>
      <c r="E11787" s="20"/>
      <c r="F11787" s="20"/>
      <c r="AC11787" s="20"/>
      <c r="AG11787" s="29"/>
    </row>
    <row r="11788" spans="2:33">
      <c r="B11788" s="29"/>
      <c r="D11788" s="29"/>
      <c r="E11788" s="20"/>
      <c r="F11788" s="20"/>
      <c r="AC11788" s="20"/>
      <c r="AG11788" s="29"/>
    </row>
    <row r="11789" spans="2:33">
      <c r="B11789" s="29"/>
      <c r="D11789" s="29"/>
      <c r="E11789" s="20"/>
      <c r="F11789" s="20"/>
      <c r="AC11789" s="20"/>
      <c r="AG11789" s="29"/>
    </row>
    <row r="11790" spans="2:33">
      <c r="B11790" s="29"/>
      <c r="D11790" s="29"/>
      <c r="E11790" s="20"/>
      <c r="F11790" s="20"/>
      <c r="AC11790" s="20"/>
      <c r="AG11790" s="29"/>
    </row>
    <row r="11791" spans="2:33">
      <c r="B11791" s="29"/>
      <c r="D11791" s="29"/>
      <c r="E11791" s="20"/>
      <c r="F11791" s="20"/>
      <c r="AC11791" s="20"/>
      <c r="AG11791" s="29"/>
    </row>
    <row r="11792" spans="2:33">
      <c r="B11792" s="29"/>
      <c r="D11792" s="29"/>
      <c r="E11792" s="20"/>
      <c r="F11792" s="20"/>
      <c r="AC11792" s="20"/>
      <c r="AG11792" s="29"/>
    </row>
    <row r="11793" spans="2:33">
      <c r="B11793" s="29"/>
      <c r="D11793" s="29"/>
      <c r="E11793" s="20"/>
      <c r="F11793" s="20"/>
      <c r="AC11793" s="20"/>
      <c r="AG11793" s="29"/>
    </row>
    <row r="11794" spans="2:33">
      <c r="B11794" s="29"/>
      <c r="D11794" s="29"/>
      <c r="E11794" s="20"/>
      <c r="F11794" s="20"/>
      <c r="AC11794" s="20"/>
      <c r="AG11794" s="29"/>
    </row>
    <row r="11795" spans="2:33">
      <c r="B11795" s="29"/>
      <c r="D11795" s="29"/>
      <c r="E11795" s="20"/>
      <c r="F11795" s="20"/>
      <c r="AC11795" s="20"/>
      <c r="AG11795" s="29"/>
    </row>
    <row r="11796" spans="2:33">
      <c r="B11796" s="29"/>
      <c r="D11796" s="29"/>
      <c r="E11796" s="20"/>
      <c r="F11796" s="20"/>
      <c r="AC11796" s="20"/>
      <c r="AG11796" s="29"/>
    </row>
    <row r="11797" spans="2:33">
      <c r="B11797" s="29"/>
      <c r="D11797" s="29"/>
      <c r="E11797" s="20"/>
      <c r="F11797" s="20"/>
      <c r="AC11797" s="20"/>
      <c r="AG11797" s="29"/>
    </row>
    <row r="11798" spans="2:33">
      <c r="B11798" s="29"/>
      <c r="D11798" s="29"/>
      <c r="E11798" s="20"/>
      <c r="F11798" s="20"/>
      <c r="AC11798" s="20"/>
      <c r="AG11798" s="29"/>
    </row>
    <row r="11799" spans="2:33">
      <c r="B11799" s="29"/>
      <c r="D11799" s="29"/>
      <c r="E11799" s="20"/>
      <c r="F11799" s="20"/>
      <c r="AC11799" s="20"/>
      <c r="AG11799" s="29"/>
    </row>
    <row r="11800" spans="2:33">
      <c r="B11800" s="29"/>
      <c r="D11800" s="29"/>
      <c r="E11800" s="20"/>
      <c r="F11800" s="20"/>
      <c r="AC11800" s="20"/>
      <c r="AG11800" s="29"/>
    </row>
    <row r="11801" spans="2:33">
      <c r="B11801" s="29"/>
      <c r="D11801" s="29"/>
      <c r="E11801" s="20"/>
      <c r="F11801" s="20"/>
      <c r="AC11801" s="20"/>
      <c r="AG11801" s="29"/>
    </row>
    <row r="11802" spans="2:33">
      <c r="B11802" s="29"/>
      <c r="D11802" s="29"/>
      <c r="E11802" s="20"/>
      <c r="F11802" s="20"/>
      <c r="AC11802" s="20"/>
      <c r="AG11802" s="29"/>
    </row>
    <row r="11803" spans="2:33">
      <c r="B11803" s="29"/>
      <c r="D11803" s="29"/>
      <c r="E11803" s="20"/>
      <c r="F11803" s="20"/>
      <c r="AC11803" s="20"/>
      <c r="AG11803" s="29"/>
    </row>
    <row r="11804" spans="2:33">
      <c r="B11804" s="29"/>
      <c r="D11804" s="29"/>
      <c r="E11804" s="20"/>
      <c r="F11804" s="20"/>
      <c r="AC11804" s="20"/>
      <c r="AG11804" s="29"/>
    </row>
    <row r="11805" spans="2:33">
      <c r="B11805" s="29"/>
      <c r="D11805" s="29"/>
      <c r="E11805" s="20"/>
      <c r="F11805" s="20"/>
      <c r="AC11805" s="20"/>
      <c r="AG11805" s="29"/>
    </row>
    <row r="11806" spans="2:33">
      <c r="B11806" s="29"/>
      <c r="D11806" s="29"/>
      <c r="E11806" s="20"/>
      <c r="F11806" s="20"/>
      <c r="AC11806" s="20"/>
      <c r="AG11806" s="29"/>
    </row>
    <row r="11807" spans="2:33">
      <c r="B11807" s="29"/>
      <c r="D11807" s="29"/>
      <c r="E11807" s="20"/>
      <c r="F11807" s="20"/>
      <c r="AC11807" s="20"/>
      <c r="AG11807" s="29"/>
    </row>
    <row r="11808" spans="2:33">
      <c r="B11808" s="29"/>
      <c r="D11808" s="29"/>
      <c r="E11808" s="20"/>
      <c r="F11808" s="20"/>
      <c r="AC11808" s="20"/>
      <c r="AG11808" s="29"/>
    </row>
    <row r="11809" spans="2:33">
      <c r="B11809" s="29"/>
      <c r="D11809" s="29"/>
      <c r="E11809" s="20"/>
      <c r="F11809" s="20"/>
      <c r="AC11809" s="20"/>
      <c r="AG11809" s="29"/>
    </row>
    <row r="11810" spans="2:33">
      <c r="B11810" s="29"/>
      <c r="D11810" s="29"/>
      <c r="E11810" s="20"/>
      <c r="F11810" s="20"/>
      <c r="AC11810" s="20"/>
      <c r="AG11810" s="29"/>
    </row>
    <row r="11811" spans="2:33">
      <c r="B11811" s="29"/>
      <c r="D11811" s="29"/>
      <c r="E11811" s="20"/>
      <c r="F11811" s="20"/>
      <c r="AC11811" s="20"/>
      <c r="AG11811" s="29"/>
    </row>
    <row r="11812" spans="2:33">
      <c r="B11812" s="29"/>
      <c r="D11812" s="29"/>
      <c r="E11812" s="20"/>
      <c r="F11812" s="20"/>
      <c r="AC11812" s="20"/>
      <c r="AG11812" s="29"/>
    </row>
    <row r="11813" spans="2:33">
      <c r="B11813" s="29"/>
      <c r="D11813" s="29"/>
      <c r="E11813" s="20"/>
      <c r="F11813" s="20"/>
      <c r="AC11813" s="20"/>
      <c r="AG11813" s="29"/>
    </row>
    <row r="11814" spans="2:33">
      <c r="B11814" s="29"/>
      <c r="D11814" s="29"/>
      <c r="E11814" s="20"/>
      <c r="F11814" s="20"/>
      <c r="AC11814" s="20"/>
      <c r="AG11814" s="29"/>
    </row>
    <row r="11815" spans="2:33">
      <c r="B11815" s="29"/>
      <c r="D11815" s="29"/>
      <c r="E11815" s="20"/>
      <c r="F11815" s="20"/>
      <c r="AC11815" s="20"/>
      <c r="AG11815" s="29"/>
    </row>
    <row r="11816" spans="2:33">
      <c r="B11816" s="29"/>
      <c r="D11816" s="29"/>
      <c r="E11816" s="20"/>
      <c r="F11816" s="20"/>
      <c r="AC11816" s="20"/>
      <c r="AG11816" s="29"/>
    </row>
    <row r="11817" spans="2:33">
      <c r="B11817" s="29"/>
      <c r="D11817" s="29"/>
      <c r="E11817" s="20"/>
      <c r="F11817" s="20"/>
      <c r="AC11817" s="20"/>
      <c r="AG11817" s="29"/>
    </row>
    <row r="11818" spans="2:33">
      <c r="B11818" s="29"/>
      <c r="D11818" s="29"/>
      <c r="E11818" s="20"/>
      <c r="F11818" s="20"/>
      <c r="AC11818" s="20"/>
      <c r="AG11818" s="29"/>
    </row>
    <row r="11819" spans="2:33">
      <c r="B11819" s="29"/>
      <c r="D11819" s="29"/>
      <c r="E11819" s="20"/>
      <c r="F11819" s="20"/>
      <c r="AC11819" s="20"/>
      <c r="AG11819" s="29"/>
    </row>
    <row r="11820" spans="2:33">
      <c r="B11820" s="29"/>
      <c r="D11820" s="29"/>
      <c r="E11820" s="20"/>
      <c r="F11820" s="20"/>
      <c r="AC11820" s="20"/>
      <c r="AG11820" s="29"/>
    </row>
    <row r="11821" spans="2:33">
      <c r="B11821" s="29"/>
      <c r="D11821" s="29"/>
      <c r="E11821" s="20"/>
      <c r="F11821" s="20"/>
      <c r="AC11821" s="20"/>
      <c r="AG11821" s="29"/>
    </row>
    <row r="11822" spans="2:33">
      <c r="B11822" s="29"/>
      <c r="D11822" s="29"/>
      <c r="E11822" s="20"/>
      <c r="F11822" s="20"/>
      <c r="AC11822" s="20"/>
      <c r="AG11822" s="29"/>
    </row>
    <row r="11823" spans="2:33">
      <c r="B11823" s="29"/>
      <c r="D11823" s="29"/>
      <c r="E11823" s="20"/>
      <c r="F11823" s="20"/>
      <c r="AC11823" s="20"/>
      <c r="AG11823" s="29"/>
    </row>
    <row r="11824" spans="2:33">
      <c r="B11824" s="29"/>
      <c r="D11824" s="29"/>
      <c r="E11824" s="20"/>
      <c r="F11824" s="20"/>
      <c r="AC11824" s="20"/>
      <c r="AG11824" s="29"/>
    </row>
    <row r="11825" spans="2:33">
      <c r="B11825" s="29"/>
      <c r="D11825" s="29"/>
      <c r="E11825" s="20"/>
      <c r="F11825" s="20"/>
      <c r="AC11825" s="20"/>
      <c r="AG11825" s="29"/>
    </row>
    <row r="11826" spans="2:33">
      <c r="B11826" s="29"/>
      <c r="D11826" s="29"/>
      <c r="E11826" s="20"/>
      <c r="F11826" s="20"/>
      <c r="AC11826" s="20"/>
      <c r="AG11826" s="29"/>
    </row>
    <row r="11827" spans="2:33">
      <c r="B11827" s="29"/>
      <c r="D11827" s="29"/>
      <c r="E11827" s="20"/>
      <c r="F11827" s="20"/>
      <c r="AC11827" s="20"/>
      <c r="AG11827" s="29"/>
    </row>
    <row r="11828" spans="2:33">
      <c r="B11828" s="29"/>
      <c r="D11828" s="29"/>
      <c r="E11828" s="20"/>
      <c r="F11828" s="20"/>
      <c r="AC11828" s="20"/>
      <c r="AG11828" s="29"/>
    </row>
    <row r="11829" spans="2:33">
      <c r="B11829" s="29"/>
      <c r="D11829" s="29"/>
      <c r="E11829" s="20"/>
      <c r="F11829" s="20"/>
      <c r="AC11829" s="20"/>
      <c r="AG11829" s="29"/>
    </row>
    <row r="11830" spans="2:33">
      <c r="B11830" s="29"/>
      <c r="D11830" s="29"/>
      <c r="E11830" s="20"/>
      <c r="F11830" s="20"/>
      <c r="AC11830" s="20"/>
      <c r="AG11830" s="29"/>
    </row>
    <row r="11831" spans="2:33">
      <c r="B11831" s="29"/>
      <c r="D11831" s="29"/>
      <c r="E11831" s="20"/>
      <c r="F11831" s="20"/>
      <c r="AC11831" s="20"/>
      <c r="AG11831" s="29"/>
    </row>
    <row r="11832" spans="2:33">
      <c r="B11832" s="29"/>
      <c r="D11832" s="29"/>
      <c r="E11832" s="20"/>
      <c r="F11832" s="20"/>
      <c r="AC11832" s="20"/>
      <c r="AG11832" s="29"/>
    </row>
    <row r="11833" spans="2:33">
      <c r="B11833" s="29"/>
      <c r="D11833" s="29"/>
      <c r="E11833" s="20"/>
      <c r="F11833" s="20"/>
      <c r="AC11833" s="20"/>
      <c r="AG11833" s="29"/>
    </row>
    <row r="11834" spans="2:33">
      <c r="B11834" s="29"/>
      <c r="D11834" s="29"/>
      <c r="E11834" s="20"/>
      <c r="F11834" s="20"/>
      <c r="AC11834" s="20"/>
      <c r="AG11834" s="29"/>
    </row>
    <row r="11835" spans="2:33">
      <c r="B11835" s="29"/>
      <c r="D11835" s="29"/>
      <c r="E11835" s="20"/>
      <c r="F11835" s="20"/>
      <c r="AC11835" s="20"/>
      <c r="AG11835" s="29"/>
    </row>
    <row r="11836" spans="2:33">
      <c r="B11836" s="29"/>
      <c r="D11836" s="29"/>
      <c r="E11836" s="20"/>
      <c r="F11836" s="20"/>
      <c r="AC11836" s="20"/>
      <c r="AG11836" s="29"/>
    </row>
    <row r="11837" spans="2:33">
      <c r="B11837" s="29"/>
      <c r="D11837" s="29"/>
      <c r="E11837" s="20"/>
      <c r="F11837" s="20"/>
      <c r="AC11837" s="20"/>
      <c r="AG11837" s="29"/>
    </row>
    <row r="11838" spans="2:33">
      <c r="B11838" s="29"/>
      <c r="D11838" s="29"/>
      <c r="E11838" s="20"/>
      <c r="F11838" s="20"/>
      <c r="AC11838" s="20"/>
      <c r="AG11838" s="29"/>
    </row>
    <row r="11839" spans="2:33">
      <c r="B11839" s="29"/>
      <c r="D11839" s="29"/>
      <c r="E11839" s="20"/>
      <c r="F11839" s="20"/>
      <c r="AC11839" s="20"/>
      <c r="AG11839" s="29"/>
    </row>
    <row r="11840" spans="2:33">
      <c r="B11840" s="29"/>
      <c r="D11840" s="29"/>
      <c r="E11840" s="20"/>
      <c r="F11840" s="20"/>
      <c r="AC11840" s="20"/>
      <c r="AG11840" s="29"/>
    </row>
    <row r="11841" spans="2:33">
      <c r="B11841" s="29"/>
      <c r="D11841" s="29"/>
      <c r="E11841" s="20"/>
      <c r="F11841" s="20"/>
      <c r="AC11841" s="20"/>
      <c r="AG11841" s="29"/>
    </row>
    <row r="11842" spans="2:33">
      <c r="B11842" s="29"/>
      <c r="D11842" s="29"/>
      <c r="E11842" s="20"/>
      <c r="F11842" s="20"/>
      <c r="AC11842" s="20"/>
      <c r="AG11842" s="29"/>
    </row>
    <row r="11843" spans="2:33">
      <c r="B11843" s="29"/>
      <c r="D11843" s="29"/>
      <c r="E11843" s="20"/>
      <c r="F11843" s="20"/>
      <c r="AC11843" s="20"/>
      <c r="AG11843" s="29"/>
    </row>
    <row r="11844" spans="2:33">
      <c r="B11844" s="29"/>
      <c r="D11844" s="29"/>
      <c r="E11844" s="20"/>
      <c r="F11844" s="20"/>
      <c r="AC11844" s="20"/>
      <c r="AG11844" s="29"/>
    </row>
    <row r="11845" spans="2:33">
      <c r="B11845" s="29"/>
      <c r="D11845" s="29"/>
      <c r="E11845" s="20"/>
      <c r="F11845" s="20"/>
      <c r="AC11845" s="20"/>
      <c r="AG11845" s="29"/>
    </row>
    <row r="11846" spans="2:33">
      <c r="B11846" s="29"/>
      <c r="D11846" s="29"/>
      <c r="E11846" s="20"/>
      <c r="F11846" s="20"/>
      <c r="AC11846" s="20"/>
      <c r="AG11846" s="29"/>
    </row>
    <row r="11847" spans="2:33">
      <c r="B11847" s="29"/>
      <c r="D11847" s="29"/>
      <c r="E11847" s="20"/>
      <c r="F11847" s="20"/>
      <c r="AC11847" s="20"/>
      <c r="AG11847" s="29"/>
    </row>
    <row r="11848" spans="2:33">
      <c r="B11848" s="29"/>
      <c r="D11848" s="29"/>
      <c r="E11848" s="20"/>
      <c r="F11848" s="20"/>
      <c r="AC11848" s="20"/>
      <c r="AG11848" s="29"/>
    </row>
    <row r="11849" spans="2:33">
      <c r="B11849" s="29"/>
      <c r="D11849" s="29"/>
      <c r="E11849" s="20"/>
      <c r="F11849" s="20"/>
      <c r="AC11849" s="20"/>
      <c r="AG11849" s="29"/>
    </row>
    <row r="11850" spans="2:33">
      <c r="B11850" s="29"/>
      <c r="D11850" s="29"/>
      <c r="E11850" s="20"/>
      <c r="F11850" s="20"/>
      <c r="AC11850" s="20"/>
      <c r="AG11850" s="29"/>
    </row>
    <row r="11851" spans="2:33">
      <c r="B11851" s="29"/>
      <c r="D11851" s="29"/>
      <c r="E11851" s="20"/>
      <c r="F11851" s="20"/>
      <c r="AC11851" s="20"/>
      <c r="AG11851" s="29"/>
    </row>
    <row r="11852" spans="2:33">
      <c r="B11852" s="29"/>
      <c r="D11852" s="29"/>
      <c r="E11852" s="20"/>
      <c r="F11852" s="20"/>
      <c r="AC11852" s="20"/>
      <c r="AG11852" s="29"/>
    </row>
    <row r="11853" spans="2:33">
      <c r="B11853" s="29"/>
      <c r="D11853" s="29"/>
      <c r="E11853" s="20"/>
      <c r="F11853" s="20"/>
      <c r="AC11853" s="20"/>
      <c r="AG11853" s="29"/>
    </row>
    <row r="11854" spans="2:33">
      <c r="B11854" s="29"/>
      <c r="D11854" s="29"/>
      <c r="E11854" s="20"/>
      <c r="F11854" s="20"/>
      <c r="AC11854" s="20"/>
      <c r="AG11854" s="29"/>
    </row>
    <row r="11855" spans="2:33">
      <c r="B11855" s="29"/>
      <c r="D11855" s="29"/>
      <c r="E11855" s="20"/>
      <c r="F11855" s="20"/>
      <c r="AC11855" s="20"/>
      <c r="AG11855" s="29"/>
    </row>
    <row r="11856" spans="2:33">
      <c r="B11856" s="29"/>
      <c r="D11856" s="29"/>
      <c r="E11856" s="20"/>
      <c r="F11856" s="20"/>
      <c r="AC11856" s="20"/>
      <c r="AG11856" s="29"/>
    </row>
    <row r="11857" spans="2:33">
      <c r="B11857" s="29"/>
      <c r="D11857" s="29"/>
      <c r="E11857" s="20"/>
      <c r="F11857" s="20"/>
      <c r="AC11857" s="20"/>
      <c r="AG11857" s="29"/>
    </row>
    <row r="11858" spans="2:33">
      <c r="B11858" s="29"/>
      <c r="D11858" s="29"/>
      <c r="E11858" s="20"/>
      <c r="F11858" s="20"/>
      <c r="AC11858" s="20"/>
      <c r="AG11858" s="29"/>
    </row>
    <row r="11859" spans="2:33">
      <c r="B11859" s="29"/>
      <c r="D11859" s="29"/>
      <c r="E11859" s="20"/>
      <c r="F11859" s="20"/>
      <c r="AC11859" s="20"/>
      <c r="AG11859" s="29"/>
    </row>
    <row r="11860" spans="2:33">
      <c r="B11860" s="29"/>
      <c r="D11860" s="29"/>
      <c r="E11860" s="20"/>
      <c r="F11860" s="20"/>
      <c r="AC11860" s="20"/>
      <c r="AG11860" s="29"/>
    </row>
    <row r="11861" spans="2:33">
      <c r="B11861" s="29"/>
      <c r="D11861" s="29"/>
      <c r="E11861" s="20"/>
      <c r="F11861" s="20"/>
      <c r="AC11861" s="20"/>
      <c r="AG11861" s="29"/>
    </row>
    <row r="11862" spans="2:33">
      <c r="B11862" s="29"/>
      <c r="D11862" s="29"/>
      <c r="E11862" s="20"/>
      <c r="F11862" s="20"/>
      <c r="AC11862" s="20"/>
      <c r="AG11862" s="29"/>
    </row>
    <row r="11863" spans="2:33">
      <c r="B11863" s="29"/>
      <c r="D11863" s="29"/>
      <c r="E11863" s="20"/>
      <c r="F11863" s="20"/>
      <c r="AC11863" s="20"/>
      <c r="AG11863" s="29"/>
    </row>
    <row r="11864" spans="2:33">
      <c r="B11864" s="29"/>
      <c r="D11864" s="29"/>
      <c r="E11864" s="20"/>
      <c r="F11864" s="20"/>
      <c r="AC11864" s="20"/>
      <c r="AG11864" s="29"/>
    </row>
    <row r="11865" spans="2:33">
      <c r="B11865" s="29"/>
      <c r="D11865" s="29"/>
      <c r="E11865" s="20"/>
      <c r="F11865" s="20"/>
      <c r="AC11865" s="20"/>
      <c r="AG11865" s="29"/>
    </row>
    <row r="11866" spans="2:33">
      <c r="B11866" s="29"/>
      <c r="D11866" s="29"/>
      <c r="E11866" s="20"/>
      <c r="F11866" s="20"/>
      <c r="AC11866" s="20"/>
      <c r="AG11866" s="29"/>
    </row>
    <row r="11867" spans="2:33">
      <c r="B11867" s="29"/>
      <c r="D11867" s="29"/>
      <c r="E11867" s="20"/>
      <c r="F11867" s="20"/>
      <c r="AC11867" s="20"/>
      <c r="AG11867" s="29"/>
    </row>
    <row r="11868" spans="2:33">
      <c r="B11868" s="29"/>
      <c r="D11868" s="29"/>
      <c r="E11868" s="20"/>
      <c r="F11868" s="20"/>
      <c r="AC11868" s="20"/>
      <c r="AG11868" s="29"/>
    </row>
    <row r="11869" spans="2:33">
      <c r="B11869" s="29"/>
      <c r="D11869" s="29"/>
      <c r="E11869" s="20"/>
      <c r="F11869" s="20"/>
      <c r="AC11869" s="20"/>
      <c r="AG11869" s="29"/>
    </row>
    <row r="11870" spans="2:33">
      <c r="B11870" s="29"/>
      <c r="D11870" s="29"/>
      <c r="E11870" s="20"/>
      <c r="F11870" s="20"/>
      <c r="AC11870" s="20"/>
      <c r="AG11870" s="29"/>
    </row>
    <row r="11871" spans="2:33">
      <c r="B11871" s="29"/>
      <c r="D11871" s="29"/>
      <c r="E11871" s="20"/>
      <c r="F11871" s="20"/>
      <c r="AC11871" s="20"/>
      <c r="AG11871" s="29"/>
    </row>
    <row r="11872" spans="2:33">
      <c r="B11872" s="29"/>
      <c r="D11872" s="29"/>
      <c r="E11872" s="20"/>
      <c r="F11872" s="20"/>
      <c r="AC11872" s="20"/>
      <c r="AG11872" s="29"/>
    </row>
    <row r="11873" spans="2:33">
      <c r="B11873" s="29"/>
      <c r="D11873" s="29"/>
      <c r="E11873" s="20"/>
      <c r="F11873" s="20"/>
      <c r="AC11873" s="20"/>
      <c r="AG11873" s="29"/>
    </row>
    <row r="11874" spans="2:33">
      <c r="B11874" s="29"/>
      <c r="D11874" s="29"/>
      <c r="E11874" s="20"/>
      <c r="F11874" s="20"/>
      <c r="AC11874" s="20"/>
      <c r="AG11874" s="29"/>
    </row>
    <row r="11875" spans="2:33">
      <c r="B11875" s="29"/>
      <c r="D11875" s="29"/>
      <c r="E11875" s="20"/>
      <c r="F11875" s="20"/>
      <c r="AC11875" s="20"/>
      <c r="AG11875" s="29"/>
    </row>
    <row r="11876" spans="2:33">
      <c r="B11876" s="29"/>
      <c r="D11876" s="29"/>
      <c r="E11876" s="20"/>
      <c r="F11876" s="20"/>
      <c r="AC11876" s="20"/>
      <c r="AG11876" s="29"/>
    </row>
    <row r="11877" spans="2:33">
      <c r="B11877" s="29"/>
      <c r="D11877" s="29"/>
      <c r="E11877" s="20"/>
      <c r="F11877" s="20"/>
      <c r="AC11877" s="20"/>
      <c r="AG11877" s="29"/>
    </row>
    <row r="11878" spans="2:33">
      <c r="B11878" s="29"/>
      <c r="D11878" s="29"/>
      <c r="E11878" s="20"/>
      <c r="F11878" s="20"/>
      <c r="AC11878" s="20"/>
      <c r="AG11878" s="29"/>
    </row>
    <row r="11879" spans="2:33">
      <c r="B11879" s="29"/>
      <c r="D11879" s="29"/>
      <c r="E11879" s="20"/>
      <c r="F11879" s="20"/>
      <c r="AC11879" s="20"/>
      <c r="AG11879" s="29"/>
    </row>
    <row r="11880" spans="2:33">
      <c r="B11880" s="29"/>
      <c r="D11880" s="29"/>
      <c r="E11880" s="20"/>
      <c r="F11880" s="20"/>
      <c r="AC11880" s="20"/>
      <c r="AG11880" s="29"/>
    </row>
    <row r="11881" spans="2:33">
      <c r="B11881" s="29"/>
      <c r="D11881" s="29"/>
      <c r="E11881" s="20"/>
      <c r="F11881" s="20"/>
      <c r="AC11881" s="20"/>
      <c r="AG11881" s="29"/>
    </row>
    <row r="11882" spans="2:33">
      <c r="B11882" s="29"/>
      <c r="D11882" s="29"/>
      <c r="E11882" s="20"/>
      <c r="F11882" s="20"/>
      <c r="AC11882" s="20"/>
      <c r="AG11882" s="29"/>
    </row>
    <row r="11883" spans="2:33">
      <c r="B11883" s="29"/>
      <c r="D11883" s="29"/>
      <c r="E11883" s="20"/>
      <c r="F11883" s="20"/>
      <c r="AC11883" s="20"/>
      <c r="AG11883" s="29"/>
    </row>
    <row r="11884" spans="2:33">
      <c r="B11884" s="29"/>
      <c r="D11884" s="29"/>
      <c r="E11884" s="20"/>
      <c r="F11884" s="20"/>
      <c r="AC11884" s="20"/>
      <c r="AG11884" s="29"/>
    </row>
    <row r="11885" spans="2:33">
      <c r="B11885" s="29"/>
      <c r="D11885" s="29"/>
      <c r="E11885" s="20"/>
      <c r="F11885" s="20"/>
      <c r="AC11885" s="20"/>
      <c r="AG11885" s="29"/>
    </row>
    <row r="11886" spans="2:33">
      <c r="B11886" s="29"/>
      <c r="D11886" s="29"/>
      <c r="E11886" s="20"/>
      <c r="F11886" s="20"/>
      <c r="AC11886" s="20"/>
      <c r="AG11886" s="29"/>
    </row>
    <row r="11887" spans="2:33">
      <c r="B11887" s="29"/>
      <c r="D11887" s="29"/>
      <c r="E11887" s="20"/>
      <c r="F11887" s="20"/>
      <c r="AC11887" s="20"/>
      <c r="AG11887" s="29"/>
    </row>
    <row r="11888" spans="2:33">
      <c r="B11888" s="29"/>
      <c r="D11888" s="29"/>
      <c r="E11888" s="20"/>
      <c r="F11888" s="20"/>
      <c r="AC11888" s="20"/>
      <c r="AG11888" s="29"/>
    </row>
    <row r="11889" spans="2:33">
      <c r="B11889" s="29"/>
      <c r="D11889" s="29"/>
      <c r="E11889" s="20"/>
      <c r="F11889" s="20"/>
      <c r="AC11889" s="20"/>
      <c r="AG11889" s="29"/>
    </row>
    <row r="11890" spans="2:33">
      <c r="B11890" s="29"/>
      <c r="D11890" s="29"/>
      <c r="E11890" s="20"/>
      <c r="F11890" s="20"/>
      <c r="AC11890" s="20"/>
      <c r="AG11890" s="29"/>
    </row>
    <row r="11891" spans="2:33">
      <c r="B11891" s="29"/>
      <c r="D11891" s="29"/>
      <c r="E11891" s="20"/>
      <c r="F11891" s="20"/>
      <c r="AC11891" s="20"/>
      <c r="AG11891" s="29"/>
    </row>
    <row r="11892" spans="2:33">
      <c r="B11892" s="29"/>
      <c r="D11892" s="29"/>
      <c r="E11892" s="20"/>
      <c r="F11892" s="20"/>
      <c r="AC11892" s="20"/>
      <c r="AG11892" s="29"/>
    </row>
    <row r="11893" spans="2:33">
      <c r="B11893" s="29"/>
      <c r="D11893" s="29"/>
      <c r="E11893" s="20"/>
      <c r="F11893" s="20"/>
      <c r="AC11893" s="20"/>
      <c r="AG11893" s="29"/>
    </row>
    <row r="11894" spans="2:33">
      <c r="B11894" s="29"/>
      <c r="D11894" s="29"/>
      <c r="E11894" s="20"/>
      <c r="F11894" s="20"/>
      <c r="AC11894" s="20"/>
      <c r="AG11894" s="29"/>
    </row>
    <row r="11895" spans="2:33">
      <c r="B11895" s="29"/>
      <c r="D11895" s="29"/>
      <c r="E11895" s="20"/>
      <c r="F11895" s="20"/>
      <c r="AC11895" s="20"/>
      <c r="AG11895" s="29"/>
    </row>
    <row r="11896" spans="2:33">
      <c r="B11896" s="29"/>
      <c r="D11896" s="29"/>
      <c r="E11896" s="20"/>
      <c r="F11896" s="20"/>
      <c r="AC11896" s="20"/>
      <c r="AG11896" s="29"/>
    </row>
    <row r="11897" spans="2:33">
      <c r="B11897" s="29"/>
      <c r="D11897" s="29"/>
      <c r="E11897" s="20"/>
      <c r="F11897" s="20"/>
      <c r="AC11897" s="20"/>
      <c r="AG11897" s="29"/>
    </row>
    <row r="11898" spans="2:33">
      <c r="B11898" s="29"/>
      <c r="D11898" s="29"/>
      <c r="E11898" s="20"/>
      <c r="F11898" s="20"/>
      <c r="AC11898" s="20"/>
      <c r="AG11898" s="29"/>
    </row>
    <row r="11899" spans="2:33">
      <c r="B11899" s="29"/>
      <c r="D11899" s="29"/>
      <c r="E11899" s="20"/>
      <c r="F11899" s="20"/>
      <c r="AC11899" s="20"/>
      <c r="AG11899" s="29"/>
    </row>
    <row r="11900" spans="2:33">
      <c r="B11900" s="29"/>
      <c r="D11900" s="29"/>
      <c r="E11900" s="20"/>
      <c r="F11900" s="20"/>
      <c r="AC11900" s="20"/>
      <c r="AG11900" s="29"/>
    </row>
    <row r="11901" spans="2:33">
      <c r="B11901" s="29"/>
      <c r="D11901" s="29"/>
      <c r="E11901" s="20"/>
      <c r="F11901" s="20"/>
      <c r="AC11901" s="20"/>
      <c r="AG11901" s="29"/>
    </row>
    <row r="11902" spans="2:33">
      <c r="B11902" s="29"/>
      <c r="D11902" s="29"/>
      <c r="E11902" s="20"/>
      <c r="F11902" s="20"/>
      <c r="AC11902" s="20"/>
      <c r="AG11902" s="29"/>
    </row>
    <row r="11903" spans="2:33">
      <c r="B11903" s="29"/>
      <c r="D11903" s="29"/>
      <c r="E11903" s="20"/>
      <c r="F11903" s="20"/>
      <c r="AC11903" s="20"/>
      <c r="AG11903" s="29"/>
    </row>
    <row r="11904" spans="2:33">
      <c r="B11904" s="29"/>
      <c r="D11904" s="29"/>
      <c r="E11904" s="20"/>
      <c r="F11904" s="20"/>
      <c r="AC11904" s="20"/>
      <c r="AG11904" s="29"/>
    </row>
    <row r="11905" spans="2:33">
      <c r="B11905" s="29"/>
      <c r="D11905" s="29"/>
      <c r="E11905" s="20"/>
      <c r="F11905" s="20"/>
      <c r="AC11905" s="20"/>
      <c r="AG11905" s="29"/>
    </row>
    <row r="11906" spans="2:33">
      <c r="B11906" s="29"/>
      <c r="D11906" s="29"/>
      <c r="E11906" s="20"/>
      <c r="F11906" s="20"/>
      <c r="AC11906" s="20"/>
      <c r="AG11906" s="29"/>
    </row>
    <row r="11907" spans="2:33">
      <c r="B11907" s="29"/>
      <c r="D11907" s="29"/>
      <c r="E11907" s="20"/>
      <c r="F11907" s="20"/>
      <c r="AC11907" s="20"/>
      <c r="AG11907" s="29"/>
    </row>
    <row r="11908" spans="2:33">
      <c r="B11908" s="29"/>
      <c r="D11908" s="29"/>
      <c r="E11908" s="20"/>
      <c r="F11908" s="20"/>
      <c r="AC11908" s="20"/>
      <c r="AG11908" s="29"/>
    </row>
    <row r="11909" spans="2:33">
      <c r="B11909" s="29"/>
      <c r="D11909" s="29"/>
      <c r="E11909" s="20"/>
      <c r="F11909" s="20"/>
      <c r="AC11909" s="20"/>
      <c r="AG11909" s="29"/>
    </row>
    <row r="11910" spans="2:33">
      <c r="B11910" s="29"/>
      <c r="D11910" s="29"/>
      <c r="E11910" s="20"/>
      <c r="F11910" s="20"/>
      <c r="AC11910" s="20"/>
      <c r="AG11910" s="29"/>
    </row>
    <row r="11911" spans="2:33">
      <c r="B11911" s="29"/>
      <c r="D11911" s="29"/>
      <c r="E11911" s="20"/>
      <c r="F11911" s="20"/>
      <c r="AC11911" s="20"/>
      <c r="AG11911" s="29"/>
    </row>
    <row r="11912" spans="2:33">
      <c r="B11912" s="29"/>
      <c r="D11912" s="29"/>
      <c r="E11912" s="20"/>
      <c r="F11912" s="20"/>
      <c r="AC11912" s="20"/>
      <c r="AG11912" s="29"/>
    </row>
    <row r="11913" spans="2:33">
      <c r="B11913" s="29"/>
      <c r="D11913" s="29"/>
      <c r="E11913" s="20"/>
      <c r="F11913" s="20"/>
      <c r="AC11913" s="20"/>
      <c r="AG11913" s="29"/>
    </row>
    <row r="11914" spans="2:33">
      <c r="B11914" s="29"/>
      <c r="D11914" s="29"/>
      <c r="E11914" s="20"/>
      <c r="F11914" s="20"/>
      <c r="AC11914" s="20"/>
      <c r="AG11914" s="29"/>
    </row>
    <row r="11915" spans="2:33">
      <c r="B11915" s="29"/>
      <c r="D11915" s="29"/>
      <c r="E11915" s="20"/>
      <c r="F11915" s="20"/>
      <c r="AC11915" s="20"/>
      <c r="AG11915" s="29"/>
    </row>
    <row r="11916" spans="2:33">
      <c r="B11916" s="29"/>
      <c r="D11916" s="29"/>
      <c r="E11916" s="20"/>
      <c r="F11916" s="20"/>
      <c r="AC11916" s="20"/>
      <c r="AG11916" s="29"/>
    </row>
    <row r="11917" spans="2:33">
      <c r="B11917" s="29"/>
      <c r="D11917" s="29"/>
      <c r="E11917" s="20"/>
      <c r="F11917" s="20"/>
      <c r="AC11917" s="20"/>
      <c r="AG11917" s="29"/>
    </row>
    <row r="11918" spans="2:33">
      <c r="B11918" s="29"/>
      <c r="D11918" s="29"/>
      <c r="E11918" s="20"/>
      <c r="F11918" s="20"/>
      <c r="AC11918" s="20"/>
      <c r="AG11918" s="29"/>
    </row>
    <row r="11919" spans="2:33">
      <c r="B11919" s="29"/>
      <c r="D11919" s="29"/>
      <c r="E11919" s="20"/>
      <c r="F11919" s="20"/>
      <c r="AC11919" s="20"/>
      <c r="AG11919" s="29"/>
    </row>
    <row r="11920" spans="2:33">
      <c r="B11920" s="29"/>
      <c r="D11920" s="29"/>
      <c r="E11920" s="20"/>
      <c r="F11920" s="20"/>
      <c r="AC11920" s="20"/>
      <c r="AG11920" s="29"/>
    </row>
    <row r="11921" spans="2:33">
      <c r="B11921" s="29"/>
      <c r="D11921" s="29"/>
      <c r="E11921" s="20"/>
      <c r="F11921" s="20"/>
      <c r="AC11921" s="20"/>
      <c r="AG11921" s="29"/>
    </row>
    <row r="11922" spans="2:33">
      <c r="B11922" s="29"/>
      <c r="D11922" s="29"/>
      <c r="E11922" s="20"/>
      <c r="F11922" s="20"/>
      <c r="AC11922" s="20"/>
      <c r="AG11922" s="29"/>
    </row>
    <row r="11923" spans="2:33">
      <c r="B11923" s="29"/>
      <c r="D11923" s="29"/>
      <c r="E11923" s="20"/>
      <c r="F11923" s="20"/>
      <c r="AC11923" s="20"/>
      <c r="AG11923" s="29"/>
    </row>
    <row r="11924" spans="2:33">
      <c r="B11924" s="29"/>
      <c r="D11924" s="29"/>
      <c r="E11924" s="20"/>
      <c r="F11924" s="20"/>
      <c r="AC11924" s="20"/>
      <c r="AG11924" s="29"/>
    </row>
    <row r="11925" spans="2:33">
      <c r="B11925" s="29"/>
      <c r="D11925" s="29"/>
      <c r="E11925" s="20"/>
      <c r="F11925" s="20"/>
      <c r="AC11925" s="20"/>
      <c r="AG11925" s="29"/>
    </row>
    <row r="11926" spans="2:33">
      <c r="B11926" s="29"/>
      <c r="D11926" s="29"/>
      <c r="E11926" s="20"/>
      <c r="F11926" s="20"/>
      <c r="AC11926" s="20"/>
      <c r="AG11926" s="29"/>
    </row>
    <row r="11927" spans="2:33">
      <c r="B11927" s="29"/>
      <c r="D11927" s="29"/>
      <c r="E11927" s="20"/>
      <c r="F11927" s="20"/>
      <c r="AC11927" s="20"/>
      <c r="AG11927" s="29"/>
    </row>
    <row r="11928" spans="2:33">
      <c r="B11928" s="29"/>
      <c r="D11928" s="29"/>
      <c r="E11928" s="20"/>
      <c r="F11928" s="20"/>
      <c r="AC11928" s="20"/>
      <c r="AG11928" s="29"/>
    </row>
    <row r="11929" spans="2:33">
      <c r="B11929" s="29"/>
      <c r="D11929" s="29"/>
      <c r="E11929" s="20"/>
      <c r="F11929" s="20"/>
      <c r="AC11929" s="20"/>
      <c r="AG11929" s="29"/>
    </row>
    <row r="11930" spans="2:33">
      <c r="B11930" s="29"/>
      <c r="D11930" s="29"/>
      <c r="E11930" s="20"/>
      <c r="F11930" s="20"/>
      <c r="AC11930" s="20"/>
      <c r="AG11930" s="29"/>
    </row>
    <row r="11931" spans="2:33">
      <c r="B11931" s="29"/>
      <c r="D11931" s="29"/>
      <c r="E11931" s="20"/>
      <c r="F11931" s="20"/>
      <c r="AC11931" s="20"/>
      <c r="AG11931" s="29"/>
    </row>
    <row r="11932" spans="2:33">
      <c r="B11932" s="29"/>
      <c r="D11932" s="29"/>
      <c r="E11932" s="20"/>
      <c r="F11932" s="20"/>
      <c r="AC11932" s="20"/>
      <c r="AG11932" s="29"/>
    </row>
    <row r="11933" spans="2:33">
      <c r="B11933" s="29"/>
      <c r="D11933" s="29"/>
      <c r="E11933" s="20"/>
      <c r="F11933" s="20"/>
      <c r="AC11933" s="20"/>
      <c r="AG11933" s="29"/>
    </row>
    <row r="11934" spans="2:33">
      <c r="B11934" s="29"/>
      <c r="D11934" s="29"/>
      <c r="E11934" s="20"/>
      <c r="F11934" s="20"/>
      <c r="AC11934" s="20"/>
      <c r="AG11934" s="29"/>
    </row>
    <row r="11935" spans="2:33">
      <c r="B11935" s="29"/>
      <c r="D11935" s="29"/>
      <c r="E11935" s="20"/>
      <c r="F11935" s="20"/>
      <c r="AC11935" s="20"/>
      <c r="AG11935" s="29"/>
    </row>
    <row r="11936" spans="2:33">
      <c r="B11936" s="29"/>
      <c r="D11936" s="29"/>
      <c r="E11936" s="20"/>
      <c r="F11936" s="20"/>
      <c r="AC11936" s="20"/>
      <c r="AG11936" s="29"/>
    </row>
    <row r="11937" spans="2:33">
      <c r="B11937" s="29"/>
      <c r="D11937" s="29"/>
      <c r="E11937" s="20"/>
      <c r="F11937" s="20"/>
      <c r="AC11937" s="20"/>
      <c r="AG11937" s="29"/>
    </row>
    <row r="11938" spans="2:33">
      <c r="B11938" s="29"/>
      <c r="D11938" s="29"/>
      <c r="E11938" s="20"/>
      <c r="F11938" s="20"/>
      <c r="AC11938" s="20"/>
      <c r="AG11938" s="29"/>
    </row>
    <row r="11939" spans="2:33">
      <c r="B11939" s="29"/>
      <c r="D11939" s="29"/>
      <c r="E11939" s="20"/>
      <c r="F11939" s="20"/>
      <c r="AC11939" s="20"/>
      <c r="AG11939" s="29"/>
    </row>
    <row r="11940" spans="2:33">
      <c r="B11940" s="29"/>
      <c r="D11940" s="29"/>
      <c r="E11940" s="20"/>
      <c r="F11940" s="20"/>
      <c r="AC11940" s="20"/>
      <c r="AG11940" s="29"/>
    </row>
    <row r="11941" spans="2:33">
      <c r="B11941" s="29"/>
      <c r="D11941" s="29"/>
      <c r="E11941" s="20"/>
      <c r="F11941" s="20"/>
      <c r="AC11941" s="20"/>
      <c r="AG11941" s="29"/>
    </row>
    <row r="11942" spans="2:33">
      <c r="B11942" s="29"/>
      <c r="D11942" s="29"/>
      <c r="E11942" s="20"/>
      <c r="F11942" s="20"/>
      <c r="AC11942" s="20"/>
      <c r="AG11942" s="29"/>
    </row>
    <row r="11943" spans="2:33">
      <c r="B11943" s="29"/>
      <c r="D11943" s="29"/>
      <c r="E11943" s="20"/>
      <c r="F11943" s="20"/>
      <c r="AC11943" s="20"/>
      <c r="AG11943" s="29"/>
    </row>
    <row r="11944" spans="2:33">
      <c r="B11944" s="29"/>
      <c r="D11944" s="29"/>
      <c r="E11944" s="20"/>
      <c r="F11944" s="20"/>
      <c r="AC11944" s="20"/>
      <c r="AG11944" s="29"/>
    </row>
    <row r="11945" spans="2:33">
      <c r="B11945" s="29"/>
      <c r="D11945" s="29"/>
      <c r="E11945" s="20"/>
      <c r="F11945" s="20"/>
      <c r="AC11945" s="20"/>
      <c r="AG11945" s="29"/>
    </row>
    <row r="11946" spans="2:33">
      <c r="B11946" s="29"/>
      <c r="D11946" s="29"/>
      <c r="E11946" s="20"/>
      <c r="F11946" s="20"/>
      <c r="AC11946" s="20"/>
      <c r="AG11946" s="29"/>
    </row>
    <row r="11947" spans="2:33">
      <c r="B11947" s="29"/>
      <c r="D11947" s="29"/>
      <c r="E11947" s="20"/>
      <c r="F11947" s="20"/>
      <c r="AC11947" s="20"/>
      <c r="AG11947" s="29"/>
    </row>
    <row r="11948" spans="2:33">
      <c r="B11948" s="29"/>
      <c r="D11948" s="29"/>
      <c r="E11948" s="20"/>
      <c r="F11948" s="20"/>
      <c r="AC11948" s="20"/>
      <c r="AG11948" s="29"/>
    </row>
    <row r="11949" spans="2:33">
      <c r="B11949" s="29"/>
      <c r="D11949" s="29"/>
      <c r="E11949" s="20"/>
      <c r="F11949" s="20"/>
      <c r="AC11949" s="20"/>
      <c r="AG11949" s="29"/>
    </row>
    <row r="11950" spans="2:33">
      <c r="B11950" s="29"/>
      <c r="D11950" s="29"/>
      <c r="E11950" s="20"/>
      <c r="F11950" s="20"/>
      <c r="AC11950" s="20"/>
      <c r="AG11950" s="29"/>
    </row>
    <row r="11951" spans="2:33">
      <c r="B11951" s="29"/>
      <c r="D11951" s="29"/>
      <c r="E11951" s="20"/>
      <c r="F11951" s="20"/>
      <c r="AC11951" s="20"/>
      <c r="AG11951" s="29"/>
    </row>
    <row r="11952" spans="2:33">
      <c r="B11952" s="29"/>
      <c r="D11952" s="29"/>
      <c r="E11952" s="20"/>
      <c r="F11952" s="20"/>
      <c r="AC11952" s="20"/>
      <c r="AG11952" s="29"/>
    </row>
    <row r="11953" spans="2:33">
      <c r="B11953" s="29"/>
      <c r="D11953" s="29"/>
      <c r="E11953" s="20"/>
      <c r="F11953" s="20"/>
      <c r="AC11953" s="20"/>
      <c r="AG11953" s="29"/>
    </row>
    <row r="11954" spans="2:33">
      <c r="B11954" s="29"/>
      <c r="D11954" s="29"/>
      <c r="E11954" s="20"/>
      <c r="F11954" s="20"/>
      <c r="AC11954" s="20"/>
      <c r="AG11954" s="29"/>
    </row>
    <row r="11955" spans="2:33">
      <c r="B11955" s="29"/>
      <c r="D11955" s="29"/>
      <c r="E11955" s="20"/>
      <c r="F11955" s="20"/>
      <c r="AC11955" s="20"/>
      <c r="AG11955" s="29"/>
    </row>
    <row r="11956" spans="2:33">
      <c r="B11956" s="29"/>
      <c r="D11956" s="29"/>
      <c r="E11956" s="20"/>
      <c r="F11956" s="20"/>
      <c r="AC11956" s="20"/>
      <c r="AG11956" s="29"/>
    </row>
    <row r="11957" spans="2:33">
      <c r="B11957" s="29"/>
      <c r="D11957" s="29"/>
      <c r="E11957" s="20"/>
      <c r="F11957" s="20"/>
      <c r="AC11957" s="20"/>
      <c r="AG11957" s="29"/>
    </row>
    <row r="11958" spans="2:33">
      <c r="B11958" s="29"/>
      <c r="D11958" s="29"/>
      <c r="E11958" s="20"/>
      <c r="F11958" s="20"/>
      <c r="AC11958" s="20"/>
      <c r="AG11958" s="29"/>
    </row>
    <row r="11959" spans="2:33">
      <c r="B11959" s="29"/>
      <c r="D11959" s="29"/>
      <c r="E11959" s="20"/>
      <c r="F11959" s="20"/>
      <c r="AC11959" s="20"/>
      <c r="AG11959" s="29"/>
    </row>
    <row r="11960" spans="2:33">
      <c r="B11960" s="29"/>
      <c r="D11960" s="29"/>
      <c r="E11960" s="20"/>
      <c r="F11960" s="20"/>
      <c r="AC11960" s="20"/>
      <c r="AG11960" s="29"/>
    </row>
    <row r="11961" spans="2:33">
      <c r="B11961" s="29"/>
      <c r="D11961" s="29"/>
      <c r="E11961" s="20"/>
      <c r="F11961" s="20"/>
      <c r="AC11961" s="20"/>
      <c r="AG11961" s="29"/>
    </row>
    <row r="11962" spans="2:33">
      <c r="B11962" s="29"/>
      <c r="D11962" s="29"/>
      <c r="E11962" s="20"/>
      <c r="F11962" s="20"/>
      <c r="AC11962" s="20"/>
      <c r="AG11962" s="29"/>
    </row>
    <row r="11963" spans="2:33">
      <c r="B11963" s="29"/>
      <c r="D11963" s="29"/>
      <c r="E11963" s="20"/>
      <c r="F11963" s="20"/>
      <c r="AC11963" s="20"/>
      <c r="AG11963" s="29"/>
    </row>
    <row r="11964" spans="2:33">
      <c r="B11964" s="29"/>
      <c r="D11964" s="29"/>
      <c r="E11964" s="20"/>
      <c r="F11964" s="20"/>
      <c r="AC11964" s="20"/>
      <c r="AG11964" s="29"/>
    </row>
    <row r="11965" spans="2:33">
      <c r="B11965" s="29"/>
      <c r="D11965" s="29"/>
      <c r="E11965" s="20"/>
      <c r="F11965" s="20"/>
      <c r="AC11965" s="20"/>
      <c r="AG11965" s="29"/>
    </row>
    <row r="11966" spans="2:33">
      <c r="B11966" s="29"/>
      <c r="D11966" s="29"/>
      <c r="E11966" s="20"/>
      <c r="F11966" s="20"/>
      <c r="AC11966" s="20"/>
      <c r="AG11966" s="29"/>
    </row>
    <row r="11967" spans="2:33">
      <c r="B11967" s="29"/>
      <c r="D11967" s="29"/>
      <c r="E11967" s="20"/>
      <c r="F11967" s="20"/>
      <c r="AC11967" s="20"/>
      <c r="AG11967" s="29"/>
    </row>
    <row r="11968" spans="2:33">
      <c r="B11968" s="29"/>
      <c r="D11968" s="29"/>
      <c r="E11968" s="20"/>
      <c r="F11968" s="20"/>
      <c r="AC11968" s="20"/>
      <c r="AG11968" s="29"/>
    </row>
    <row r="11969" spans="2:33">
      <c r="B11969" s="29"/>
      <c r="D11969" s="29"/>
      <c r="E11969" s="20"/>
      <c r="F11969" s="20"/>
      <c r="AC11969" s="20"/>
      <c r="AG11969" s="29"/>
    </row>
    <row r="11970" spans="2:33">
      <c r="B11970" s="29"/>
      <c r="D11970" s="29"/>
      <c r="E11970" s="20"/>
      <c r="F11970" s="20"/>
      <c r="AC11970" s="20"/>
      <c r="AG11970" s="29"/>
    </row>
    <row r="11971" spans="2:33">
      <c r="B11971" s="29"/>
      <c r="D11971" s="29"/>
      <c r="E11971" s="20"/>
      <c r="F11971" s="20"/>
      <c r="AC11971" s="20"/>
      <c r="AG11971" s="29"/>
    </row>
    <row r="11972" spans="2:33">
      <c r="B11972" s="29"/>
      <c r="D11972" s="29"/>
      <c r="E11972" s="20"/>
      <c r="F11972" s="20"/>
      <c r="AC11972" s="20"/>
      <c r="AG11972" s="29"/>
    </row>
    <row r="11973" spans="2:33">
      <c r="B11973" s="29"/>
      <c r="D11973" s="29"/>
      <c r="E11973" s="20"/>
      <c r="F11973" s="20"/>
      <c r="AC11973" s="20"/>
      <c r="AG11973" s="29"/>
    </row>
    <row r="11974" spans="2:33">
      <c r="B11974" s="29"/>
      <c r="D11974" s="29"/>
      <c r="E11974" s="20"/>
      <c r="F11974" s="20"/>
      <c r="AC11974" s="20"/>
      <c r="AG11974" s="29"/>
    </row>
    <row r="11975" spans="2:33">
      <c r="B11975" s="29"/>
      <c r="D11975" s="29"/>
      <c r="E11975" s="20"/>
      <c r="F11975" s="20"/>
      <c r="AC11975" s="20"/>
      <c r="AG11975" s="29"/>
    </row>
    <row r="11976" spans="2:33">
      <c r="B11976" s="29"/>
      <c r="D11976" s="29"/>
      <c r="E11976" s="20"/>
      <c r="F11976" s="20"/>
      <c r="AC11976" s="20"/>
      <c r="AG11976" s="29"/>
    </row>
    <row r="11977" spans="2:33">
      <c r="B11977" s="29"/>
      <c r="D11977" s="29"/>
      <c r="E11977" s="20"/>
      <c r="F11977" s="20"/>
      <c r="AC11977" s="20"/>
      <c r="AG11977" s="29"/>
    </row>
    <row r="11978" spans="2:33">
      <c r="B11978" s="29"/>
      <c r="D11978" s="29"/>
      <c r="E11978" s="20"/>
      <c r="F11978" s="20"/>
      <c r="AC11978" s="20"/>
      <c r="AG11978" s="29"/>
    </row>
    <row r="11979" spans="2:33">
      <c r="B11979" s="29"/>
      <c r="D11979" s="29"/>
      <c r="E11979" s="20"/>
      <c r="F11979" s="20"/>
      <c r="AC11979" s="20"/>
      <c r="AG11979" s="29"/>
    </row>
    <row r="11980" spans="2:33">
      <c r="B11980" s="29"/>
      <c r="D11980" s="29"/>
      <c r="E11980" s="20"/>
      <c r="F11980" s="20"/>
      <c r="AC11980" s="20"/>
      <c r="AG11980" s="29"/>
    </row>
    <row r="11981" spans="2:33">
      <c r="B11981" s="29"/>
      <c r="D11981" s="29"/>
      <c r="E11981" s="20"/>
      <c r="F11981" s="20"/>
      <c r="AC11981" s="20"/>
      <c r="AG11981" s="29"/>
    </row>
    <row r="11982" spans="2:33">
      <c r="B11982" s="29"/>
      <c r="D11982" s="29"/>
      <c r="E11982" s="20"/>
      <c r="F11982" s="20"/>
      <c r="AC11982" s="20"/>
      <c r="AG11982" s="29"/>
    </row>
    <row r="11983" spans="2:33">
      <c r="B11983" s="29"/>
      <c r="D11983" s="29"/>
      <c r="E11983" s="20"/>
      <c r="F11983" s="20"/>
      <c r="AC11983" s="20"/>
      <c r="AG11983" s="29"/>
    </row>
    <row r="11984" spans="2:33">
      <c r="B11984" s="29"/>
      <c r="D11984" s="29"/>
      <c r="E11984" s="20"/>
      <c r="F11984" s="20"/>
      <c r="AC11984" s="20"/>
      <c r="AG11984" s="29"/>
    </row>
    <row r="11985" spans="2:33">
      <c r="B11985" s="29"/>
      <c r="D11985" s="29"/>
      <c r="E11985" s="20"/>
      <c r="F11985" s="20"/>
      <c r="AC11985" s="20"/>
      <c r="AG11985" s="29"/>
    </row>
    <row r="11986" spans="2:33">
      <c r="B11986" s="29"/>
      <c r="D11986" s="29"/>
      <c r="E11986" s="20"/>
      <c r="F11986" s="20"/>
      <c r="AC11986" s="20"/>
      <c r="AG11986" s="29"/>
    </row>
    <row r="11987" spans="2:33">
      <c r="B11987" s="29"/>
      <c r="D11987" s="29"/>
      <c r="E11987" s="20"/>
      <c r="F11987" s="20"/>
      <c r="AC11987" s="20"/>
      <c r="AG11987" s="29"/>
    </row>
    <row r="11988" spans="2:33">
      <c r="B11988" s="29"/>
      <c r="D11988" s="29"/>
      <c r="E11988" s="20"/>
      <c r="F11988" s="20"/>
      <c r="AC11988" s="20"/>
      <c r="AG11988" s="29"/>
    </row>
    <row r="11989" spans="2:33">
      <c r="B11989" s="29"/>
      <c r="D11989" s="29"/>
      <c r="E11989" s="20"/>
      <c r="F11989" s="20"/>
      <c r="AC11989" s="20"/>
      <c r="AG11989" s="29"/>
    </row>
    <row r="11990" spans="2:33">
      <c r="B11990" s="29"/>
      <c r="D11990" s="29"/>
      <c r="E11990" s="20"/>
      <c r="F11990" s="20"/>
      <c r="AC11990" s="20"/>
      <c r="AG11990" s="29"/>
    </row>
    <row r="11991" spans="2:33">
      <c r="B11991" s="29"/>
      <c r="D11991" s="29"/>
      <c r="E11991" s="20"/>
      <c r="F11991" s="20"/>
      <c r="AC11991" s="20"/>
      <c r="AG11991" s="29"/>
    </row>
    <row r="11992" spans="2:33">
      <c r="B11992" s="29"/>
      <c r="D11992" s="29"/>
      <c r="E11992" s="20"/>
      <c r="F11992" s="20"/>
      <c r="AC11992" s="20"/>
      <c r="AG11992" s="29"/>
    </row>
    <row r="11993" spans="2:33">
      <c r="B11993" s="29"/>
      <c r="D11993" s="29"/>
      <c r="E11993" s="20"/>
      <c r="F11993" s="20"/>
      <c r="AC11993" s="20"/>
      <c r="AG11993" s="29"/>
    </row>
    <row r="11994" spans="2:33">
      <c r="B11994" s="29"/>
      <c r="D11994" s="29"/>
      <c r="E11994" s="20"/>
      <c r="F11994" s="20"/>
      <c r="AC11994" s="20"/>
      <c r="AG11994" s="29"/>
    </row>
    <row r="11995" spans="2:33">
      <c r="B11995" s="29"/>
      <c r="D11995" s="29"/>
      <c r="E11995" s="20"/>
      <c r="F11995" s="20"/>
      <c r="AC11995" s="20"/>
      <c r="AG11995" s="29"/>
    </row>
    <row r="11996" spans="2:33">
      <c r="B11996" s="29"/>
      <c r="D11996" s="29"/>
      <c r="E11996" s="20"/>
      <c r="F11996" s="20"/>
      <c r="AC11996" s="20"/>
      <c r="AG11996" s="29"/>
    </row>
    <row r="11997" spans="2:33">
      <c r="B11997" s="29"/>
      <c r="D11997" s="29"/>
      <c r="E11997" s="20"/>
      <c r="F11997" s="20"/>
      <c r="AC11997" s="20"/>
      <c r="AG11997" s="29"/>
    </row>
    <row r="11998" spans="2:33">
      <c r="B11998" s="29"/>
      <c r="D11998" s="29"/>
      <c r="E11998" s="20"/>
      <c r="F11998" s="20"/>
      <c r="AC11998" s="20"/>
      <c r="AG11998" s="29"/>
    </row>
    <row r="11999" spans="2:33">
      <c r="B11999" s="29"/>
      <c r="D11999" s="29"/>
      <c r="E11999" s="20"/>
      <c r="F11999" s="20"/>
      <c r="AC11999" s="20"/>
      <c r="AG11999" s="29"/>
    </row>
    <row r="12000" spans="2:33">
      <c r="B12000" s="29"/>
      <c r="D12000" s="29"/>
      <c r="E12000" s="20"/>
      <c r="F12000" s="20"/>
      <c r="AC12000" s="20"/>
      <c r="AG12000" s="29"/>
    </row>
    <row r="12001" spans="2:33">
      <c r="B12001" s="29"/>
      <c r="D12001" s="29"/>
      <c r="E12001" s="20"/>
      <c r="F12001" s="20"/>
      <c r="AC12001" s="20"/>
      <c r="AG12001" s="29"/>
    </row>
    <row r="12002" spans="2:33">
      <c r="B12002" s="29"/>
      <c r="D12002" s="29"/>
      <c r="E12002" s="20"/>
      <c r="F12002" s="20"/>
      <c r="AC12002" s="20"/>
      <c r="AG12002" s="29"/>
    </row>
    <row r="12003" spans="2:33">
      <c r="B12003" s="29"/>
      <c r="D12003" s="29"/>
      <c r="E12003" s="20"/>
      <c r="F12003" s="20"/>
      <c r="AC12003" s="20"/>
      <c r="AG12003" s="29"/>
    </row>
    <row r="12004" spans="2:33">
      <c r="B12004" s="29"/>
      <c r="D12004" s="29"/>
      <c r="E12004" s="20"/>
      <c r="F12004" s="20"/>
      <c r="AC12004" s="20"/>
      <c r="AG12004" s="29"/>
    </row>
    <row r="12005" spans="2:33">
      <c r="B12005" s="29"/>
      <c r="D12005" s="29"/>
      <c r="E12005" s="20"/>
      <c r="F12005" s="20"/>
      <c r="AC12005" s="20"/>
      <c r="AG12005" s="29"/>
    </row>
    <row r="12006" spans="2:33">
      <c r="B12006" s="29"/>
      <c r="D12006" s="29"/>
      <c r="E12006" s="20"/>
      <c r="F12006" s="20"/>
      <c r="AC12006" s="20"/>
      <c r="AG12006" s="29"/>
    </row>
    <row r="12007" spans="2:33">
      <c r="B12007" s="29"/>
      <c r="D12007" s="29"/>
      <c r="E12007" s="20"/>
      <c r="F12007" s="20"/>
      <c r="AC12007" s="20"/>
      <c r="AG12007" s="29"/>
    </row>
    <row r="12008" spans="2:33">
      <c r="B12008" s="29"/>
      <c r="D12008" s="29"/>
      <c r="E12008" s="20"/>
      <c r="F12008" s="20"/>
      <c r="AC12008" s="20"/>
      <c r="AG12008" s="29"/>
    </row>
    <row r="12009" spans="2:33">
      <c r="B12009" s="29"/>
      <c r="D12009" s="29"/>
      <c r="E12009" s="20"/>
      <c r="F12009" s="20"/>
      <c r="AC12009" s="20"/>
      <c r="AG12009" s="29"/>
    </row>
    <row r="12010" spans="2:33">
      <c r="B12010" s="29"/>
      <c r="D12010" s="29"/>
      <c r="E12010" s="20"/>
      <c r="F12010" s="20"/>
      <c r="AC12010" s="20"/>
      <c r="AG12010" s="29"/>
    </row>
    <row r="12011" spans="2:33">
      <c r="B12011" s="29"/>
      <c r="D12011" s="29"/>
      <c r="E12011" s="20"/>
      <c r="F12011" s="20"/>
      <c r="AC12011" s="20"/>
      <c r="AG12011" s="29"/>
    </row>
    <row r="12012" spans="2:33">
      <c r="B12012" s="29"/>
      <c r="D12012" s="29"/>
      <c r="E12012" s="20"/>
      <c r="F12012" s="20"/>
      <c r="AC12012" s="20"/>
      <c r="AG12012" s="29"/>
    </row>
    <row r="12013" spans="2:33">
      <c r="B12013" s="29"/>
      <c r="D12013" s="29"/>
      <c r="E12013" s="20"/>
      <c r="F12013" s="20"/>
      <c r="AC12013" s="20"/>
      <c r="AG12013" s="29"/>
    </row>
    <row r="12014" spans="2:33">
      <c r="B12014" s="29"/>
      <c r="D12014" s="29"/>
      <c r="E12014" s="20"/>
      <c r="F12014" s="20"/>
      <c r="AC12014" s="20"/>
      <c r="AG12014" s="29"/>
    </row>
    <row r="12015" spans="2:33">
      <c r="B12015" s="29"/>
      <c r="D12015" s="29"/>
      <c r="E12015" s="20"/>
      <c r="F12015" s="20"/>
      <c r="AC12015" s="20"/>
      <c r="AG12015" s="29"/>
    </row>
    <row r="12016" spans="2:33">
      <c r="B12016" s="29"/>
      <c r="D12016" s="29"/>
      <c r="E12016" s="20"/>
      <c r="F12016" s="20"/>
      <c r="AC12016" s="20"/>
      <c r="AG12016" s="29"/>
    </row>
    <row r="12017" spans="2:33">
      <c r="B12017" s="29"/>
      <c r="D12017" s="29"/>
      <c r="E12017" s="20"/>
      <c r="F12017" s="20"/>
      <c r="AC12017" s="20"/>
      <c r="AG12017" s="29"/>
    </row>
    <row r="12018" spans="2:33">
      <c r="B12018" s="29"/>
      <c r="D12018" s="29"/>
      <c r="E12018" s="20"/>
      <c r="F12018" s="20"/>
      <c r="AC12018" s="20"/>
      <c r="AG12018" s="29"/>
    </row>
    <row r="12019" spans="2:33">
      <c r="B12019" s="29"/>
      <c r="D12019" s="29"/>
      <c r="E12019" s="20"/>
      <c r="F12019" s="20"/>
      <c r="AC12019" s="20"/>
      <c r="AG12019" s="29"/>
    </row>
    <row r="12020" spans="2:33">
      <c r="B12020" s="29"/>
      <c r="D12020" s="29"/>
      <c r="E12020" s="20"/>
      <c r="F12020" s="20"/>
      <c r="AC12020" s="20"/>
      <c r="AG12020" s="29"/>
    </row>
    <row r="12021" spans="2:33">
      <c r="B12021" s="29"/>
      <c r="D12021" s="29"/>
      <c r="E12021" s="20"/>
      <c r="F12021" s="20"/>
      <c r="AC12021" s="20"/>
      <c r="AG12021" s="29"/>
    </row>
    <row r="12022" spans="2:33">
      <c r="B12022" s="29"/>
      <c r="D12022" s="29"/>
      <c r="E12022" s="20"/>
      <c r="F12022" s="20"/>
      <c r="AC12022" s="20"/>
      <c r="AG12022" s="29"/>
    </row>
    <row r="12023" spans="2:33">
      <c r="B12023" s="29"/>
      <c r="D12023" s="29"/>
      <c r="E12023" s="20"/>
      <c r="F12023" s="20"/>
      <c r="AC12023" s="20"/>
      <c r="AG12023" s="29"/>
    </row>
    <row r="12024" spans="2:33">
      <c r="B12024" s="29"/>
      <c r="D12024" s="29"/>
      <c r="E12024" s="20"/>
      <c r="F12024" s="20"/>
      <c r="AC12024" s="20"/>
      <c r="AG12024" s="29"/>
    </row>
    <row r="12025" spans="2:33">
      <c r="B12025" s="29"/>
      <c r="D12025" s="29"/>
      <c r="E12025" s="20"/>
      <c r="F12025" s="20"/>
      <c r="AC12025" s="20"/>
      <c r="AG12025" s="29"/>
    </row>
    <row r="12026" spans="2:33">
      <c r="B12026" s="29"/>
      <c r="D12026" s="29"/>
      <c r="E12026" s="20"/>
      <c r="F12026" s="20"/>
      <c r="AC12026" s="20"/>
      <c r="AG12026" s="29"/>
    </row>
    <row r="12027" spans="2:33">
      <c r="B12027" s="29"/>
      <c r="D12027" s="29"/>
      <c r="E12027" s="20"/>
      <c r="F12027" s="20"/>
      <c r="AC12027" s="20"/>
      <c r="AG12027" s="29"/>
    </row>
    <row r="12028" spans="2:33">
      <c r="B12028" s="29"/>
      <c r="D12028" s="29"/>
      <c r="E12028" s="20"/>
      <c r="F12028" s="20"/>
      <c r="AC12028" s="20"/>
      <c r="AG12028" s="29"/>
    </row>
    <row r="12029" spans="2:33">
      <c r="B12029" s="29"/>
      <c r="D12029" s="29"/>
      <c r="E12029" s="20"/>
      <c r="F12029" s="20"/>
      <c r="AC12029" s="20"/>
      <c r="AG12029" s="29"/>
    </row>
    <row r="12030" spans="2:33">
      <c r="B12030" s="29"/>
      <c r="D12030" s="29"/>
      <c r="E12030" s="20"/>
      <c r="F12030" s="20"/>
      <c r="AC12030" s="20"/>
      <c r="AG12030" s="29"/>
    </row>
    <row r="12031" spans="2:33">
      <c r="B12031" s="29"/>
      <c r="D12031" s="29"/>
      <c r="E12031" s="20"/>
      <c r="F12031" s="20"/>
      <c r="AC12031" s="20"/>
      <c r="AG12031" s="29"/>
    </row>
    <row r="12032" spans="2:33">
      <c r="B12032" s="29"/>
      <c r="D12032" s="29"/>
      <c r="E12032" s="20"/>
      <c r="F12032" s="20"/>
      <c r="AC12032" s="20"/>
      <c r="AG12032" s="29"/>
    </row>
    <row r="12033" spans="2:33">
      <c r="B12033" s="29"/>
      <c r="D12033" s="29"/>
      <c r="E12033" s="20"/>
      <c r="F12033" s="20"/>
      <c r="AC12033" s="20"/>
      <c r="AG12033" s="29"/>
    </row>
    <row r="12034" spans="2:33">
      <c r="B12034" s="29"/>
      <c r="D12034" s="29"/>
      <c r="E12034" s="20"/>
      <c r="F12034" s="20"/>
      <c r="AC12034" s="20"/>
      <c r="AG12034" s="29"/>
    </row>
    <row r="12035" spans="2:33">
      <c r="B12035" s="29"/>
      <c r="D12035" s="29"/>
      <c r="E12035" s="20"/>
      <c r="F12035" s="20"/>
      <c r="AC12035" s="20"/>
      <c r="AG12035" s="29"/>
    </row>
    <row r="12036" spans="2:33">
      <c r="B12036" s="29"/>
      <c r="D12036" s="29"/>
      <c r="E12036" s="20"/>
      <c r="F12036" s="20"/>
      <c r="AC12036" s="20"/>
      <c r="AG12036" s="29"/>
    </row>
    <row r="12037" spans="2:33">
      <c r="B12037" s="29"/>
      <c r="D12037" s="29"/>
      <c r="E12037" s="20"/>
      <c r="F12037" s="20"/>
      <c r="AC12037" s="20"/>
      <c r="AG12037" s="29"/>
    </row>
    <row r="12038" spans="2:33">
      <c r="B12038" s="29"/>
      <c r="D12038" s="29"/>
      <c r="E12038" s="20"/>
      <c r="F12038" s="20"/>
      <c r="AC12038" s="20"/>
      <c r="AG12038" s="29"/>
    </row>
    <row r="12039" spans="2:33">
      <c r="B12039" s="29"/>
      <c r="D12039" s="29"/>
      <c r="E12039" s="20"/>
      <c r="F12039" s="20"/>
      <c r="AC12039" s="20"/>
      <c r="AG12039" s="29"/>
    </row>
    <row r="12040" spans="2:33">
      <c r="B12040" s="29"/>
      <c r="D12040" s="29"/>
      <c r="E12040" s="20"/>
      <c r="F12040" s="20"/>
      <c r="AC12040" s="20"/>
      <c r="AG12040" s="29"/>
    </row>
    <row r="12041" spans="2:33">
      <c r="B12041" s="29"/>
      <c r="D12041" s="29"/>
      <c r="E12041" s="20"/>
      <c r="F12041" s="20"/>
      <c r="AC12041" s="20"/>
      <c r="AG12041" s="29"/>
    </row>
    <row r="12042" spans="2:33">
      <c r="B12042" s="29"/>
      <c r="D12042" s="29"/>
      <c r="E12042" s="20"/>
      <c r="F12042" s="20"/>
      <c r="AC12042" s="20"/>
      <c r="AG12042" s="29"/>
    </row>
    <row r="12043" spans="2:33">
      <c r="B12043" s="29"/>
      <c r="D12043" s="29"/>
      <c r="E12043" s="20"/>
      <c r="F12043" s="20"/>
      <c r="AC12043" s="20"/>
      <c r="AG12043" s="29"/>
    </row>
    <row r="12044" spans="2:33">
      <c r="B12044" s="29"/>
      <c r="D12044" s="29"/>
      <c r="E12044" s="20"/>
      <c r="F12044" s="20"/>
      <c r="AC12044" s="20"/>
      <c r="AG12044" s="29"/>
    </row>
    <row r="12045" spans="2:33">
      <c r="B12045" s="29"/>
      <c r="D12045" s="29"/>
      <c r="E12045" s="20"/>
      <c r="F12045" s="20"/>
      <c r="AC12045" s="20"/>
      <c r="AG12045" s="29"/>
    </row>
    <row r="12046" spans="2:33">
      <c r="B12046" s="29"/>
      <c r="D12046" s="29"/>
      <c r="E12046" s="20"/>
      <c r="F12046" s="20"/>
      <c r="AC12046" s="20"/>
      <c r="AG12046" s="29"/>
    </row>
    <row r="12047" spans="2:33">
      <c r="B12047" s="29"/>
      <c r="D12047" s="29"/>
      <c r="E12047" s="20"/>
      <c r="F12047" s="20"/>
      <c r="AC12047" s="20"/>
      <c r="AG12047" s="29"/>
    </row>
    <row r="12048" spans="2:33">
      <c r="B12048" s="29"/>
      <c r="D12048" s="29"/>
      <c r="E12048" s="20"/>
      <c r="F12048" s="20"/>
      <c r="AC12048" s="20"/>
      <c r="AG12048" s="29"/>
    </row>
    <row r="12049" spans="2:33">
      <c r="B12049" s="29"/>
      <c r="D12049" s="29"/>
      <c r="E12049" s="20"/>
      <c r="F12049" s="20"/>
      <c r="AC12049" s="20"/>
      <c r="AG12049" s="29"/>
    </row>
    <row r="12050" spans="2:33">
      <c r="B12050" s="29"/>
      <c r="D12050" s="29"/>
      <c r="E12050" s="20"/>
      <c r="F12050" s="20"/>
      <c r="AC12050" s="20"/>
      <c r="AG12050" s="29"/>
    </row>
    <row r="12051" spans="2:33">
      <c r="B12051" s="29"/>
      <c r="D12051" s="29"/>
      <c r="E12051" s="20"/>
      <c r="F12051" s="20"/>
      <c r="AC12051" s="20"/>
      <c r="AG12051" s="29"/>
    </row>
    <row r="12052" spans="2:33">
      <c r="B12052" s="29"/>
      <c r="D12052" s="29"/>
      <c r="E12052" s="20"/>
      <c r="F12052" s="20"/>
      <c r="AC12052" s="20"/>
      <c r="AG12052" s="29"/>
    </row>
    <row r="12053" spans="2:33">
      <c r="B12053" s="29"/>
      <c r="D12053" s="29"/>
      <c r="E12053" s="20"/>
      <c r="F12053" s="20"/>
      <c r="AC12053" s="20"/>
      <c r="AG12053" s="29"/>
    </row>
    <row r="12054" spans="2:33">
      <c r="B12054" s="29"/>
      <c r="D12054" s="29"/>
      <c r="E12054" s="20"/>
      <c r="F12054" s="20"/>
      <c r="AC12054" s="20"/>
      <c r="AG12054" s="29"/>
    </row>
    <row r="12055" spans="2:33">
      <c r="B12055" s="29"/>
      <c r="D12055" s="29"/>
      <c r="E12055" s="20"/>
      <c r="F12055" s="20"/>
      <c r="AC12055" s="20"/>
      <c r="AG12055" s="29"/>
    </row>
    <row r="12056" spans="2:33">
      <c r="B12056" s="29"/>
      <c r="D12056" s="29"/>
      <c r="E12056" s="20"/>
      <c r="F12056" s="20"/>
      <c r="AC12056" s="20"/>
      <c r="AG12056" s="29"/>
    </row>
    <row r="12057" spans="2:33">
      <c r="B12057" s="29"/>
      <c r="D12057" s="29"/>
      <c r="E12057" s="20"/>
      <c r="F12057" s="20"/>
      <c r="AC12057" s="20"/>
      <c r="AG12057" s="29"/>
    </row>
    <row r="12058" spans="2:33">
      <c r="B12058" s="29"/>
      <c r="D12058" s="29"/>
      <c r="E12058" s="20"/>
      <c r="F12058" s="20"/>
      <c r="AC12058" s="20"/>
      <c r="AG12058" s="29"/>
    </row>
    <row r="12059" spans="2:33">
      <c r="B12059" s="29"/>
      <c r="D12059" s="29"/>
      <c r="E12059" s="20"/>
      <c r="F12059" s="20"/>
      <c r="AC12059" s="20"/>
      <c r="AG12059" s="29"/>
    </row>
    <row r="12060" spans="2:33">
      <c r="B12060" s="29"/>
      <c r="D12060" s="29"/>
      <c r="E12060" s="20"/>
      <c r="F12060" s="20"/>
      <c r="AC12060" s="20"/>
      <c r="AG12060" s="29"/>
    </row>
    <row r="12061" spans="2:33">
      <c r="B12061" s="29"/>
      <c r="D12061" s="29"/>
      <c r="E12061" s="20"/>
      <c r="F12061" s="20"/>
      <c r="AC12061" s="20"/>
      <c r="AG12061" s="29"/>
    </row>
    <row r="12062" spans="2:33">
      <c r="B12062" s="29"/>
      <c r="D12062" s="29"/>
      <c r="E12062" s="20"/>
      <c r="F12062" s="20"/>
      <c r="AC12062" s="20"/>
      <c r="AG12062" s="29"/>
    </row>
    <row r="12063" spans="2:33">
      <c r="B12063" s="29"/>
      <c r="D12063" s="29"/>
      <c r="E12063" s="20"/>
      <c r="F12063" s="20"/>
      <c r="AC12063" s="20"/>
      <c r="AG12063" s="29"/>
    </row>
    <row r="12064" spans="2:33">
      <c r="B12064" s="29"/>
      <c r="D12064" s="29"/>
      <c r="E12064" s="20"/>
      <c r="F12064" s="20"/>
      <c r="AC12064" s="20"/>
      <c r="AG12064" s="29"/>
    </row>
    <row r="12065" spans="2:33">
      <c r="B12065" s="29"/>
      <c r="D12065" s="29"/>
      <c r="E12065" s="20"/>
      <c r="F12065" s="20"/>
      <c r="AC12065" s="20"/>
      <c r="AG12065" s="29"/>
    </row>
    <row r="12066" spans="2:33">
      <c r="B12066" s="29"/>
      <c r="D12066" s="29"/>
      <c r="E12066" s="20"/>
      <c r="F12066" s="20"/>
      <c r="AC12066" s="20"/>
      <c r="AG12066" s="29"/>
    </row>
    <row r="12067" spans="2:33">
      <c r="B12067" s="29"/>
      <c r="D12067" s="29"/>
      <c r="E12067" s="20"/>
      <c r="F12067" s="20"/>
      <c r="AC12067" s="20"/>
      <c r="AG12067" s="29"/>
    </row>
    <row r="12068" spans="2:33">
      <c r="B12068" s="29"/>
      <c r="D12068" s="29"/>
      <c r="E12068" s="20"/>
      <c r="F12068" s="20"/>
      <c r="AC12068" s="20"/>
      <c r="AG12068" s="29"/>
    </row>
    <row r="12069" spans="2:33">
      <c r="B12069" s="29"/>
      <c r="D12069" s="29"/>
      <c r="E12069" s="20"/>
      <c r="F12069" s="20"/>
      <c r="AC12069" s="20"/>
      <c r="AG12069" s="29"/>
    </row>
    <row r="12070" spans="2:33">
      <c r="B12070" s="29"/>
      <c r="D12070" s="29"/>
      <c r="E12070" s="20"/>
      <c r="F12070" s="20"/>
      <c r="AC12070" s="20"/>
      <c r="AG12070" s="29"/>
    </row>
    <row r="12071" spans="2:33">
      <c r="B12071" s="29"/>
      <c r="D12071" s="29"/>
      <c r="E12071" s="20"/>
      <c r="F12071" s="20"/>
      <c r="AC12071" s="20"/>
      <c r="AG12071" s="29"/>
    </row>
    <row r="12072" spans="2:33">
      <c r="B12072" s="29"/>
      <c r="D12072" s="29"/>
      <c r="E12072" s="20"/>
      <c r="F12072" s="20"/>
      <c r="AC12072" s="20"/>
      <c r="AG12072" s="29"/>
    </row>
    <row r="12073" spans="2:33">
      <c r="B12073" s="29"/>
      <c r="D12073" s="29"/>
      <c r="E12073" s="20"/>
      <c r="F12073" s="20"/>
      <c r="AC12073" s="20"/>
      <c r="AG12073" s="29"/>
    </row>
    <row r="12074" spans="2:33">
      <c r="B12074" s="29"/>
      <c r="D12074" s="29"/>
      <c r="E12074" s="20"/>
      <c r="F12074" s="20"/>
      <c r="AC12074" s="20"/>
      <c r="AG12074" s="29"/>
    </row>
    <row r="12075" spans="2:33">
      <c r="B12075" s="29"/>
      <c r="D12075" s="29"/>
      <c r="E12075" s="20"/>
      <c r="F12075" s="20"/>
      <c r="AC12075" s="20"/>
      <c r="AG12075" s="29"/>
    </row>
    <row r="12076" spans="2:33">
      <c r="B12076" s="29"/>
      <c r="D12076" s="29"/>
      <c r="E12076" s="20"/>
      <c r="F12076" s="20"/>
      <c r="AC12076" s="20"/>
      <c r="AG12076" s="29"/>
    </row>
    <row r="12077" spans="2:33">
      <c r="B12077" s="29"/>
      <c r="D12077" s="29"/>
      <c r="E12077" s="20"/>
      <c r="F12077" s="20"/>
      <c r="AC12077" s="20"/>
      <c r="AG12077" s="29"/>
    </row>
    <row r="12078" spans="2:33">
      <c r="B12078" s="29"/>
      <c r="D12078" s="29"/>
      <c r="E12078" s="20"/>
      <c r="F12078" s="20"/>
      <c r="AC12078" s="20"/>
      <c r="AG12078" s="29"/>
    </row>
    <row r="12079" spans="2:33">
      <c r="B12079" s="29"/>
      <c r="D12079" s="29"/>
      <c r="E12079" s="20"/>
      <c r="F12079" s="20"/>
      <c r="AC12079" s="20"/>
      <c r="AG12079" s="29"/>
    </row>
    <row r="12080" spans="2:33">
      <c r="B12080" s="29"/>
      <c r="D12080" s="29"/>
      <c r="E12080" s="20"/>
      <c r="F12080" s="20"/>
      <c r="AC12080" s="20"/>
      <c r="AG12080" s="29"/>
    </row>
    <row r="12081" spans="2:33">
      <c r="B12081" s="29"/>
      <c r="D12081" s="29"/>
      <c r="E12081" s="20"/>
      <c r="F12081" s="20"/>
      <c r="AC12081" s="20"/>
      <c r="AG12081" s="29"/>
    </row>
    <row r="12082" spans="2:33">
      <c r="B12082" s="29"/>
      <c r="D12082" s="29"/>
      <c r="E12082" s="20"/>
      <c r="F12082" s="20"/>
      <c r="AC12082" s="20"/>
      <c r="AG12082" s="29"/>
    </row>
    <row r="12083" spans="2:33">
      <c r="B12083" s="29"/>
      <c r="D12083" s="29"/>
      <c r="E12083" s="20"/>
      <c r="F12083" s="20"/>
      <c r="AC12083" s="20"/>
      <c r="AG12083" s="29"/>
    </row>
    <row r="12084" spans="2:33">
      <c r="B12084" s="29"/>
      <c r="D12084" s="29"/>
      <c r="E12084" s="20"/>
      <c r="F12084" s="20"/>
      <c r="AC12084" s="20"/>
      <c r="AG12084" s="29"/>
    </row>
    <row r="12085" spans="2:33">
      <c r="B12085" s="29"/>
      <c r="D12085" s="29"/>
      <c r="E12085" s="20"/>
      <c r="F12085" s="20"/>
      <c r="AC12085" s="20"/>
      <c r="AG12085" s="29"/>
    </row>
    <row r="12086" spans="2:33">
      <c r="B12086" s="29"/>
      <c r="D12086" s="29"/>
      <c r="E12086" s="20"/>
      <c r="F12086" s="20"/>
      <c r="AC12086" s="20"/>
      <c r="AG12086" s="29"/>
    </row>
    <row r="12087" spans="2:33">
      <c r="B12087" s="29"/>
      <c r="D12087" s="29"/>
      <c r="E12087" s="20"/>
      <c r="F12087" s="20"/>
      <c r="AC12087" s="20"/>
      <c r="AG12087" s="29"/>
    </row>
    <row r="12088" spans="2:33">
      <c r="B12088" s="29"/>
      <c r="D12088" s="29"/>
      <c r="E12088" s="20"/>
      <c r="F12088" s="20"/>
      <c r="AC12088" s="20"/>
      <c r="AG12088" s="29"/>
    </row>
    <row r="12089" spans="2:33">
      <c r="B12089" s="29"/>
      <c r="D12089" s="29"/>
      <c r="E12089" s="20"/>
      <c r="F12089" s="20"/>
      <c r="AC12089" s="20"/>
      <c r="AG12089" s="29"/>
    </row>
    <row r="12090" spans="2:33">
      <c r="B12090" s="29"/>
      <c r="D12090" s="29"/>
      <c r="E12090" s="20"/>
      <c r="F12090" s="20"/>
      <c r="AC12090" s="20"/>
      <c r="AG12090" s="29"/>
    </row>
    <row r="12091" spans="2:33">
      <c r="B12091" s="29"/>
      <c r="D12091" s="29"/>
      <c r="E12091" s="20"/>
      <c r="F12091" s="20"/>
      <c r="AC12091" s="20"/>
      <c r="AG12091" s="29"/>
    </row>
    <row r="12092" spans="2:33">
      <c r="B12092" s="29"/>
      <c r="D12092" s="29"/>
      <c r="E12092" s="20"/>
      <c r="F12092" s="20"/>
      <c r="AC12092" s="20"/>
      <c r="AG12092" s="29"/>
    </row>
    <row r="12093" spans="2:33">
      <c r="B12093" s="29"/>
      <c r="D12093" s="29"/>
      <c r="E12093" s="20"/>
      <c r="F12093" s="20"/>
      <c r="AC12093" s="20"/>
      <c r="AG12093" s="29"/>
    </row>
    <row r="12094" spans="2:33">
      <c r="B12094" s="29"/>
      <c r="D12094" s="29"/>
      <c r="E12094" s="20"/>
      <c r="F12094" s="20"/>
      <c r="AC12094" s="20"/>
      <c r="AG12094" s="29"/>
    </row>
    <row r="12095" spans="2:33">
      <c r="B12095" s="29"/>
      <c r="D12095" s="29"/>
      <c r="E12095" s="20"/>
      <c r="F12095" s="20"/>
      <c r="AC12095" s="20"/>
      <c r="AG12095" s="29"/>
    </row>
    <row r="12096" spans="2:33">
      <c r="B12096" s="29"/>
      <c r="D12096" s="29"/>
      <c r="E12096" s="20"/>
      <c r="F12096" s="20"/>
      <c r="AC12096" s="20"/>
      <c r="AG12096" s="29"/>
    </row>
    <row r="12097" spans="2:33">
      <c r="B12097" s="29"/>
      <c r="D12097" s="29"/>
      <c r="E12097" s="20"/>
      <c r="F12097" s="20"/>
      <c r="AC12097" s="20"/>
      <c r="AG12097" s="29"/>
    </row>
    <row r="12098" spans="2:33">
      <c r="B12098" s="29"/>
      <c r="D12098" s="29"/>
      <c r="E12098" s="20"/>
      <c r="F12098" s="20"/>
      <c r="AC12098" s="20"/>
      <c r="AG12098" s="29"/>
    </row>
    <row r="12099" spans="2:33">
      <c r="B12099" s="29"/>
      <c r="D12099" s="29"/>
      <c r="E12099" s="20"/>
      <c r="F12099" s="20"/>
      <c r="AC12099" s="20"/>
      <c r="AG12099" s="29"/>
    </row>
    <row r="12100" spans="2:33">
      <c r="B12100" s="29"/>
      <c r="D12100" s="29"/>
      <c r="E12100" s="20"/>
      <c r="F12100" s="20"/>
      <c r="AC12100" s="20"/>
      <c r="AG12100" s="29"/>
    </row>
    <row r="12101" spans="2:33">
      <c r="B12101" s="29"/>
      <c r="D12101" s="29"/>
      <c r="E12101" s="20"/>
      <c r="F12101" s="20"/>
      <c r="AC12101" s="20"/>
      <c r="AG12101" s="29"/>
    </row>
    <row r="12102" spans="2:33">
      <c r="B12102" s="29"/>
      <c r="D12102" s="29"/>
      <c r="E12102" s="20"/>
      <c r="F12102" s="20"/>
      <c r="AC12102" s="20"/>
      <c r="AG12102" s="29"/>
    </row>
    <row r="12103" spans="2:33">
      <c r="B12103" s="29"/>
      <c r="D12103" s="29"/>
      <c r="E12103" s="20"/>
      <c r="F12103" s="20"/>
      <c r="AC12103" s="20"/>
      <c r="AG12103" s="29"/>
    </row>
    <row r="12104" spans="2:33">
      <c r="B12104" s="29"/>
      <c r="D12104" s="29"/>
      <c r="E12104" s="20"/>
      <c r="F12104" s="20"/>
      <c r="AC12104" s="20"/>
      <c r="AG12104" s="29"/>
    </row>
    <row r="12105" spans="2:33">
      <c r="B12105" s="29"/>
      <c r="D12105" s="29"/>
      <c r="E12105" s="20"/>
      <c r="F12105" s="20"/>
      <c r="AC12105" s="20"/>
      <c r="AG12105" s="29"/>
    </row>
    <row r="12106" spans="2:33">
      <c r="B12106" s="29"/>
      <c r="D12106" s="29"/>
      <c r="E12106" s="20"/>
      <c r="F12106" s="20"/>
      <c r="AC12106" s="20"/>
      <c r="AG12106" s="29"/>
    </row>
    <row r="12107" spans="2:33">
      <c r="B12107" s="29"/>
      <c r="D12107" s="29"/>
      <c r="E12107" s="20"/>
      <c r="F12107" s="20"/>
      <c r="AC12107" s="20"/>
      <c r="AG12107" s="29"/>
    </row>
    <row r="12108" spans="2:33">
      <c r="B12108" s="29"/>
      <c r="D12108" s="29"/>
      <c r="E12108" s="20"/>
      <c r="F12108" s="20"/>
      <c r="AC12108" s="20"/>
      <c r="AG12108" s="29"/>
    </row>
    <row r="12109" spans="2:33">
      <c r="B12109" s="29"/>
      <c r="D12109" s="29"/>
      <c r="E12109" s="20"/>
      <c r="F12109" s="20"/>
      <c r="AC12109" s="20"/>
      <c r="AG12109" s="29"/>
    </row>
    <row r="12110" spans="2:33">
      <c r="B12110" s="29"/>
      <c r="D12110" s="29"/>
      <c r="E12110" s="20"/>
      <c r="F12110" s="20"/>
      <c r="AC12110" s="20"/>
      <c r="AG12110" s="29"/>
    </row>
    <row r="12111" spans="2:33">
      <c r="B12111" s="29"/>
      <c r="D12111" s="29"/>
      <c r="E12111" s="20"/>
      <c r="F12111" s="20"/>
      <c r="AC12111" s="20"/>
      <c r="AG12111" s="29"/>
    </row>
    <row r="12112" spans="2:33">
      <c r="B12112" s="29"/>
      <c r="D12112" s="29"/>
      <c r="E12112" s="20"/>
      <c r="F12112" s="20"/>
      <c r="AC12112" s="20"/>
      <c r="AG12112" s="29"/>
    </row>
    <row r="12113" spans="2:33">
      <c r="B12113" s="29"/>
      <c r="D12113" s="29"/>
      <c r="E12113" s="20"/>
      <c r="F12113" s="20"/>
      <c r="AC12113" s="20"/>
      <c r="AG12113" s="29"/>
    </row>
    <row r="12114" spans="2:33">
      <c r="B12114" s="29"/>
      <c r="D12114" s="29"/>
      <c r="E12114" s="20"/>
      <c r="F12114" s="20"/>
      <c r="AC12114" s="20"/>
      <c r="AG12114" s="29"/>
    </row>
    <row r="12115" spans="2:33">
      <c r="B12115" s="29"/>
      <c r="D12115" s="29"/>
      <c r="E12115" s="20"/>
      <c r="F12115" s="20"/>
      <c r="AC12115" s="20"/>
      <c r="AG12115" s="29"/>
    </row>
    <row r="12116" spans="2:33">
      <c r="B12116" s="29"/>
      <c r="D12116" s="29"/>
      <c r="E12116" s="20"/>
      <c r="F12116" s="20"/>
      <c r="AC12116" s="20"/>
      <c r="AG12116" s="29"/>
    </row>
    <row r="12117" spans="2:33">
      <c r="B12117" s="29"/>
      <c r="D12117" s="29"/>
      <c r="E12117" s="20"/>
      <c r="F12117" s="20"/>
      <c r="AC12117" s="20"/>
      <c r="AG12117" s="29"/>
    </row>
    <row r="12118" spans="2:33">
      <c r="B12118" s="29"/>
      <c r="D12118" s="29"/>
      <c r="E12118" s="20"/>
      <c r="F12118" s="20"/>
      <c r="AC12118" s="20"/>
      <c r="AG12118" s="29"/>
    </row>
    <row r="12119" spans="2:33">
      <c r="B12119" s="29"/>
      <c r="D12119" s="29"/>
      <c r="E12119" s="20"/>
      <c r="F12119" s="20"/>
      <c r="AC12119" s="20"/>
      <c r="AG12119" s="29"/>
    </row>
    <row r="12120" spans="2:33">
      <c r="B12120" s="29"/>
      <c r="D12120" s="29"/>
      <c r="E12120" s="20"/>
      <c r="F12120" s="20"/>
      <c r="AC12120" s="20"/>
      <c r="AG12120" s="29"/>
    </row>
    <row r="12121" spans="2:33">
      <c r="B12121" s="29"/>
      <c r="D12121" s="29"/>
      <c r="E12121" s="20"/>
      <c r="F12121" s="20"/>
      <c r="AC12121" s="20"/>
      <c r="AG12121" s="29"/>
    </row>
    <row r="12122" spans="2:33">
      <c r="B12122" s="29"/>
      <c r="D12122" s="29"/>
      <c r="E12122" s="20"/>
      <c r="F12122" s="20"/>
      <c r="AC12122" s="20"/>
      <c r="AG12122" s="29"/>
    </row>
    <row r="12123" spans="2:33">
      <c r="B12123" s="29"/>
      <c r="D12123" s="29"/>
      <c r="E12123" s="20"/>
      <c r="F12123" s="20"/>
      <c r="AC12123" s="20"/>
      <c r="AG12123" s="29"/>
    </row>
    <row r="12124" spans="2:33">
      <c r="B12124" s="29"/>
      <c r="D12124" s="29"/>
      <c r="E12124" s="20"/>
      <c r="F12124" s="20"/>
      <c r="AC12124" s="20"/>
      <c r="AG12124" s="29"/>
    </row>
    <row r="12125" spans="2:33">
      <c r="B12125" s="29"/>
      <c r="D12125" s="29"/>
      <c r="E12125" s="20"/>
      <c r="F12125" s="20"/>
      <c r="AC12125" s="20"/>
      <c r="AG12125" s="29"/>
    </row>
    <row r="12126" spans="2:33">
      <c r="B12126" s="29"/>
      <c r="D12126" s="29"/>
      <c r="E12126" s="20"/>
      <c r="F12126" s="20"/>
      <c r="AC12126" s="20"/>
      <c r="AG12126" s="29"/>
    </row>
    <row r="12127" spans="2:33">
      <c r="B12127" s="29"/>
      <c r="D12127" s="29"/>
      <c r="E12127" s="20"/>
      <c r="F12127" s="20"/>
      <c r="AC12127" s="20"/>
      <c r="AG12127" s="29"/>
    </row>
    <row r="12128" spans="2:33">
      <c r="B12128" s="29"/>
      <c r="D12128" s="29"/>
      <c r="E12128" s="20"/>
      <c r="F12128" s="20"/>
      <c r="AC12128" s="20"/>
      <c r="AG12128" s="29"/>
    </row>
    <row r="12129" spans="2:33">
      <c r="B12129" s="29"/>
      <c r="D12129" s="29"/>
      <c r="E12129" s="20"/>
      <c r="F12129" s="20"/>
      <c r="AC12129" s="20"/>
      <c r="AG12129" s="29"/>
    </row>
    <row r="12130" spans="2:33">
      <c r="B12130" s="29"/>
      <c r="D12130" s="29"/>
      <c r="E12130" s="20"/>
      <c r="F12130" s="20"/>
      <c r="AC12130" s="20"/>
      <c r="AG12130" s="29"/>
    </row>
    <row r="12131" spans="2:33">
      <c r="B12131" s="29"/>
      <c r="D12131" s="29"/>
      <c r="E12131" s="20"/>
      <c r="F12131" s="20"/>
      <c r="AC12131" s="20"/>
      <c r="AG12131" s="29"/>
    </row>
    <row r="12132" spans="2:33">
      <c r="B12132" s="29"/>
      <c r="D12132" s="29"/>
      <c r="E12132" s="20"/>
      <c r="F12132" s="20"/>
      <c r="AC12132" s="20"/>
      <c r="AG12132" s="29"/>
    </row>
    <row r="12133" spans="2:33">
      <c r="B12133" s="29"/>
      <c r="D12133" s="29"/>
      <c r="E12133" s="20"/>
      <c r="F12133" s="20"/>
      <c r="AC12133" s="20"/>
      <c r="AG12133" s="29"/>
    </row>
    <row r="12134" spans="2:33">
      <c r="B12134" s="29"/>
      <c r="D12134" s="29"/>
      <c r="E12134" s="20"/>
      <c r="F12134" s="20"/>
      <c r="AC12134" s="20"/>
      <c r="AG12134" s="29"/>
    </row>
    <row r="12135" spans="2:33">
      <c r="B12135" s="29"/>
      <c r="D12135" s="29"/>
      <c r="E12135" s="20"/>
      <c r="F12135" s="20"/>
      <c r="AC12135" s="20"/>
      <c r="AG12135" s="29"/>
    </row>
    <row r="12136" spans="2:33">
      <c r="B12136" s="29"/>
      <c r="D12136" s="29"/>
      <c r="E12136" s="20"/>
      <c r="F12136" s="20"/>
      <c r="AC12136" s="20"/>
      <c r="AG12136" s="29"/>
    </row>
    <row r="12137" spans="2:33">
      <c r="B12137" s="29"/>
      <c r="D12137" s="29"/>
      <c r="E12137" s="20"/>
      <c r="F12137" s="20"/>
      <c r="AC12137" s="20"/>
      <c r="AG12137" s="29"/>
    </row>
    <row r="12138" spans="2:33">
      <c r="B12138" s="29"/>
      <c r="D12138" s="29"/>
      <c r="E12138" s="20"/>
      <c r="F12138" s="20"/>
      <c r="AC12138" s="20"/>
      <c r="AG12138" s="29"/>
    </row>
    <row r="12139" spans="2:33">
      <c r="B12139" s="29"/>
      <c r="D12139" s="29"/>
      <c r="E12139" s="20"/>
      <c r="F12139" s="20"/>
      <c r="AC12139" s="20"/>
      <c r="AG12139" s="29"/>
    </row>
    <row r="12140" spans="2:33">
      <c r="B12140" s="29"/>
      <c r="D12140" s="29"/>
      <c r="E12140" s="20"/>
      <c r="F12140" s="20"/>
      <c r="AC12140" s="20"/>
      <c r="AG12140" s="29"/>
    </row>
    <row r="12141" spans="2:33">
      <c r="B12141" s="29"/>
      <c r="D12141" s="29"/>
      <c r="E12141" s="20"/>
      <c r="F12141" s="20"/>
      <c r="AC12141" s="20"/>
      <c r="AG12141" s="29"/>
    </row>
    <row r="12142" spans="2:33">
      <c r="B12142" s="29"/>
      <c r="D12142" s="29"/>
      <c r="E12142" s="20"/>
      <c r="F12142" s="20"/>
      <c r="AC12142" s="20"/>
      <c r="AG12142" s="29"/>
    </row>
    <row r="12143" spans="2:33">
      <c r="B12143" s="29"/>
      <c r="D12143" s="29"/>
      <c r="E12143" s="20"/>
      <c r="F12143" s="20"/>
      <c r="AC12143" s="20"/>
      <c r="AG12143" s="29"/>
    </row>
    <row r="12144" spans="2:33">
      <c r="B12144" s="29"/>
      <c r="D12144" s="29"/>
      <c r="E12144" s="20"/>
      <c r="F12144" s="20"/>
      <c r="AC12144" s="20"/>
      <c r="AG12144" s="29"/>
    </row>
    <row r="12145" spans="2:33">
      <c r="B12145" s="29"/>
      <c r="D12145" s="29"/>
      <c r="E12145" s="20"/>
      <c r="F12145" s="20"/>
      <c r="AC12145" s="20"/>
      <c r="AG12145" s="29"/>
    </row>
    <row r="12146" spans="2:33">
      <c r="B12146" s="29"/>
      <c r="D12146" s="29"/>
      <c r="E12146" s="20"/>
      <c r="F12146" s="20"/>
      <c r="AC12146" s="20"/>
      <c r="AG12146" s="29"/>
    </row>
    <row r="12147" spans="2:33">
      <c r="B12147" s="29"/>
      <c r="D12147" s="29"/>
      <c r="E12147" s="20"/>
      <c r="F12147" s="20"/>
      <c r="AC12147" s="20"/>
      <c r="AG12147" s="29"/>
    </row>
    <row r="12148" spans="2:33">
      <c r="B12148" s="29"/>
      <c r="D12148" s="29"/>
      <c r="E12148" s="20"/>
      <c r="F12148" s="20"/>
      <c r="AC12148" s="20"/>
      <c r="AG12148" s="29"/>
    </row>
    <row r="12149" spans="2:33">
      <c r="B12149" s="29"/>
      <c r="D12149" s="29"/>
      <c r="E12149" s="20"/>
      <c r="F12149" s="20"/>
      <c r="AC12149" s="20"/>
      <c r="AG12149" s="29"/>
    </row>
    <row r="12150" spans="2:33">
      <c r="B12150" s="29"/>
      <c r="D12150" s="29"/>
      <c r="E12150" s="20"/>
      <c r="F12150" s="20"/>
      <c r="AC12150" s="20"/>
      <c r="AG12150" s="29"/>
    </row>
    <row r="12151" spans="2:33">
      <c r="B12151" s="29"/>
      <c r="D12151" s="29"/>
      <c r="E12151" s="20"/>
      <c r="F12151" s="20"/>
      <c r="AC12151" s="20"/>
      <c r="AG12151" s="29"/>
    </row>
    <row r="12152" spans="2:33">
      <c r="B12152" s="29"/>
      <c r="D12152" s="29"/>
      <c r="E12152" s="20"/>
      <c r="F12152" s="20"/>
      <c r="AC12152" s="20"/>
      <c r="AG12152" s="29"/>
    </row>
    <row r="12153" spans="2:33">
      <c r="B12153" s="29"/>
      <c r="D12153" s="29"/>
      <c r="E12153" s="20"/>
      <c r="F12153" s="20"/>
      <c r="AC12153" s="20"/>
      <c r="AG12153" s="29"/>
    </row>
    <row r="12154" spans="2:33">
      <c r="B12154" s="29"/>
      <c r="D12154" s="29"/>
      <c r="E12154" s="20"/>
      <c r="F12154" s="20"/>
      <c r="AC12154" s="20"/>
      <c r="AG12154" s="29"/>
    </row>
    <row r="12155" spans="2:33">
      <c r="B12155" s="29"/>
      <c r="D12155" s="29"/>
      <c r="E12155" s="20"/>
      <c r="F12155" s="20"/>
      <c r="AC12155" s="20"/>
      <c r="AG12155" s="29"/>
    </row>
    <row r="12156" spans="2:33">
      <c r="B12156" s="29"/>
      <c r="D12156" s="29"/>
      <c r="E12156" s="20"/>
      <c r="F12156" s="20"/>
      <c r="AC12156" s="20"/>
      <c r="AG12156" s="29"/>
    </row>
    <row r="12157" spans="2:33">
      <c r="B12157" s="29"/>
      <c r="D12157" s="29"/>
      <c r="E12157" s="20"/>
      <c r="F12157" s="20"/>
      <c r="AC12157" s="20"/>
      <c r="AG12157" s="29"/>
    </row>
    <row r="12158" spans="2:33">
      <c r="B12158" s="29"/>
      <c r="D12158" s="29"/>
      <c r="E12158" s="20"/>
      <c r="F12158" s="20"/>
      <c r="AC12158" s="20"/>
      <c r="AG12158" s="29"/>
    </row>
    <row r="12159" spans="2:33">
      <c r="B12159" s="29"/>
      <c r="D12159" s="29"/>
      <c r="E12159" s="20"/>
      <c r="F12159" s="20"/>
      <c r="AC12159" s="20"/>
      <c r="AG12159" s="29"/>
    </row>
    <row r="12160" spans="2:33">
      <c r="B12160" s="29"/>
      <c r="D12160" s="29"/>
      <c r="E12160" s="20"/>
      <c r="F12160" s="20"/>
      <c r="AC12160" s="20"/>
      <c r="AG12160" s="29"/>
    </row>
    <row r="12161" spans="2:33">
      <c r="B12161" s="29"/>
      <c r="D12161" s="29"/>
      <c r="E12161" s="20"/>
      <c r="F12161" s="20"/>
      <c r="AC12161" s="20"/>
      <c r="AG12161" s="29"/>
    </row>
    <row r="12162" spans="2:33">
      <c r="B12162" s="29"/>
      <c r="D12162" s="29"/>
      <c r="E12162" s="20"/>
      <c r="F12162" s="20"/>
      <c r="AC12162" s="20"/>
      <c r="AG12162" s="29"/>
    </row>
    <row r="12163" spans="2:33">
      <c r="B12163" s="29"/>
      <c r="D12163" s="29"/>
      <c r="E12163" s="20"/>
      <c r="F12163" s="20"/>
      <c r="AC12163" s="20"/>
      <c r="AG12163" s="29"/>
    </row>
    <row r="12164" spans="2:33">
      <c r="B12164" s="29"/>
      <c r="D12164" s="29"/>
      <c r="E12164" s="20"/>
      <c r="F12164" s="20"/>
      <c r="AC12164" s="20"/>
      <c r="AG12164" s="29"/>
    </row>
    <row r="12165" spans="2:33">
      <c r="B12165" s="29"/>
      <c r="D12165" s="29"/>
      <c r="E12165" s="20"/>
      <c r="F12165" s="20"/>
      <c r="AC12165" s="20"/>
      <c r="AG12165" s="29"/>
    </row>
    <row r="12166" spans="2:33">
      <c r="B12166" s="29"/>
      <c r="D12166" s="29"/>
      <c r="E12166" s="20"/>
      <c r="F12166" s="20"/>
      <c r="AC12166" s="20"/>
      <c r="AG12166" s="29"/>
    </row>
    <row r="12167" spans="2:33">
      <c r="B12167" s="29"/>
      <c r="D12167" s="29"/>
      <c r="E12167" s="20"/>
      <c r="F12167" s="20"/>
      <c r="AC12167" s="20"/>
      <c r="AG12167" s="29"/>
    </row>
    <row r="12168" spans="2:33">
      <c r="B12168" s="29"/>
      <c r="D12168" s="29"/>
      <c r="E12168" s="20"/>
      <c r="F12168" s="20"/>
      <c r="AC12168" s="20"/>
      <c r="AG12168" s="29"/>
    </row>
    <row r="12169" spans="2:33">
      <c r="B12169" s="29"/>
      <c r="D12169" s="29"/>
      <c r="E12169" s="20"/>
      <c r="F12169" s="20"/>
      <c r="AC12169" s="20"/>
      <c r="AG12169" s="29"/>
    </row>
    <row r="12170" spans="2:33">
      <c r="B12170" s="29"/>
      <c r="D12170" s="29"/>
      <c r="E12170" s="20"/>
      <c r="F12170" s="20"/>
      <c r="AC12170" s="20"/>
      <c r="AG12170" s="29"/>
    </row>
    <row r="12171" spans="2:33">
      <c r="B12171" s="29"/>
      <c r="D12171" s="29"/>
      <c r="E12171" s="20"/>
      <c r="F12171" s="20"/>
      <c r="AC12171" s="20"/>
      <c r="AG12171" s="29"/>
    </row>
    <row r="12172" spans="2:33">
      <c r="B12172" s="29"/>
      <c r="D12172" s="29"/>
      <c r="E12172" s="20"/>
      <c r="F12172" s="20"/>
      <c r="AC12172" s="20"/>
      <c r="AG12172" s="29"/>
    </row>
    <row r="12173" spans="2:33">
      <c r="B12173" s="29"/>
      <c r="D12173" s="29"/>
      <c r="E12173" s="20"/>
      <c r="F12173" s="20"/>
      <c r="AC12173" s="20"/>
      <c r="AG12173" s="29"/>
    </row>
    <row r="12174" spans="2:33">
      <c r="B12174" s="29"/>
      <c r="D12174" s="29"/>
      <c r="E12174" s="20"/>
      <c r="F12174" s="20"/>
      <c r="AC12174" s="20"/>
      <c r="AG12174" s="29"/>
    </row>
    <row r="12175" spans="2:33">
      <c r="B12175" s="29"/>
      <c r="D12175" s="29"/>
      <c r="E12175" s="20"/>
      <c r="F12175" s="20"/>
      <c r="AC12175" s="20"/>
      <c r="AG12175" s="29"/>
    </row>
    <row r="12176" spans="2:33">
      <c r="B12176" s="29"/>
      <c r="D12176" s="29"/>
      <c r="E12176" s="20"/>
      <c r="F12176" s="20"/>
      <c r="AC12176" s="20"/>
      <c r="AG12176" s="29"/>
    </row>
    <row r="12177" spans="2:33">
      <c r="B12177" s="29"/>
      <c r="D12177" s="29"/>
      <c r="E12177" s="20"/>
      <c r="F12177" s="20"/>
      <c r="AC12177" s="20"/>
      <c r="AG12177" s="29"/>
    </row>
    <row r="12178" spans="2:33">
      <c r="B12178" s="29"/>
      <c r="D12178" s="29"/>
      <c r="E12178" s="20"/>
      <c r="F12178" s="20"/>
      <c r="AC12178" s="20"/>
      <c r="AG12178" s="29"/>
    </row>
    <row r="12179" spans="2:33">
      <c r="B12179" s="29"/>
      <c r="D12179" s="29"/>
      <c r="E12179" s="20"/>
      <c r="F12179" s="20"/>
      <c r="AC12179" s="20"/>
      <c r="AG12179" s="29"/>
    </row>
    <row r="12180" spans="2:33">
      <c r="B12180" s="29"/>
      <c r="D12180" s="29"/>
      <c r="E12180" s="20"/>
      <c r="F12180" s="20"/>
      <c r="AC12180" s="20"/>
      <c r="AG12180" s="29"/>
    </row>
    <row r="12181" spans="2:33">
      <c r="B12181" s="29"/>
      <c r="D12181" s="29"/>
      <c r="E12181" s="20"/>
      <c r="F12181" s="20"/>
      <c r="AC12181" s="20"/>
      <c r="AG12181" s="29"/>
    </row>
    <row r="12182" spans="2:33">
      <c r="B12182" s="29"/>
      <c r="D12182" s="29"/>
      <c r="E12182" s="20"/>
      <c r="F12182" s="20"/>
      <c r="AC12182" s="20"/>
      <c r="AG12182" s="29"/>
    </row>
    <row r="12183" spans="2:33">
      <c r="B12183" s="29"/>
      <c r="D12183" s="29"/>
      <c r="E12183" s="20"/>
      <c r="F12183" s="20"/>
      <c r="AC12183" s="20"/>
      <c r="AG12183" s="29"/>
    </row>
    <row r="12184" spans="2:33">
      <c r="B12184" s="29"/>
      <c r="D12184" s="29"/>
      <c r="E12184" s="20"/>
      <c r="F12184" s="20"/>
      <c r="AC12184" s="20"/>
      <c r="AG12184" s="29"/>
    </row>
    <row r="12185" spans="2:33">
      <c r="B12185" s="29"/>
      <c r="D12185" s="29"/>
      <c r="E12185" s="20"/>
      <c r="F12185" s="20"/>
      <c r="AC12185" s="20"/>
      <c r="AG12185" s="29"/>
    </row>
    <row r="12186" spans="2:33">
      <c r="B12186" s="29"/>
      <c r="D12186" s="29"/>
      <c r="E12186" s="20"/>
      <c r="F12186" s="20"/>
      <c r="AC12186" s="20"/>
      <c r="AG12186" s="29"/>
    </row>
    <row r="12187" spans="2:33">
      <c r="B12187" s="29"/>
      <c r="D12187" s="29"/>
      <c r="E12187" s="20"/>
      <c r="F12187" s="20"/>
      <c r="AC12187" s="20"/>
      <c r="AG12187" s="29"/>
    </row>
    <row r="12188" spans="2:33">
      <c r="B12188" s="29"/>
      <c r="D12188" s="29"/>
      <c r="E12188" s="20"/>
      <c r="F12188" s="20"/>
      <c r="AC12188" s="20"/>
      <c r="AG12188" s="29"/>
    </row>
    <row r="12189" spans="2:33">
      <c r="B12189" s="29"/>
      <c r="D12189" s="29"/>
      <c r="E12189" s="20"/>
      <c r="F12189" s="20"/>
      <c r="AC12189" s="20"/>
      <c r="AG12189" s="29"/>
    </row>
    <row r="12190" spans="2:33">
      <c r="B12190" s="29"/>
      <c r="D12190" s="29"/>
      <c r="E12190" s="20"/>
      <c r="F12190" s="20"/>
      <c r="AC12190" s="20"/>
      <c r="AG12190" s="29"/>
    </row>
    <row r="12191" spans="2:33">
      <c r="B12191" s="29"/>
      <c r="D12191" s="29"/>
      <c r="E12191" s="20"/>
      <c r="F12191" s="20"/>
      <c r="AC12191" s="20"/>
      <c r="AG12191" s="29"/>
    </row>
    <row r="12192" spans="2:33">
      <c r="B12192" s="29"/>
      <c r="D12192" s="29"/>
      <c r="E12192" s="20"/>
      <c r="F12192" s="20"/>
      <c r="AC12192" s="20"/>
      <c r="AG12192" s="29"/>
    </row>
    <row r="12193" spans="2:33">
      <c r="B12193" s="29"/>
      <c r="D12193" s="29"/>
      <c r="E12193" s="20"/>
      <c r="F12193" s="20"/>
      <c r="AC12193" s="20"/>
      <c r="AG12193" s="29"/>
    </row>
    <row r="12194" spans="2:33">
      <c r="B12194" s="29"/>
      <c r="D12194" s="29"/>
      <c r="E12194" s="20"/>
      <c r="F12194" s="20"/>
      <c r="AC12194" s="20"/>
      <c r="AG12194" s="29"/>
    </row>
    <row r="12195" spans="2:33">
      <c r="B12195" s="29"/>
      <c r="D12195" s="29"/>
      <c r="E12195" s="20"/>
      <c r="F12195" s="20"/>
      <c r="AC12195" s="20"/>
      <c r="AG12195" s="29"/>
    </row>
    <row r="12196" spans="2:33">
      <c r="B12196" s="29"/>
      <c r="D12196" s="29"/>
      <c r="E12196" s="20"/>
      <c r="F12196" s="20"/>
      <c r="AC12196" s="20"/>
      <c r="AG12196" s="29"/>
    </row>
    <row r="12197" spans="2:33">
      <c r="B12197" s="29"/>
      <c r="D12197" s="29"/>
      <c r="E12197" s="20"/>
      <c r="F12197" s="20"/>
      <c r="AC12197" s="20"/>
      <c r="AG12197" s="29"/>
    </row>
    <row r="12198" spans="2:33">
      <c r="B12198" s="29"/>
      <c r="D12198" s="29"/>
      <c r="E12198" s="20"/>
      <c r="F12198" s="20"/>
      <c r="AC12198" s="20"/>
      <c r="AG12198" s="29"/>
    </row>
    <row r="12199" spans="2:33">
      <c r="B12199" s="29"/>
      <c r="D12199" s="29"/>
      <c r="E12199" s="20"/>
      <c r="F12199" s="20"/>
      <c r="AC12199" s="20"/>
      <c r="AG12199" s="29"/>
    </row>
    <row r="12200" spans="2:33">
      <c r="B12200" s="29"/>
      <c r="D12200" s="29"/>
      <c r="E12200" s="20"/>
      <c r="F12200" s="20"/>
      <c r="AC12200" s="20"/>
      <c r="AG12200" s="29"/>
    </row>
    <row r="12201" spans="2:33">
      <c r="B12201" s="29"/>
      <c r="D12201" s="29"/>
      <c r="E12201" s="20"/>
      <c r="F12201" s="20"/>
      <c r="AC12201" s="20"/>
      <c r="AG12201" s="29"/>
    </row>
    <row r="12202" spans="2:33">
      <c r="B12202" s="29"/>
      <c r="D12202" s="29"/>
      <c r="E12202" s="20"/>
      <c r="F12202" s="20"/>
      <c r="AC12202" s="20"/>
      <c r="AG12202" s="29"/>
    </row>
    <row r="12203" spans="2:33">
      <c r="B12203" s="29"/>
      <c r="D12203" s="29"/>
      <c r="E12203" s="20"/>
      <c r="F12203" s="20"/>
      <c r="AC12203" s="20"/>
      <c r="AG12203" s="29"/>
    </row>
    <row r="12204" spans="2:33">
      <c r="B12204" s="29"/>
      <c r="D12204" s="29"/>
      <c r="E12204" s="20"/>
      <c r="F12204" s="20"/>
      <c r="AC12204" s="20"/>
      <c r="AG12204" s="29"/>
    </row>
    <row r="12205" spans="2:33">
      <c r="B12205" s="29"/>
      <c r="D12205" s="29"/>
      <c r="E12205" s="20"/>
      <c r="F12205" s="20"/>
      <c r="AC12205" s="20"/>
      <c r="AG12205" s="29"/>
    </row>
    <row r="12206" spans="2:33">
      <c r="B12206" s="29"/>
      <c r="D12206" s="29"/>
      <c r="E12206" s="20"/>
      <c r="F12206" s="20"/>
      <c r="AC12206" s="20"/>
      <c r="AG12206" s="29"/>
    </row>
    <row r="12207" spans="2:33">
      <c r="B12207" s="29"/>
      <c r="D12207" s="29"/>
      <c r="E12207" s="20"/>
      <c r="F12207" s="20"/>
      <c r="AC12207" s="20"/>
      <c r="AG12207" s="29"/>
    </row>
    <row r="12208" spans="2:33">
      <c r="B12208" s="29"/>
      <c r="D12208" s="29"/>
      <c r="E12208" s="20"/>
      <c r="F12208" s="20"/>
      <c r="AC12208" s="20"/>
      <c r="AG12208" s="29"/>
    </row>
    <row r="12209" spans="2:33">
      <c r="B12209" s="29"/>
      <c r="D12209" s="29"/>
      <c r="E12209" s="20"/>
      <c r="F12209" s="20"/>
      <c r="AC12209" s="20"/>
      <c r="AG12209" s="29"/>
    </row>
    <row r="12210" spans="2:33">
      <c r="B12210" s="29"/>
      <c r="D12210" s="29"/>
      <c r="E12210" s="20"/>
      <c r="F12210" s="20"/>
      <c r="AC12210" s="20"/>
      <c r="AG12210" s="29"/>
    </row>
    <row r="12211" spans="2:33">
      <c r="B12211" s="29"/>
      <c r="D12211" s="29"/>
      <c r="E12211" s="20"/>
      <c r="F12211" s="20"/>
      <c r="AC12211" s="20"/>
      <c r="AG12211" s="29"/>
    </row>
    <row r="12212" spans="2:33">
      <c r="B12212" s="29"/>
      <c r="D12212" s="29"/>
      <c r="E12212" s="20"/>
      <c r="F12212" s="20"/>
      <c r="AC12212" s="20"/>
      <c r="AG12212" s="29"/>
    </row>
    <row r="12213" spans="2:33">
      <c r="B12213" s="29"/>
      <c r="D12213" s="29"/>
      <c r="E12213" s="20"/>
      <c r="F12213" s="20"/>
      <c r="AC12213" s="20"/>
      <c r="AG12213" s="29"/>
    </row>
    <row r="12214" spans="2:33">
      <c r="B12214" s="29"/>
      <c r="D12214" s="29"/>
      <c r="E12214" s="20"/>
      <c r="F12214" s="20"/>
      <c r="AC12214" s="20"/>
      <c r="AG12214" s="29"/>
    </row>
    <row r="12215" spans="2:33">
      <c r="B12215" s="29"/>
      <c r="D12215" s="29"/>
      <c r="E12215" s="20"/>
      <c r="F12215" s="20"/>
      <c r="AC12215" s="20"/>
      <c r="AG12215" s="29"/>
    </row>
    <row r="12216" spans="2:33">
      <c r="B12216" s="29"/>
      <c r="D12216" s="29"/>
      <c r="E12216" s="20"/>
      <c r="F12216" s="20"/>
      <c r="AC12216" s="20"/>
      <c r="AG12216" s="29"/>
    </row>
    <row r="12217" spans="2:33">
      <c r="B12217" s="29"/>
      <c r="D12217" s="29"/>
      <c r="E12217" s="20"/>
      <c r="F12217" s="20"/>
      <c r="AC12217" s="20"/>
      <c r="AG12217" s="29"/>
    </row>
    <row r="12218" spans="2:33">
      <c r="B12218" s="29"/>
      <c r="D12218" s="29"/>
      <c r="E12218" s="20"/>
      <c r="F12218" s="20"/>
      <c r="AC12218" s="20"/>
      <c r="AG12218" s="29"/>
    </row>
    <row r="12219" spans="2:33">
      <c r="B12219" s="29"/>
      <c r="D12219" s="29"/>
      <c r="E12219" s="20"/>
      <c r="F12219" s="20"/>
      <c r="AC12219" s="20"/>
      <c r="AG12219" s="29"/>
    </row>
    <row r="12220" spans="2:33">
      <c r="B12220" s="29"/>
      <c r="D12220" s="29"/>
      <c r="E12220" s="20"/>
      <c r="F12220" s="20"/>
      <c r="AC12220" s="20"/>
      <c r="AG12220" s="29"/>
    </row>
    <row r="12221" spans="2:33">
      <c r="B12221" s="29"/>
      <c r="D12221" s="29"/>
      <c r="E12221" s="20"/>
      <c r="F12221" s="20"/>
      <c r="AC12221" s="20"/>
      <c r="AG12221" s="29"/>
    </row>
    <row r="12222" spans="2:33">
      <c r="B12222" s="29"/>
      <c r="D12222" s="29"/>
      <c r="E12222" s="20"/>
      <c r="F12222" s="20"/>
      <c r="AC12222" s="20"/>
      <c r="AG12222" s="29"/>
    </row>
    <row r="12223" spans="2:33">
      <c r="B12223" s="29"/>
      <c r="D12223" s="29"/>
      <c r="E12223" s="20"/>
      <c r="F12223" s="20"/>
      <c r="AC12223" s="20"/>
      <c r="AG12223" s="29"/>
    </row>
    <row r="12224" spans="2:33">
      <c r="B12224" s="29"/>
      <c r="D12224" s="29"/>
      <c r="E12224" s="20"/>
      <c r="F12224" s="20"/>
      <c r="AC12224" s="20"/>
      <c r="AG12224" s="29"/>
    </row>
    <row r="12225" spans="2:33">
      <c r="B12225" s="29"/>
      <c r="D12225" s="29"/>
      <c r="E12225" s="20"/>
      <c r="F12225" s="20"/>
      <c r="AC12225" s="20"/>
      <c r="AG12225" s="29"/>
    </row>
    <row r="12226" spans="2:33">
      <c r="B12226" s="29"/>
      <c r="D12226" s="29"/>
      <c r="E12226" s="20"/>
      <c r="F12226" s="20"/>
      <c r="AC12226" s="20"/>
      <c r="AG12226" s="29"/>
    </row>
    <row r="12227" spans="2:33">
      <c r="B12227" s="29"/>
      <c r="D12227" s="29"/>
      <c r="E12227" s="20"/>
      <c r="F12227" s="20"/>
      <c r="AC12227" s="20"/>
      <c r="AG12227" s="29"/>
    </row>
    <row r="12228" spans="2:33">
      <c r="B12228" s="29"/>
      <c r="D12228" s="29"/>
      <c r="E12228" s="20"/>
      <c r="F12228" s="20"/>
      <c r="AC12228" s="20"/>
      <c r="AG12228" s="29"/>
    </row>
    <row r="12229" spans="2:33">
      <c r="B12229" s="29"/>
      <c r="D12229" s="29"/>
      <c r="E12229" s="20"/>
      <c r="F12229" s="20"/>
      <c r="AC12229" s="20"/>
      <c r="AG12229" s="29"/>
    </row>
    <row r="12230" spans="2:33">
      <c r="B12230" s="29"/>
      <c r="D12230" s="29"/>
      <c r="E12230" s="20"/>
      <c r="F12230" s="20"/>
      <c r="AC12230" s="20"/>
      <c r="AG12230" s="29"/>
    </row>
    <row r="12231" spans="2:33">
      <c r="B12231" s="29"/>
      <c r="D12231" s="29"/>
      <c r="E12231" s="20"/>
      <c r="F12231" s="20"/>
      <c r="AC12231" s="20"/>
      <c r="AG12231" s="29"/>
    </row>
    <row r="12232" spans="2:33">
      <c r="B12232" s="29"/>
      <c r="D12232" s="29"/>
      <c r="E12232" s="20"/>
      <c r="F12232" s="20"/>
      <c r="AC12232" s="20"/>
      <c r="AG12232" s="29"/>
    </row>
    <row r="12233" spans="2:33">
      <c r="B12233" s="29"/>
      <c r="D12233" s="29"/>
      <c r="E12233" s="20"/>
      <c r="F12233" s="20"/>
      <c r="AC12233" s="20"/>
      <c r="AG12233" s="29"/>
    </row>
    <row r="12234" spans="2:33">
      <c r="B12234" s="29"/>
      <c r="D12234" s="29"/>
      <c r="E12234" s="20"/>
      <c r="F12234" s="20"/>
      <c r="AC12234" s="20"/>
      <c r="AG12234" s="29"/>
    </row>
    <row r="12235" spans="2:33">
      <c r="B12235" s="29"/>
      <c r="D12235" s="29"/>
      <c r="E12235" s="20"/>
      <c r="F12235" s="20"/>
      <c r="AC12235" s="20"/>
      <c r="AG12235" s="29"/>
    </row>
    <row r="12236" spans="2:33">
      <c r="B12236" s="29"/>
      <c r="D12236" s="29"/>
      <c r="E12236" s="20"/>
      <c r="F12236" s="20"/>
      <c r="AC12236" s="20"/>
      <c r="AG12236" s="29"/>
    </row>
    <row r="12237" spans="2:33">
      <c r="B12237" s="29"/>
      <c r="D12237" s="29"/>
      <c r="E12237" s="20"/>
      <c r="F12237" s="20"/>
      <c r="AC12237" s="20"/>
      <c r="AG12237" s="29"/>
    </row>
    <row r="12238" spans="2:33">
      <c r="B12238" s="29"/>
      <c r="D12238" s="29"/>
      <c r="E12238" s="20"/>
      <c r="F12238" s="20"/>
      <c r="AC12238" s="20"/>
      <c r="AG12238" s="29"/>
    </row>
    <row r="12239" spans="2:33">
      <c r="B12239" s="29"/>
      <c r="D12239" s="29"/>
      <c r="E12239" s="20"/>
      <c r="F12239" s="20"/>
      <c r="AC12239" s="20"/>
      <c r="AG12239" s="29"/>
    </row>
    <row r="12240" spans="2:33">
      <c r="B12240" s="29"/>
      <c r="D12240" s="29"/>
      <c r="E12240" s="20"/>
      <c r="F12240" s="20"/>
      <c r="AC12240" s="20"/>
      <c r="AG12240" s="29"/>
    </row>
    <row r="12241" spans="2:33">
      <c r="B12241" s="29"/>
      <c r="D12241" s="29"/>
      <c r="E12241" s="20"/>
      <c r="F12241" s="20"/>
      <c r="AC12241" s="20"/>
      <c r="AG12241" s="29"/>
    </row>
    <row r="12242" spans="2:33">
      <c r="B12242" s="29"/>
      <c r="D12242" s="29"/>
      <c r="E12242" s="20"/>
      <c r="F12242" s="20"/>
      <c r="AC12242" s="20"/>
      <c r="AG12242" s="29"/>
    </row>
    <row r="12243" spans="2:33">
      <c r="B12243" s="29"/>
      <c r="D12243" s="29"/>
      <c r="E12243" s="20"/>
      <c r="F12243" s="20"/>
      <c r="AC12243" s="20"/>
      <c r="AG12243" s="29"/>
    </row>
    <row r="12244" spans="2:33">
      <c r="B12244" s="29"/>
      <c r="D12244" s="29"/>
      <c r="E12244" s="20"/>
      <c r="F12244" s="20"/>
      <c r="AC12244" s="20"/>
      <c r="AG12244" s="29"/>
    </row>
    <row r="12245" spans="2:33">
      <c r="B12245" s="29"/>
      <c r="D12245" s="29"/>
      <c r="E12245" s="20"/>
      <c r="F12245" s="20"/>
      <c r="AC12245" s="20"/>
      <c r="AG12245" s="29"/>
    </row>
    <row r="12246" spans="2:33">
      <c r="B12246" s="29"/>
      <c r="D12246" s="29"/>
      <c r="E12246" s="20"/>
      <c r="F12246" s="20"/>
      <c r="AC12246" s="20"/>
      <c r="AG12246" s="29"/>
    </row>
    <row r="12247" spans="2:33">
      <c r="B12247" s="29"/>
      <c r="D12247" s="29"/>
      <c r="E12247" s="20"/>
      <c r="F12247" s="20"/>
      <c r="AC12247" s="20"/>
      <c r="AG12247" s="29"/>
    </row>
    <row r="12248" spans="2:33">
      <c r="B12248" s="29"/>
      <c r="D12248" s="29"/>
      <c r="E12248" s="20"/>
      <c r="F12248" s="20"/>
      <c r="AC12248" s="20"/>
      <c r="AG12248" s="29"/>
    </row>
    <row r="12249" spans="2:33">
      <c r="B12249" s="29"/>
      <c r="D12249" s="29"/>
      <c r="E12249" s="20"/>
      <c r="F12249" s="20"/>
      <c r="AC12249" s="20"/>
      <c r="AG12249" s="29"/>
    </row>
    <row r="12250" spans="2:33">
      <c r="B12250" s="29"/>
      <c r="D12250" s="29"/>
      <c r="E12250" s="20"/>
      <c r="F12250" s="20"/>
      <c r="AC12250" s="20"/>
      <c r="AG12250" s="29"/>
    </row>
    <row r="12251" spans="2:33">
      <c r="B12251" s="29"/>
      <c r="D12251" s="29"/>
      <c r="E12251" s="20"/>
      <c r="F12251" s="20"/>
      <c r="AC12251" s="20"/>
      <c r="AG12251" s="29"/>
    </row>
    <row r="12252" spans="2:33">
      <c r="B12252" s="29"/>
      <c r="D12252" s="29"/>
      <c r="E12252" s="20"/>
      <c r="F12252" s="20"/>
      <c r="AC12252" s="20"/>
      <c r="AG12252" s="29"/>
    </row>
    <row r="12253" spans="2:33">
      <c r="B12253" s="29"/>
      <c r="D12253" s="29"/>
      <c r="E12253" s="20"/>
      <c r="F12253" s="20"/>
      <c r="AC12253" s="20"/>
      <c r="AG12253" s="29"/>
    </row>
    <row r="12254" spans="2:33">
      <c r="B12254" s="29"/>
      <c r="D12254" s="29"/>
      <c r="E12254" s="20"/>
      <c r="F12254" s="20"/>
      <c r="AC12254" s="20"/>
      <c r="AG12254" s="29"/>
    </row>
    <row r="12255" spans="2:33">
      <c r="B12255" s="29"/>
      <c r="D12255" s="29"/>
      <c r="E12255" s="20"/>
      <c r="F12255" s="20"/>
      <c r="AC12255" s="20"/>
      <c r="AG12255" s="29"/>
    </row>
    <row r="12256" spans="2:33">
      <c r="B12256" s="29"/>
      <c r="D12256" s="29"/>
      <c r="E12256" s="20"/>
      <c r="F12256" s="20"/>
      <c r="AC12256" s="20"/>
      <c r="AG12256" s="29"/>
    </row>
    <row r="12257" spans="2:33">
      <c r="B12257" s="29"/>
      <c r="D12257" s="29"/>
      <c r="E12257" s="20"/>
      <c r="F12257" s="20"/>
      <c r="AC12257" s="20"/>
      <c r="AG12257" s="29"/>
    </row>
    <row r="12258" spans="2:33">
      <c r="B12258" s="29"/>
      <c r="D12258" s="29"/>
      <c r="E12258" s="20"/>
      <c r="F12258" s="20"/>
      <c r="AC12258" s="20"/>
      <c r="AG12258" s="29"/>
    </row>
    <row r="12259" spans="2:33">
      <c r="B12259" s="29"/>
      <c r="D12259" s="29"/>
      <c r="E12259" s="20"/>
      <c r="F12259" s="20"/>
      <c r="AC12259" s="20"/>
      <c r="AG12259" s="29"/>
    </row>
    <row r="12260" spans="2:33">
      <c r="B12260" s="29"/>
      <c r="D12260" s="29"/>
      <c r="E12260" s="20"/>
      <c r="F12260" s="20"/>
      <c r="AC12260" s="20"/>
      <c r="AG12260" s="29"/>
    </row>
    <row r="12261" spans="2:33">
      <c r="B12261" s="29"/>
      <c r="D12261" s="29"/>
      <c r="E12261" s="20"/>
      <c r="F12261" s="20"/>
      <c r="AC12261" s="20"/>
      <c r="AG12261" s="29"/>
    </row>
    <row r="12262" spans="2:33">
      <c r="B12262" s="29"/>
      <c r="D12262" s="29"/>
      <c r="E12262" s="20"/>
      <c r="F12262" s="20"/>
      <c r="AC12262" s="20"/>
      <c r="AG12262" s="29"/>
    </row>
    <row r="12263" spans="2:33">
      <c r="B12263" s="29"/>
      <c r="D12263" s="29"/>
      <c r="E12263" s="20"/>
      <c r="F12263" s="20"/>
      <c r="AC12263" s="20"/>
      <c r="AG12263" s="29"/>
    </row>
    <row r="12264" spans="2:33">
      <c r="B12264" s="29"/>
      <c r="D12264" s="29"/>
      <c r="E12264" s="20"/>
      <c r="F12264" s="20"/>
      <c r="AC12264" s="20"/>
      <c r="AG12264" s="29"/>
    </row>
    <row r="12265" spans="2:33">
      <c r="B12265" s="29"/>
      <c r="D12265" s="29"/>
      <c r="E12265" s="20"/>
      <c r="F12265" s="20"/>
      <c r="AC12265" s="20"/>
      <c r="AG12265" s="29"/>
    </row>
    <row r="12266" spans="2:33">
      <c r="B12266" s="29"/>
      <c r="D12266" s="29"/>
      <c r="E12266" s="20"/>
      <c r="F12266" s="20"/>
      <c r="AC12266" s="20"/>
      <c r="AG12266" s="29"/>
    </row>
    <row r="12267" spans="2:33">
      <c r="B12267" s="29"/>
      <c r="D12267" s="29"/>
      <c r="E12267" s="20"/>
      <c r="F12267" s="20"/>
      <c r="AC12267" s="20"/>
      <c r="AG12267" s="29"/>
    </row>
    <row r="12268" spans="2:33">
      <c r="B12268" s="29"/>
      <c r="D12268" s="29"/>
      <c r="E12268" s="20"/>
      <c r="F12268" s="20"/>
      <c r="AC12268" s="20"/>
      <c r="AG12268" s="29"/>
    </row>
    <row r="12269" spans="2:33">
      <c r="B12269" s="29"/>
      <c r="D12269" s="29"/>
      <c r="E12269" s="20"/>
      <c r="F12269" s="20"/>
      <c r="AC12269" s="20"/>
      <c r="AG12269" s="29"/>
    </row>
    <row r="12270" spans="2:33">
      <c r="B12270" s="29"/>
      <c r="D12270" s="29"/>
      <c r="E12270" s="20"/>
      <c r="F12270" s="20"/>
      <c r="AC12270" s="20"/>
      <c r="AG12270" s="29"/>
    </row>
    <row r="12271" spans="2:33">
      <c r="B12271" s="29"/>
      <c r="D12271" s="29"/>
      <c r="E12271" s="20"/>
      <c r="F12271" s="20"/>
      <c r="AC12271" s="20"/>
      <c r="AG12271" s="29"/>
    </row>
    <row r="12272" spans="2:33">
      <c r="B12272" s="29"/>
      <c r="D12272" s="29"/>
      <c r="E12272" s="20"/>
      <c r="F12272" s="20"/>
      <c r="AC12272" s="20"/>
      <c r="AG12272" s="29"/>
    </row>
    <row r="12273" spans="2:33">
      <c r="B12273" s="29"/>
      <c r="D12273" s="29"/>
      <c r="E12273" s="20"/>
      <c r="F12273" s="20"/>
      <c r="AC12273" s="20"/>
      <c r="AG12273" s="29"/>
    </row>
    <row r="12274" spans="2:33">
      <c r="B12274" s="29"/>
      <c r="D12274" s="29"/>
      <c r="E12274" s="20"/>
      <c r="F12274" s="20"/>
      <c r="AC12274" s="20"/>
      <c r="AG12274" s="29"/>
    </row>
    <row r="12275" spans="2:33">
      <c r="B12275" s="29"/>
      <c r="D12275" s="29"/>
      <c r="E12275" s="20"/>
      <c r="F12275" s="20"/>
      <c r="AC12275" s="20"/>
      <c r="AG12275" s="29"/>
    </row>
    <row r="12276" spans="2:33">
      <c r="B12276" s="29"/>
      <c r="D12276" s="29"/>
      <c r="E12276" s="20"/>
      <c r="F12276" s="20"/>
      <c r="AC12276" s="20"/>
      <c r="AG12276" s="29"/>
    </row>
    <row r="12277" spans="2:33">
      <c r="B12277" s="29"/>
      <c r="D12277" s="29"/>
      <c r="E12277" s="20"/>
      <c r="F12277" s="20"/>
      <c r="AC12277" s="20"/>
      <c r="AG12277" s="29"/>
    </row>
    <row r="12278" spans="2:33">
      <c r="B12278" s="29"/>
      <c r="D12278" s="29"/>
      <c r="E12278" s="20"/>
      <c r="F12278" s="20"/>
      <c r="AC12278" s="20"/>
      <c r="AG12278" s="29"/>
    </row>
    <row r="12279" spans="2:33">
      <c r="B12279" s="29"/>
      <c r="D12279" s="29"/>
      <c r="E12279" s="20"/>
      <c r="F12279" s="20"/>
      <c r="AC12279" s="20"/>
      <c r="AG12279" s="29"/>
    </row>
    <row r="12280" spans="2:33">
      <c r="B12280" s="29"/>
      <c r="D12280" s="29"/>
      <c r="E12280" s="20"/>
      <c r="F12280" s="20"/>
      <c r="AC12280" s="20"/>
      <c r="AG12280" s="29"/>
    </row>
    <row r="12281" spans="2:33">
      <c r="B12281" s="29"/>
      <c r="D12281" s="29"/>
      <c r="E12281" s="20"/>
      <c r="F12281" s="20"/>
      <c r="AC12281" s="20"/>
      <c r="AG12281" s="29"/>
    </row>
    <row r="12282" spans="2:33">
      <c r="B12282" s="29"/>
      <c r="D12282" s="29"/>
      <c r="E12282" s="20"/>
      <c r="F12282" s="20"/>
      <c r="AC12282" s="20"/>
      <c r="AG12282" s="29"/>
    </row>
    <row r="12283" spans="2:33">
      <c r="B12283" s="29"/>
      <c r="D12283" s="29"/>
      <c r="E12283" s="20"/>
      <c r="F12283" s="20"/>
      <c r="AC12283" s="20"/>
      <c r="AG12283" s="29"/>
    </row>
    <row r="12284" spans="2:33">
      <c r="B12284" s="29"/>
      <c r="D12284" s="29"/>
      <c r="E12284" s="20"/>
      <c r="F12284" s="20"/>
      <c r="AC12284" s="20"/>
      <c r="AG12284" s="29"/>
    </row>
    <row r="12285" spans="2:33">
      <c r="B12285" s="29"/>
      <c r="D12285" s="29"/>
      <c r="E12285" s="20"/>
      <c r="F12285" s="20"/>
      <c r="AC12285" s="20"/>
      <c r="AG12285" s="29"/>
    </row>
    <row r="12286" spans="2:33">
      <c r="B12286" s="29"/>
      <c r="D12286" s="29"/>
      <c r="E12286" s="20"/>
      <c r="F12286" s="20"/>
      <c r="AC12286" s="20"/>
      <c r="AG12286" s="29"/>
    </row>
    <row r="12287" spans="2:33">
      <c r="B12287" s="29"/>
      <c r="D12287" s="29"/>
      <c r="E12287" s="20"/>
      <c r="F12287" s="20"/>
      <c r="AC12287" s="20"/>
      <c r="AG12287" s="29"/>
    </row>
    <row r="12288" spans="2:33">
      <c r="B12288" s="29"/>
      <c r="D12288" s="29"/>
      <c r="E12288" s="20"/>
      <c r="F12288" s="20"/>
      <c r="AC12288" s="20"/>
      <c r="AG12288" s="29"/>
    </row>
    <row r="12289" spans="2:33">
      <c r="B12289" s="29"/>
      <c r="D12289" s="29"/>
      <c r="E12289" s="20"/>
      <c r="F12289" s="20"/>
      <c r="AC12289" s="20"/>
      <c r="AG12289" s="29"/>
    </row>
    <row r="12290" spans="2:33">
      <c r="B12290" s="29"/>
      <c r="D12290" s="29"/>
      <c r="E12290" s="20"/>
      <c r="F12290" s="20"/>
      <c r="AC12290" s="20"/>
      <c r="AG12290" s="29"/>
    </row>
    <row r="12291" spans="2:33">
      <c r="B12291" s="29"/>
      <c r="D12291" s="29"/>
      <c r="E12291" s="20"/>
      <c r="F12291" s="20"/>
      <c r="AC12291" s="20"/>
      <c r="AG12291" s="29"/>
    </row>
    <row r="12292" spans="2:33">
      <c r="B12292" s="29"/>
      <c r="D12292" s="29"/>
      <c r="E12292" s="20"/>
      <c r="F12292" s="20"/>
      <c r="AC12292" s="20"/>
      <c r="AG12292" s="29"/>
    </row>
    <row r="12293" spans="2:33">
      <c r="B12293" s="29"/>
      <c r="D12293" s="29"/>
      <c r="E12293" s="20"/>
      <c r="F12293" s="20"/>
      <c r="AC12293" s="20"/>
      <c r="AG12293" s="29"/>
    </row>
    <row r="12294" spans="2:33">
      <c r="B12294" s="29"/>
      <c r="D12294" s="29"/>
      <c r="E12294" s="20"/>
      <c r="F12294" s="20"/>
      <c r="AC12294" s="20"/>
      <c r="AG12294" s="29"/>
    </row>
    <row r="12295" spans="2:33">
      <c r="B12295" s="29"/>
      <c r="D12295" s="29"/>
      <c r="E12295" s="20"/>
      <c r="F12295" s="20"/>
      <c r="AC12295" s="20"/>
      <c r="AG12295" s="29"/>
    </row>
    <row r="12296" spans="2:33">
      <c r="B12296" s="29"/>
      <c r="D12296" s="29"/>
      <c r="E12296" s="20"/>
      <c r="F12296" s="20"/>
      <c r="AC12296" s="20"/>
      <c r="AG12296" s="29"/>
    </row>
    <row r="12297" spans="2:33">
      <c r="B12297" s="29"/>
      <c r="D12297" s="29"/>
      <c r="E12297" s="20"/>
      <c r="F12297" s="20"/>
      <c r="AC12297" s="20"/>
      <c r="AG12297" s="29"/>
    </row>
    <row r="12298" spans="2:33">
      <c r="B12298" s="29"/>
      <c r="D12298" s="29"/>
      <c r="E12298" s="20"/>
      <c r="F12298" s="20"/>
      <c r="AC12298" s="20"/>
      <c r="AG12298" s="29"/>
    </row>
    <row r="12299" spans="2:33">
      <c r="B12299" s="29"/>
      <c r="D12299" s="29"/>
      <c r="E12299" s="20"/>
      <c r="F12299" s="20"/>
      <c r="AC12299" s="20"/>
      <c r="AG12299" s="29"/>
    </row>
    <row r="12300" spans="2:33">
      <c r="B12300" s="29"/>
      <c r="D12300" s="29"/>
      <c r="E12300" s="20"/>
      <c r="F12300" s="20"/>
      <c r="AC12300" s="20"/>
      <c r="AG12300" s="29"/>
    </row>
    <row r="12301" spans="2:33">
      <c r="B12301" s="29"/>
      <c r="D12301" s="29"/>
      <c r="E12301" s="20"/>
      <c r="F12301" s="20"/>
      <c r="AC12301" s="20"/>
      <c r="AG12301" s="29"/>
    </row>
    <row r="12302" spans="2:33">
      <c r="B12302" s="29"/>
      <c r="D12302" s="29"/>
      <c r="E12302" s="20"/>
      <c r="F12302" s="20"/>
      <c r="AC12302" s="20"/>
      <c r="AG12302" s="29"/>
    </row>
    <row r="12303" spans="2:33">
      <c r="B12303" s="29"/>
      <c r="D12303" s="29"/>
      <c r="E12303" s="20"/>
      <c r="F12303" s="20"/>
      <c r="AC12303" s="20"/>
      <c r="AG12303" s="29"/>
    </row>
    <row r="12304" spans="2:33">
      <c r="B12304" s="29"/>
      <c r="D12304" s="29"/>
      <c r="E12304" s="20"/>
      <c r="F12304" s="20"/>
      <c r="AC12304" s="20"/>
      <c r="AG12304" s="29"/>
    </row>
    <row r="12305" spans="2:33">
      <c r="B12305" s="29"/>
      <c r="D12305" s="29"/>
      <c r="E12305" s="20"/>
      <c r="F12305" s="20"/>
      <c r="AC12305" s="20"/>
      <c r="AG12305" s="29"/>
    </row>
    <row r="12306" spans="2:33">
      <c r="B12306" s="29"/>
      <c r="D12306" s="29"/>
      <c r="E12306" s="20"/>
      <c r="F12306" s="20"/>
      <c r="AC12306" s="20"/>
      <c r="AG12306" s="29"/>
    </row>
    <row r="12307" spans="2:33">
      <c r="B12307" s="29"/>
      <c r="D12307" s="29"/>
      <c r="E12307" s="20"/>
      <c r="F12307" s="20"/>
      <c r="AC12307" s="20"/>
      <c r="AG12307" s="29"/>
    </row>
    <row r="12308" spans="2:33">
      <c r="B12308" s="29"/>
      <c r="D12308" s="29"/>
      <c r="E12308" s="20"/>
      <c r="F12308" s="20"/>
      <c r="AC12308" s="20"/>
      <c r="AG12308" s="29"/>
    </row>
    <row r="12309" spans="2:33">
      <c r="B12309" s="29"/>
      <c r="D12309" s="29"/>
      <c r="E12309" s="20"/>
      <c r="F12309" s="20"/>
      <c r="AC12309" s="20"/>
      <c r="AG12309" s="29"/>
    </row>
    <row r="12310" spans="2:33">
      <c r="B12310" s="29"/>
      <c r="D12310" s="29"/>
      <c r="E12310" s="20"/>
      <c r="F12310" s="20"/>
      <c r="AC12310" s="20"/>
      <c r="AG12310" s="29"/>
    </row>
    <row r="12311" spans="2:33">
      <c r="B12311" s="29"/>
      <c r="D12311" s="29"/>
      <c r="E12311" s="20"/>
      <c r="F12311" s="20"/>
      <c r="AC12311" s="20"/>
      <c r="AG12311" s="29"/>
    </row>
    <row r="12312" spans="2:33">
      <c r="B12312" s="29"/>
      <c r="D12312" s="29"/>
      <c r="E12312" s="20"/>
      <c r="F12312" s="20"/>
      <c r="AC12312" s="20"/>
      <c r="AG12312" s="29"/>
    </row>
    <row r="12313" spans="2:33">
      <c r="B12313" s="29"/>
      <c r="D12313" s="29"/>
      <c r="E12313" s="20"/>
      <c r="F12313" s="20"/>
      <c r="AC12313" s="20"/>
      <c r="AG12313" s="29"/>
    </row>
    <row r="12314" spans="2:33">
      <c r="B12314" s="29"/>
      <c r="D12314" s="29"/>
      <c r="E12314" s="20"/>
      <c r="F12314" s="20"/>
      <c r="AC12314" s="20"/>
      <c r="AG12314" s="29"/>
    </row>
    <row r="12315" spans="2:33">
      <c r="B12315" s="29"/>
      <c r="D12315" s="29"/>
      <c r="E12315" s="20"/>
      <c r="F12315" s="20"/>
      <c r="AC12315" s="20"/>
      <c r="AG12315" s="29"/>
    </row>
    <row r="12316" spans="2:33">
      <c r="B12316" s="29"/>
      <c r="D12316" s="29"/>
      <c r="E12316" s="20"/>
      <c r="F12316" s="20"/>
      <c r="AC12316" s="20"/>
      <c r="AG12316" s="29"/>
    </row>
    <row r="12317" spans="2:33">
      <c r="B12317" s="29"/>
      <c r="D12317" s="29"/>
      <c r="E12317" s="20"/>
      <c r="F12317" s="20"/>
      <c r="AC12317" s="20"/>
      <c r="AG12317" s="29"/>
    </row>
    <row r="12318" spans="2:33">
      <c r="B12318" s="29"/>
      <c r="D12318" s="29"/>
      <c r="E12318" s="20"/>
      <c r="F12318" s="20"/>
      <c r="AC12318" s="20"/>
      <c r="AG12318" s="29"/>
    </row>
    <row r="12319" spans="2:33">
      <c r="B12319" s="29"/>
      <c r="D12319" s="29"/>
      <c r="E12319" s="20"/>
      <c r="F12319" s="20"/>
      <c r="AC12319" s="20"/>
      <c r="AG12319" s="29"/>
    </row>
    <row r="12320" spans="2:33">
      <c r="B12320" s="29"/>
      <c r="D12320" s="29"/>
      <c r="E12320" s="20"/>
      <c r="F12320" s="20"/>
      <c r="AC12320" s="20"/>
      <c r="AG12320" s="29"/>
    </row>
    <row r="12321" spans="2:33">
      <c r="B12321" s="29"/>
      <c r="D12321" s="29"/>
      <c r="E12321" s="20"/>
      <c r="F12321" s="20"/>
      <c r="AC12321" s="20"/>
      <c r="AG12321" s="29"/>
    </row>
    <row r="12322" spans="2:33">
      <c r="B12322" s="29"/>
      <c r="D12322" s="29"/>
      <c r="E12322" s="20"/>
      <c r="F12322" s="20"/>
      <c r="AC12322" s="20"/>
      <c r="AG12322" s="29"/>
    </row>
    <row r="12323" spans="2:33">
      <c r="B12323" s="29"/>
      <c r="D12323" s="29"/>
      <c r="E12323" s="20"/>
      <c r="F12323" s="20"/>
      <c r="AC12323" s="20"/>
      <c r="AG12323" s="29"/>
    </row>
    <row r="12324" spans="2:33">
      <c r="B12324" s="29"/>
      <c r="D12324" s="29"/>
      <c r="E12324" s="20"/>
      <c r="F12324" s="20"/>
      <c r="AC12324" s="20"/>
      <c r="AG12324" s="29"/>
    </row>
    <row r="12325" spans="2:33">
      <c r="B12325" s="29"/>
      <c r="D12325" s="29"/>
      <c r="E12325" s="20"/>
      <c r="F12325" s="20"/>
      <c r="AC12325" s="20"/>
      <c r="AG12325" s="29"/>
    </row>
    <row r="12326" spans="2:33">
      <c r="B12326" s="29"/>
      <c r="D12326" s="29"/>
      <c r="E12326" s="20"/>
      <c r="F12326" s="20"/>
      <c r="AC12326" s="20"/>
      <c r="AG12326" s="29"/>
    </row>
    <row r="12327" spans="2:33">
      <c r="B12327" s="29"/>
      <c r="D12327" s="29"/>
      <c r="E12327" s="20"/>
      <c r="F12327" s="20"/>
      <c r="AC12327" s="20"/>
      <c r="AG12327" s="29"/>
    </row>
    <row r="12328" spans="2:33">
      <c r="B12328" s="29"/>
      <c r="D12328" s="29"/>
      <c r="E12328" s="20"/>
      <c r="F12328" s="20"/>
      <c r="AC12328" s="20"/>
      <c r="AG12328" s="29"/>
    </row>
    <row r="12329" spans="2:33">
      <c r="B12329" s="29"/>
      <c r="D12329" s="29"/>
      <c r="E12329" s="20"/>
      <c r="F12329" s="20"/>
      <c r="AC12329" s="20"/>
      <c r="AG12329" s="29"/>
    </row>
    <row r="12330" spans="2:33">
      <c r="B12330" s="29"/>
      <c r="D12330" s="29"/>
      <c r="E12330" s="20"/>
      <c r="F12330" s="20"/>
      <c r="AC12330" s="20"/>
      <c r="AG12330" s="29"/>
    </row>
    <row r="12331" spans="2:33">
      <c r="B12331" s="29"/>
      <c r="D12331" s="29"/>
      <c r="E12331" s="20"/>
      <c r="F12331" s="20"/>
      <c r="AC12331" s="20"/>
      <c r="AG12331" s="29"/>
    </row>
    <row r="12332" spans="2:33">
      <c r="B12332" s="29"/>
      <c r="D12332" s="29"/>
      <c r="E12332" s="20"/>
      <c r="F12332" s="20"/>
      <c r="AC12332" s="20"/>
      <c r="AG12332" s="29"/>
    </row>
    <row r="12333" spans="2:33">
      <c r="B12333" s="29"/>
      <c r="D12333" s="29"/>
      <c r="E12333" s="20"/>
      <c r="F12333" s="20"/>
      <c r="AC12333" s="20"/>
      <c r="AG12333" s="29"/>
    </row>
    <row r="12334" spans="2:33">
      <c r="B12334" s="29"/>
      <c r="D12334" s="29"/>
      <c r="E12334" s="20"/>
      <c r="F12334" s="20"/>
      <c r="AC12334" s="20"/>
      <c r="AG12334" s="29"/>
    </row>
    <row r="12335" spans="2:33">
      <c r="B12335" s="29"/>
      <c r="D12335" s="29"/>
      <c r="E12335" s="20"/>
      <c r="F12335" s="20"/>
      <c r="AC12335" s="20"/>
      <c r="AG12335" s="29"/>
    </row>
    <row r="12336" spans="2:33">
      <c r="B12336" s="29"/>
      <c r="D12336" s="29"/>
      <c r="E12336" s="20"/>
      <c r="F12336" s="20"/>
      <c r="AC12336" s="20"/>
      <c r="AG12336" s="29"/>
    </row>
    <row r="12337" spans="2:33">
      <c r="B12337" s="29"/>
      <c r="D12337" s="29"/>
      <c r="E12337" s="20"/>
      <c r="F12337" s="20"/>
      <c r="AC12337" s="20"/>
      <c r="AG12337" s="29"/>
    </row>
    <row r="12338" spans="2:33">
      <c r="B12338" s="29"/>
      <c r="D12338" s="29"/>
      <c r="E12338" s="20"/>
      <c r="F12338" s="20"/>
      <c r="AC12338" s="20"/>
      <c r="AG12338" s="29"/>
    </row>
    <row r="12339" spans="2:33">
      <c r="B12339" s="29"/>
      <c r="D12339" s="29"/>
      <c r="E12339" s="20"/>
      <c r="F12339" s="20"/>
      <c r="AC12339" s="20"/>
      <c r="AG12339" s="29"/>
    </row>
    <row r="12340" spans="2:33">
      <c r="B12340" s="29"/>
      <c r="D12340" s="29"/>
      <c r="E12340" s="20"/>
      <c r="F12340" s="20"/>
      <c r="AC12340" s="20"/>
      <c r="AG12340" s="29"/>
    </row>
    <row r="12341" spans="2:33">
      <c r="B12341" s="29"/>
      <c r="D12341" s="29"/>
      <c r="E12341" s="20"/>
      <c r="F12341" s="20"/>
      <c r="AC12341" s="20"/>
      <c r="AG12341" s="29"/>
    </row>
    <row r="12342" spans="2:33">
      <c r="B12342" s="29"/>
      <c r="D12342" s="29"/>
      <c r="E12342" s="20"/>
      <c r="F12342" s="20"/>
      <c r="AC12342" s="20"/>
      <c r="AG12342" s="29"/>
    </row>
    <row r="12343" spans="2:33">
      <c r="B12343" s="29"/>
      <c r="D12343" s="29"/>
      <c r="E12343" s="20"/>
      <c r="F12343" s="20"/>
      <c r="AC12343" s="20"/>
      <c r="AG12343" s="29"/>
    </row>
    <row r="12344" spans="2:33">
      <c r="B12344" s="29"/>
      <c r="D12344" s="29"/>
      <c r="E12344" s="20"/>
      <c r="F12344" s="20"/>
      <c r="AC12344" s="20"/>
      <c r="AG12344" s="29"/>
    </row>
    <row r="12345" spans="2:33">
      <c r="B12345" s="29"/>
      <c r="D12345" s="29"/>
      <c r="E12345" s="20"/>
      <c r="F12345" s="20"/>
      <c r="AC12345" s="20"/>
      <c r="AG12345" s="29"/>
    </row>
    <row r="12346" spans="2:33">
      <c r="B12346" s="29"/>
      <c r="D12346" s="29"/>
      <c r="E12346" s="20"/>
      <c r="F12346" s="20"/>
      <c r="AC12346" s="20"/>
      <c r="AG12346" s="29"/>
    </row>
    <row r="12347" spans="2:33">
      <c r="B12347" s="29"/>
      <c r="D12347" s="29"/>
      <c r="E12347" s="20"/>
      <c r="F12347" s="20"/>
      <c r="AC12347" s="20"/>
      <c r="AG12347" s="29"/>
    </row>
    <row r="12348" spans="2:33">
      <c r="B12348" s="29"/>
      <c r="D12348" s="29"/>
      <c r="E12348" s="20"/>
      <c r="F12348" s="20"/>
      <c r="AC12348" s="20"/>
      <c r="AG12348" s="29"/>
    </row>
    <row r="12349" spans="2:33">
      <c r="B12349" s="29"/>
      <c r="D12349" s="29"/>
      <c r="E12349" s="20"/>
      <c r="F12349" s="20"/>
      <c r="AC12349" s="20"/>
      <c r="AG12349" s="29"/>
    </row>
    <row r="12350" spans="2:33">
      <c r="B12350" s="29"/>
      <c r="D12350" s="29"/>
      <c r="E12350" s="20"/>
      <c r="F12350" s="20"/>
      <c r="AC12350" s="20"/>
      <c r="AG12350" s="29"/>
    </row>
    <row r="12351" spans="2:33">
      <c r="B12351" s="29"/>
      <c r="D12351" s="29"/>
      <c r="E12351" s="20"/>
      <c r="F12351" s="20"/>
      <c r="AC12351" s="20"/>
      <c r="AG12351" s="29"/>
    </row>
    <row r="12352" spans="2:33">
      <c r="B12352" s="29"/>
      <c r="D12352" s="29"/>
      <c r="E12352" s="20"/>
      <c r="F12352" s="20"/>
      <c r="AC12352" s="20"/>
      <c r="AG12352" s="29"/>
    </row>
    <row r="12353" spans="2:33">
      <c r="B12353" s="29"/>
      <c r="D12353" s="29"/>
      <c r="E12353" s="20"/>
      <c r="F12353" s="20"/>
      <c r="AC12353" s="20"/>
      <c r="AG12353" s="29"/>
    </row>
    <row r="12354" spans="2:33">
      <c r="B12354" s="29"/>
      <c r="D12354" s="29"/>
      <c r="E12354" s="20"/>
      <c r="F12354" s="20"/>
      <c r="AC12354" s="20"/>
      <c r="AG12354" s="29"/>
    </row>
    <row r="12355" spans="2:33">
      <c r="B12355" s="29"/>
      <c r="D12355" s="29"/>
      <c r="E12355" s="20"/>
      <c r="F12355" s="20"/>
      <c r="AC12355" s="20"/>
      <c r="AG12355" s="29"/>
    </row>
    <row r="12356" spans="2:33">
      <c r="B12356" s="29"/>
      <c r="D12356" s="29"/>
      <c r="E12356" s="20"/>
      <c r="F12356" s="20"/>
      <c r="AC12356" s="20"/>
      <c r="AG12356" s="29"/>
    </row>
    <row r="12357" spans="2:33">
      <c r="B12357" s="29"/>
      <c r="D12357" s="29"/>
      <c r="E12357" s="20"/>
      <c r="F12357" s="20"/>
      <c r="AC12357" s="20"/>
      <c r="AG12357" s="29"/>
    </row>
    <row r="12358" spans="2:33">
      <c r="B12358" s="29"/>
      <c r="D12358" s="29"/>
      <c r="E12358" s="20"/>
      <c r="F12358" s="20"/>
      <c r="AC12358" s="20"/>
      <c r="AG12358" s="29"/>
    </row>
    <row r="12359" spans="2:33">
      <c r="B12359" s="29"/>
      <c r="D12359" s="29"/>
      <c r="E12359" s="20"/>
      <c r="F12359" s="20"/>
      <c r="AC12359" s="20"/>
      <c r="AG12359" s="29"/>
    </row>
    <row r="12360" spans="2:33">
      <c r="B12360" s="29"/>
      <c r="D12360" s="29"/>
      <c r="E12360" s="20"/>
      <c r="F12360" s="20"/>
      <c r="AC12360" s="20"/>
      <c r="AG12360" s="29"/>
    </row>
    <row r="12361" spans="2:33">
      <c r="B12361" s="29"/>
      <c r="D12361" s="29"/>
      <c r="E12361" s="20"/>
      <c r="F12361" s="20"/>
      <c r="AC12361" s="20"/>
      <c r="AG12361" s="29"/>
    </row>
    <row r="12362" spans="2:33">
      <c r="B12362" s="29"/>
      <c r="D12362" s="29"/>
      <c r="E12362" s="20"/>
      <c r="F12362" s="20"/>
      <c r="AC12362" s="20"/>
      <c r="AG12362" s="29"/>
    </row>
    <row r="12363" spans="2:33">
      <c r="B12363" s="29"/>
      <c r="D12363" s="29"/>
      <c r="E12363" s="20"/>
      <c r="F12363" s="20"/>
      <c r="AC12363" s="20"/>
      <c r="AG12363" s="29"/>
    </row>
    <row r="12364" spans="2:33">
      <c r="B12364" s="29"/>
      <c r="D12364" s="29"/>
      <c r="E12364" s="20"/>
      <c r="F12364" s="20"/>
      <c r="AC12364" s="20"/>
      <c r="AG12364" s="29"/>
    </row>
    <row r="12365" spans="2:33">
      <c r="B12365" s="29"/>
      <c r="D12365" s="29"/>
      <c r="E12365" s="20"/>
      <c r="F12365" s="20"/>
      <c r="AC12365" s="20"/>
      <c r="AG12365" s="29"/>
    </row>
    <row r="12366" spans="2:33">
      <c r="B12366" s="29"/>
      <c r="D12366" s="29"/>
      <c r="E12366" s="20"/>
      <c r="F12366" s="20"/>
      <c r="AC12366" s="20"/>
      <c r="AG12366" s="29"/>
    </row>
    <row r="12367" spans="2:33">
      <c r="B12367" s="29"/>
      <c r="D12367" s="29"/>
      <c r="E12367" s="20"/>
      <c r="F12367" s="20"/>
      <c r="AC12367" s="20"/>
      <c r="AG12367" s="29"/>
    </row>
    <row r="12368" spans="2:33">
      <c r="B12368" s="29"/>
      <c r="D12368" s="29"/>
      <c r="E12368" s="20"/>
      <c r="F12368" s="20"/>
      <c r="AC12368" s="20"/>
      <c r="AG12368" s="29"/>
    </row>
    <row r="12369" spans="2:33">
      <c r="B12369" s="29"/>
      <c r="D12369" s="29"/>
      <c r="E12369" s="20"/>
      <c r="F12369" s="20"/>
      <c r="AC12369" s="20"/>
      <c r="AG12369" s="29"/>
    </row>
    <row r="12370" spans="2:33">
      <c r="B12370" s="29"/>
      <c r="D12370" s="29"/>
      <c r="E12370" s="20"/>
      <c r="F12370" s="20"/>
      <c r="AC12370" s="20"/>
      <c r="AG12370" s="29"/>
    </row>
    <row r="12371" spans="2:33">
      <c r="B12371" s="29"/>
      <c r="D12371" s="29"/>
      <c r="E12371" s="20"/>
      <c r="F12371" s="20"/>
      <c r="AC12371" s="20"/>
      <c r="AG12371" s="29"/>
    </row>
    <row r="12372" spans="2:33">
      <c r="B12372" s="29"/>
      <c r="D12372" s="29"/>
      <c r="E12372" s="20"/>
      <c r="F12372" s="20"/>
      <c r="AC12372" s="20"/>
      <c r="AG12372" s="29"/>
    </row>
    <row r="12373" spans="2:33">
      <c r="B12373" s="29"/>
      <c r="D12373" s="29"/>
      <c r="E12373" s="20"/>
      <c r="F12373" s="20"/>
      <c r="AC12373" s="20"/>
      <c r="AG12373" s="29"/>
    </row>
    <row r="12374" spans="2:33">
      <c r="B12374" s="29"/>
      <c r="D12374" s="29"/>
      <c r="E12374" s="20"/>
      <c r="F12374" s="20"/>
      <c r="AC12374" s="20"/>
      <c r="AG12374" s="29"/>
    </row>
    <row r="12375" spans="2:33">
      <c r="B12375" s="29"/>
      <c r="D12375" s="29"/>
      <c r="E12375" s="20"/>
      <c r="F12375" s="20"/>
      <c r="AC12375" s="20"/>
      <c r="AG12375" s="29"/>
    </row>
    <row r="12376" spans="2:33">
      <c r="B12376" s="29"/>
      <c r="D12376" s="29"/>
      <c r="E12376" s="20"/>
      <c r="F12376" s="20"/>
      <c r="AC12376" s="20"/>
      <c r="AG12376" s="29"/>
    </row>
    <row r="12377" spans="2:33">
      <c r="B12377" s="29"/>
      <c r="D12377" s="29"/>
      <c r="E12377" s="20"/>
      <c r="F12377" s="20"/>
      <c r="AC12377" s="20"/>
      <c r="AG12377" s="29"/>
    </row>
    <row r="12378" spans="2:33">
      <c r="B12378" s="29"/>
      <c r="D12378" s="29"/>
      <c r="E12378" s="20"/>
      <c r="F12378" s="20"/>
      <c r="AC12378" s="20"/>
      <c r="AG12378" s="29"/>
    </row>
    <row r="12379" spans="2:33">
      <c r="B12379" s="29"/>
      <c r="D12379" s="29"/>
      <c r="E12379" s="20"/>
      <c r="F12379" s="20"/>
      <c r="AC12379" s="20"/>
      <c r="AG12379" s="29"/>
    </row>
    <row r="12380" spans="2:33">
      <c r="B12380" s="29"/>
      <c r="D12380" s="29"/>
      <c r="E12380" s="20"/>
      <c r="F12380" s="20"/>
      <c r="AC12380" s="20"/>
      <c r="AG12380" s="29"/>
    </row>
    <row r="12381" spans="2:33">
      <c r="B12381" s="29"/>
      <c r="D12381" s="29"/>
      <c r="E12381" s="20"/>
      <c r="F12381" s="20"/>
      <c r="AC12381" s="20"/>
      <c r="AG12381" s="29"/>
    </row>
    <row r="12382" spans="2:33">
      <c r="B12382" s="29"/>
      <c r="D12382" s="29"/>
      <c r="E12382" s="20"/>
      <c r="F12382" s="20"/>
      <c r="AC12382" s="20"/>
      <c r="AG12382" s="29"/>
    </row>
    <row r="12383" spans="2:33">
      <c r="B12383" s="29"/>
      <c r="D12383" s="29"/>
      <c r="E12383" s="20"/>
      <c r="F12383" s="20"/>
      <c r="AC12383" s="20"/>
      <c r="AG12383" s="29"/>
    </row>
    <row r="12384" spans="2:33">
      <c r="B12384" s="29"/>
      <c r="D12384" s="29"/>
      <c r="E12384" s="20"/>
      <c r="F12384" s="20"/>
      <c r="AC12384" s="20"/>
      <c r="AG12384" s="29"/>
    </row>
    <row r="12385" spans="2:33">
      <c r="B12385" s="29"/>
      <c r="D12385" s="29"/>
      <c r="E12385" s="20"/>
      <c r="F12385" s="20"/>
      <c r="AC12385" s="20"/>
      <c r="AG12385" s="29"/>
    </row>
    <row r="12386" spans="2:33">
      <c r="B12386" s="29"/>
      <c r="D12386" s="29"/>
      <c r="E12386" s="20"/>
      <c r="F12386" s="20"/>
      <c r="AC12386" s="20"/>
      <c r="AG12386" s="29"/>
    </row>
    <row r="12387" spans="2:33">
      <c r="B12387" s="29"/>
      <c r="D12387" s="29"/>
      <c r="E12387" s="20"/>
      <c r="F12387" s="20"/>
      <c r="AC12387" s="20"/>
      <c r="AG12387" s="29"/>
    </row>
    <row r="12388" spans="2:33">
      <c r="B12388" s="29"/>
      <c r="D12388" s="29"/>
      <c r="E12388" s="20"/>
      <c r="F12388" s="20"/>
      <c r="AC12388" s="20"/>
      <c r="AG12388" s="29"/>
    </row>
    <row r="12389" spans="2:33">
      <c r="B12389" s="29"/>
      <c r="D12389" s="29"/>
      <c r="E12389" s="20"/>
      <c r="F12389" s="20"/>
      <c r="AC12389" s="20"/>
      <c r="AG12389" s="29"/>
    </row>
    <row r="12390" spans="2:33">
      <c r="B12390" s="29"/>
      <c r="D12390" s="29"/>
      <c r="E12390" s="20"/>
      <c r="F12390" s="20"/>
      <c r="AC12390" s="20"/>
      <c r="AG12390" s="29"/>
    </row>
    <row r="12391" spans="2:33">
      <c r="B12391" s="29"/>
      <c r="D12391" s="29"/>
      <c r="E12391" s="20"/>
      <c r="F12391" s="20"/>
      <c r="AC12391" s="20"/>
      <c r="AG12391" s="29"/>
    </row>
    <row r="12392" spans="2:33">
      <c r="B12392" s="29"/>
      <c r="D12392" s="29"/>
      <c r="E12392" s="20"/>
      <c r="F12392" s="20"/>
      <c r="AC12392" s="20"/>
      <c r="AG12392" s="29"/>
    </row>
    <row r="12393" spans="2:33">
      <c r="B12393" s="29"/>
      <c r="D12393" s="29"/>
      <c r="E12393" s="20"/>
      <c r="F12393" s="20"/>
      <c r="AC12393" s="20"/>
      <c r="AG12393" s="29"/>
    </row>
    <row r="12394" spans="2:33">
      <c r="B12394" s="29"/>
      <c r="D12394" s="29"/>
      <c r="E12394" s="20"/>
      <c r="F12394" s="20"/>
      <c r="AC12394" s="20"/>
      <c r="AG12394" s="29"/>
    </row>
    <row r="12395" spans="2:33">
      <c r="B12395" s="29"/>
      <c r="D12395" s="29"/>
      <c r="E12395" s="20"/>
      <c r="F12395" s="20"/>
      <c r="AC12395" s="20"/>
      <c r="AG12395" s="29"/>
    </row>
    <row r="12396" spans="2:33">
      <c r="B12396" s="29"/>
      <c r="D12396" s="29"/>
      <c r="E12396" s="20"/>
      <c r="F12396" s="20"/>
      <c r="AC12396" s="20"/>
      <c r="AG12396" s="29"/>
    </row>
    <row r="12397" spans="2:33">
      <c r="B12397" s="29"/>
      <c r="D12397" s="29"/>
      <c r="E12397" s="20"/>
      <c r="F12397" s="20"/>
      <c r="AC12397" s="20"/>
      <c r="AG12397" s="29"/>
    </row>
    <row r="12398" spans="2:33">
      <c r="B12398" s="29"/>
      <c r="D12398" s="29"/>
      <c r="E12398" s="20"/>
      <c r="F12398" s="20"/>
      <c r="AC12398" s="20"/>
      <c r="AG12398" s="29"/>
    </row>
    <row r="12399" spans="2:33">
      <c r="B12399" s="29"/>
      <c r="D12399" s="29"/>
      <c r="E12399" s="20"/>
      <c r="F12399" s="20"/>
      <c r="AC12399" s="20"/>
      <c r="AG12399" s="29"/>
    </row>
    <row r="12400" spans="2:33">
      <c r="B12400" s="29"/>
      <c r="D12400" s="29"/>
      <c r="E12400" s="20"/>
      <c r="F12400" s="20"/>
      <c r="AC12400" s="20"/>
      <c r="AG12400" s="29"/>
    </row>
    <row r="12401" spans="2:33">
      <c r="B12401" s="29"/>
      <c r="D12401" s="29"/>
      <c r="E12401" s="20"/>
      <c r="F12401" s="20"/>
      <c r="AC12401" s="20"/>
      <c r="AG12401" s="29"/>
    </row>
    <row r="12402" spans="2:33">
      <c r="B12402" s="29"/>
      <c r="D12402" s="29"/>
      <c r="E12402" s="20"/>
      <c r="F12402" s="20"/>
      <c r="AC12402" s="20"/>
      <c r="AG12402" s="29"/>
    </row>
    <row r="12403" spans="2:33">
      <c r="B12403" s="29"/>
      <c r="D12403" s="29"/>
      <c r="E12403" s="20"/>
      <c r="F12403" s="20"/>
      <c r="AC12403" s="20"/>
      <c r="AG12403" s="29"/>
    </row>
    <row r="12404" spans="2:33">
      <c r="B12404" s="29"/>
      <c r="D12404" s="29"/>
      <c r="E12404" s="20"/>
      <c r="F12404" s="20"/>
      <c r="AC12404" s="20"/>
      <c r="AG12404" s="29"/>
    </row>
    <row r="12405" spans="2:33">
      <c r="B12405" s="29"/>
      <c r="D12405" s="29"/>
      <c r="E12405" s="20"/>
      <c r="F12405" s="20"/>
      <c r="AC12405" s="20"/>
      <c r="AG12405" s="29"/>
    </row>
    <row r="12406" spans="2:33">
      <c r="B12406" s="29"/>
      <c r="D12406" s="29"/>
      <c r="E12406" s="20"/>
      <c r="F12406" s="20"/>
      <c r="AC12406" s="20"/>
      <c r="AG12406" s="29"/>
    </row>
    <row r="12407" spans="2:33">
      <c r="B12407" s="29"/>
      <c r="D12407" s="29"/>
      <c r="E12407" s="20"/>
      <c r="F12407" s="20"/>
      <c r="AC12407" s="20"/>
      <c r="AG12407" s="29"/>
    </row>
    <row r="12408" spans="2:33">
      <c r="B12408" s="29"/>
      <c r="D12408" s="29"/>
      <c r="E12408" s="20"/>
      <c r="F12408" s="20"/>
      <c r="AC12408" s="20"/>
      <c r="AG12408" s="29"/>
    </row>
    <row r="12409" spans="2:33">
      <c r="B12409" s="29"/>
      <c r="D12409" s="29"/>
      <c r="E12409" s="20"/>
      <c r="F12409" s="20"/>
      <c r="AC12409" s="20"/>
      <c r="AG12409" s="29"/>
    </row>
    <row r="12410" spans="2:33">
      <c r="B12410" s="29"/>
      <c r="D12410" s="29"/>
      <c r="E12410" s="20"/>
      <c r="F12410" s="20"/>
      <c r="AC12410" s="20"/>
      <c r="AG12410" s="29"/>
    </row>
    <row r="12411" spans="2:33">
      <c r="B12411" s="29"/>
      <c r="D12411" s="29"/>
      <c r="E12411" s="20"/>
      <c r="F12411" s="20"/>
      <c r="AC12411" s="20"/>
      <c r="AG12411" s="29"/>
    </row>
    <row r="12412" spans="2:33">
      <c r="B12412" s="29"/>
      <c r="D12412" s="29"/>
      <c r="E12412" s="20"/>
      <c r="F12412" s="20"/>
      <c r="AC12412" s="20"/>
      <c r="AG12412" s="29"/>
    </row>
    <row r="12413" spans="2:33">
      <c r="B12413" s="29"/>
      <c r="D12413" s="29"/>
      <c r="E12413" s="20"/>
      <c r="F12413" s="20"/>
      <c r="AC12413" s="20"/>
      <c r="AG12413" s="29"/>
    </row>
    <row r="12414" spans="2:33">
      <c r="B12414" s="29"/>
      <c r="D12414" s="29"/>
      <c r="E12414" s="20"/>
      <c r="F12414" s="20"/>
      <c r="AC12414" s="20"/>
      <c r="AG12414" s="29"/>
    </row>
    <row r="12415" spans="2:33">
      <c r="B12415" s="29"/>
      <c r="D12415" s="29"/>
      <c r="E12415" s="20"/>
      <c r="F12415" s="20"/>
      <c r="AC12415" s="20"/>
      <c r="AG12415" s="29"/>
    </row>
    <row r="12416" spans="2:33">
      <c r="B12416" s="29"/>
      <c r="D12416" s="29"/>
      <c r="E12416" s="20"/>
      <c r="F12416" s="20"/>
      <c r="AC12416" s="20"/>
      <c r="AG12416" s="29"/>
    </row>
    <row r="12417" spans="2:33">
      <c r="B12417" s="29"/>
      <c r="D12417" s="29"/>
      <c r="E12417" s="20"/>
      <c r="F12417" s="20"/>
      <c r="AC12417" s="20"/>
      <c r="AG12417" s="29"/>
    </row>
    <row r="12418" spans="2:33">
      <c r="B12418" s="29"/>
      <c r="D12418" s="29"/>
      <c r="E12418" s="20"/>
      <c r="F12418" s="20"/>
      <c r="AC12418" s="20"/>
      <c r="AG12418" s="32"/>
    </row>
    <row r="12419" spans="2:33">
      <c r="B12419" s="29"/>
      <c r="D12419" s="29"/>
      <c r="E12419" s="20"/>
      <c r="F12419" s="20"/>
      <c r="AC12419" s="20"/>
      <c r="AG12419" s="32"/>
    </row>
    <row r="12420" spans="2:33">
      <c r="B12420" s="29"/>
      <c r="D12420" s="29"/>
      <c r="E12420" s="20"/>
      <c r="F12420" s="20"/>
      <c r="AC12420" s="20"/>
      <c r="AG12420" s="32"/>
    </row>
    <row r="12421" spans="2:33">
      <c r="B12421" s="29"/>
      <c r="D12421" s="29"/>
      <c r="E12421" s="20"/>
      <c r="F12421" s="20"/>
      <c r="AC12421" s="20"/>
      <c r="AG12421" s="32"/>
    </row>
    <row r="12422" spans="2:33">
      <c r="B12422" s="29"/>
      <c r="D12422" s="29"/>
      <c r="E12422" s="20"/>
      <c r="F12422" s="20"/>
      <c r="AC12422" s="20"/>
      <c r="AG12422" s="32"/>
    </row>
    <row r="12423" spans="2:33">
      <c r="B12423" s="29"/>
      <c r="D12423" s="29"/>
      <c r="E12423" s="20"/>
      <c r="F12423" s="20"/>
      <c r="AC12423" s="20"/>
      <c r="AG12423" s="32"/>
    </row>
    <row r="12424" spans="2:33">
      <c r="B12424" s="29"/>
      <c r="D12424" s="29"/>
      <c r="E12424" s="20"/>
      <c r="F12424" s="20"/>
      <c r="AC12424" s="20"/>
      <c r="AG12424" s="32"/>
    </row>
    <row r="12425" spans="2:33">
      <c r="B12425" s="29"/>
      <c r="D12425" s="29"/>
      <c r="E12425" s="20"/>
      <c r="F12425" s="20"/>
      <c r="AC12425" s="20"/>
      <c r="AG12425" s="32"/>
    </row>
    <row r="12426" spans="2:33">
      <c r="B12426" s="29"/>
      <c r="D12426" s="29"/>
      <c r="E12426" s="20"/>
      <c r="F12426" s="20"/>
      <c r="AC12426" s="20"/>
      <c r="AG12426" s="32"/>
    </row>
    <row r="12427" spans="2:33">
      <c r="B12427" s="29"/>
      <c r="D12427" s="29"/>
      <c r="E12427" s="20"/>
      <c r="F12427" s="20"/>
      <c r="AC12427" s="20"/>
      <c r="AG12427" s="32"/>
    </row>
    <row r="12428" spans="2:33">
      <c r="B12428" s="29"/>
      <c r="D12428" s="29"/>
      <c r="E12428" s="20"/>
      <c r="F12428" s="20"/>
      <c r="AC12428" s="20"/>
      <c r="AG12428" s="32"/>
    </row>
    <row r="12429" spans="2:33">
      <c r="B12429" s="29"/>
      <c r="D12429" s="29"/>
      <c r="E12429" s="20"/>
      <c r="F12429" s="20"/>
      <c r="AC12429" s="20"/>
      <c r="AG12429" s="32"/>
    </row>
    <row r="12430" spans="2:33">
      <c r="B12430" s="29"/>
      <c r="D12430" s="29"/>
      <c r="E12430" s="20"/>
      <c r="F12430" s="20"/>
      <c r="AC12430" s="20"/>
      <c r="AG12430" s="32"/>
    </row>
    <row r="12431" spans="2:33">
      <c r="B12431" s="29"/>
      <c r="D12431" s="29"/>
      <c r="E12431" s="20"/>
      <c r="F12431" s="20"/>
      <c r="AC12431" s="20"/>
      <c r="AG12431" s="32"/>
    </row>
    <row r="12432" spans="2:33">
      <c r="B12432" s="29"/>
      <c r="D12432" s="29"/>
      <c r="E12432" s="20"/>
      <c r="F12432" s="20"/>
      <c r="AC12432" s="20"/>
      <c r="AG12432" s="32"/>
    </row>
    <row r="12433" spans="2:33">
      <c r="B12433" s="29"/>
      <c r="D12433" s="29"/>
      <c r="E12433" s="20"/>
      <c r="F12433" s="20"/>
      <c r="AC12433" s="20"/>
      <c r="AG12433" s="32"/>
    </row>
    <row r="12434" spans="2:33">
      <c r="B12434" s="29"/>
      <c r="D12434" s="29"/>
      <c r="E12434" s="20"/>
      <c r="F12434" s="20"/>
      <c r="AC12434" s="20"/>
      <c r="AG12434" s="32"/>
    </row>
    <row r="12435" spans="2:33">
      <c r="B12435" s="29"/>
      <c r="D12435" s="29"/>
      <c r="E12435" s="20"/>
      <c r="F12435" s="20"/>
      <c r="AC12435" s="20"/>
      <c r="AG12435" s="32"/>
    </row>
    <row r="12436" spans="2:33">
      <c r="B12436" s="29"/>
      <c r="D12436" s="29"/>
      <c r="E12436" s="20"/>
      <c r="F12436" s="20"/>
      <c r="AC12436" s="20"/>
      <c r="AG12436" s="32"/>
    </row>
    <row r="12437" spans="2:33">
      <c r="B12437" s="29"/>
      <c r="D12437" s="29"/>
      <c r="E12437" s="20"/>
      <c r="F12437" s="20"/>
      <c r="AC12437" s="20"/>
      <c r="AG12437" s="32"/>
    </row>
    <row r="12438" spans="2:33">
      <c r="B12438" s="29"/>
      <c r="D12438" s="29"/>
      <c r="E12438" s="20"/>
      <c r="F12438" s="20"/>
      <c r="AC12438" s="20"/>
      <c r="AG12438" s="32"/>
    </row>
    <row r="12439" spans="2:33">
      <c r="B12439" s="29"/>
      <c r="D12439" s="29"/>
      <c r="E12439" s="20"/>
      <c r="F12439" s="20"/>
      <c r="AC12439" s="20"/>
      <c r="AG12439" s="32"/>
    </row>
    <row r="12440" spans="2:33">
      <c r="B12440" s="29"/>
      <c r="D12440" s="29"/>
      <c r="E12440" s="20"/>
      <c r="F12440" s="20"/>
      <c r="AC12440" s="20"/>
      <c r="AG12440" s="32"/>
    </row>
    <row r="12441" spans="2:33">
      <c r="B12441" s="29"/>
      <c r="D12441" s="29"/>
      <c r="E12441" s="20"/>
      <c r="F12441" s="20"/>
      <c r="AC12441" s="20"/>
      <c r="AG12441" s="32"/>
    </row>
    <row r="12442" spans="2:33">
      <c r="B12442" s="29"/>
      <c r="D12442" s="29"/>
      <c r="E12442" s="20"/>
      <c r="F12442" s="20"/>
      <c r="AC12442" s="20"/>
      <c r="AG12442" s="32"/>
    </row>
    <row r="12443" spans="2:33">
      <c r="B12443" s="29"/>
      <c r="D12443" s="29"/>
      <c r="E12443" s="20"/>
      <c r="F12443" s="20"/>
      <c r="AC12443" s="20"/>
      <c r="AG12443" s="32"/>
    </row>
    <row r="12444" spans="2:33">
      <c r="B12444" s="29"/>
      <c r="D12444" s="29"/>
      <c r="E12444" s="20"/>
      <c r="F12444" s="20"/>
      <c r="AC12444" s="20"/>
      <c r="AG12444" s="32"/>
    </row>
    <row r="12445" spans="2:33">
      <c r="B12445" s="29"/>
      <c r="D12445" s="29"/>
      <c r="E12445" s="20"/>
      <c r="F12445" s="20"/>
      <c r="AC12445" s="20"/>
      <c r="AG12445" s="32"/>
    </row>
    <row r="12446" spans="2:33">
      <c r="B12446" s="29"/>
      <c r="D12446" s="29"/>
      <c r="E12446" s="20"/>
      <c r="F12446" s="20"/>
      <c r="AC12446" s="20"/>
      <c r="AG12446" s="32"/>
    </row>
    <row r="12447" spans="2:33">
      <c r="B12447" s="29"/>
      <c r="D12447" s="29"/>
      <c r="E12447" s="20"/>
      <c r="F12447" s="20"/>
      <c r="AC12447" s="20"/>
      <c r="AG12447" s="32"/>
    </row>
    <row r="12448" spans="2:33">
      <c r="B12448" s="29"/>
      <c r="D12448" s="29"/>
      <c r="E12448" s="20"/>
      <c r="F12448" s="20"/>
      <c r="AC12448" s="20"/>
      <c r="AG12448" s="32"/>
    </row>
    <row r="12449" spans="2:33">
      <c r="B12449" s="29"/>
      <c r="D12449" s="29"/>
      <c r="E12449" s="20"/>
      <c r="F12449" s="20"/>
      <c r="AC12449" s="20"/>
      <c r="AG12449" s="32"/>
    </row>
    <row r="12450" spans="2:33">
      <c r="B12450" s="29"/>
      <c r="D12450" s="29"/>
      <c r="E12450" s="20"/>
      <c r="F12450" s="20"/>
      <c r="AC12450" s="20"/>
      <c r="AG12450" s="32"/>
    </row>
    <row r="12451" spans="2:33">
      <c r="B12451" s="29"/>
      <c r="D12451" s="29"/>
      <c r="E12451" s="20"/>
      <c r="F12451" s="20"/>
      <c r="AC12451" s="20"/>
      <c r="AG12451" s="32"/>
    </row>
    <row r="12452" spans="2:33">
      <c r="B12452" s="29"/>
      <c r="D12452" s="29"/>
      <c r="E12452" s="20"/>
      <c r="F12452" s="20"/>
      <c r="AC12452" s="20"/>
      <c r="AG12452" s="32"/>
    </row>
    <row r="12453" spans="2:33">
      <c r="B12453" s="29"/>
      <c r="D12453" s="29"/>
      <c r="E12453" s="20"/>
      <c r="F12453" s="20"/>
      <c r="AC12453" s="20"/>
      <c r="AG12453" s="32"/>
    </row>
    <row r="12454" spans="2:33">
      <c r="B12454" s="29"/>
      <c r="D12454" s="29"/>
      <c r="E12454" s="20"/>
      <c r="F12454" s="20"/>
      <c r="AC12454" s="20"/>
      <c r="AG12454" s="32"/>
    </row>
    <row r="12455" spans="2:33">
      <c r="B12455" s="29"/>
      <c r="D12455" s="29"/>
      <c r="E12455" s="20"/>
      <c r="F12455" s="20"/>
      <c r="AC12455" s="20"/>
      <c r="AG12455" s="32"/>
    </row>
    <row r="12456" spans="2:33">
      <c r="B12456" s="29"/>
      <c r="D12456" s="29"/>
      <c r="E12456" s="20"/>
      <c r="F12456" s="20"/>
      <c r="AC12456" s="20"/>
      <c r="AG12456" s="32"/>
    </row>
    <row r="12457" spans="2:33">
      <c r="B12457" s="29"/>
      <c r="D12457" s="29"/>
      <c r="E12457" s="20"/>
      <c r="F12457" s="20"/>
      <c r="AC12457" s="20"/>
      <c r="AG12457" s="32"/>
    </row>
    <row r="12458" spans="2:33">
      <c r="B12458" s="29"/>
      <c r="D12458" s="29"/>
      <c r="E12458" s="20"/>
      <c r="F12458" s="20"/>
      <c r="AC12458" s="20"/>
      <c r="AG12458" s="32"/>
    </row>
    <row r="12459" spans="2:33">
      <c r="B12459" s="29"/>
      <c r="D12459" s="29"/>
      <c r="E12459" s="20"/>
      <c r="F12459" s="20"/>
      <c r="AC12459" s="20"/>
      <c r="AG12459" s="32"/>
    </row>
    <row r="12460" spans="2:33">
      <c r="B12460" s="29"/>
      <c r="D12460" s="29"/>
      <c r="E12460" s="20"/>
      <c r="F12460" s="20"/>
      <c r="AC12460" s="20"/>
      <c r="AG12460" s="32"/>
    </row>
    <row r="12461" spans="2:33">
      <c r="B12461" s="29"/>
      <c r="D12461" s="29"/>
      <c r="E12461" s="20"/>
      <c r="F12461" s="20"/>
      <c r="AC12461" s="20"/>
      <c r="AG12461" s="32"/>
    </row>
    <row r="12462" spans="2:33">
      <c r="B12462" s="29"/>
      <c r="D12462" s="29"/>
      <c r="E12462" s="20"/>
      <c r="F12462" s="20"/>
      <c r="AC12462" s="20"/>
      <c r="AG12462" s="32"/>
    </row>
    <row r="12463" spans="2:33">
      <c r="B12463" s="29"/>
      <c r="D12463" s="29"/>
      <c r="E12463" s="20"/>
      <c r="F12463" s="20"/>
      <c r="AC12463" s="20"/>
      <c r="AG12463" s="32"/>
    </row>
    <row r="12464" spans="2:33">
      <c r="B12464" s="29"/>
      <c r="D12464" s="29"/>
      <c r="E12464" s="20"/>
      <c r="F12464" s="20"/>
      <c r="AC12464" s="20"/>
      <c r="AG12464" s="32"/>
    </row>
    <row r="12465" spans="2:33">
      <c r="B12465" s="29"/>
      <c r="D12465" s="29"/>
      <c r="E12465" s="20"/>
      <c r="F12465" s="20"/>
      <c r="AC12465" s="20"/>
      <c r="AG12465" s="32"/>
    </row>
    <row r="12466" spans="2:33">
      <c r="B12466" s="29"/>
      <c r="D12466" s="29"/>
      <c r="E12466" s="20"/>
      <c r="F12466" s="20"/>
      <c r="AC12466" s="20"/>
      <c r="AG12466" s="32"/>
    </row>
    <row r="12467" spans="2:33">
      <c r="B12467" s="29"/>
      <c r="D12467" s="29"/>
      <c r="E12467" s="20"/>
      <c r="F12467" s="20"/>
      <c r="AC12467" s="20"/>
      <c r="AG12467" s="32"/>
    </row>
    <row r="12468" spans="2:33">
      <c r="B12468" s="29"/>
      <c r="D12468" s="29"/>
      <c r="E12468" s="20"/>
      <c r="F12468" s="20"/>
      <c r="AC12468" s="20"/>
      <c r="AG12468" s="32"/>
    </row>
    <row r="12469" spans="2:33">
      <c r="B12469" s="29"/>
      <c r="D12469" s="29"/>
      <c r="E12469" s="20"/>
      <c r="F12469" s="20"/>
      <c r="AC12469" s="20"/>
      <c r="AG12469" s="32"/>
    </row>
    <row r="12470" spans="2:33">
      <c r="B12470" s="29"/>
      <c r="D12470" s="29"/>
      <c r="E12470" s="20"/>
      <c r="F12470" s="20"/>
      <c r="AC12470" s="20"/>
      <c r="AG12470" s="32"/>
    </row>
    <row r="12471" spans="2:33">
      <c r="B12471" s="29"/>
      <c r="D12471" s="29"/>
      <c r="E12471" s="20"/>
      <c r="F12471" s="20"/>
      <c r="AC12471" s="20"/>
      <c r="AG12471" s="32"/>
    </row>
    <row r="12472" spans="2:33">
      <c r="B12472" s="29"/>
      <c r="D12472" s="29"/>
      <c r="E12472" s="20"/>
      <c r="F12472" s="20"/>
      <c r="AC12472" s="20"/>
      <c r="AG12472" s="32"/>
    </row>
    <row r="12473" spans="2:33">
      <c r="B12473" s="29"/>
      <c r="D12473" s="29"/>
      <c r="E12473" s="20"/>
      <c r="F12473" s="20"/>
      <c r="AC12473" s="20"/>
      <c r="AG12473" s="32"/>
    </row>
    <row r="12474" spans="2:33">
      <c r="B12474" s="29"/>
      <c r="D12474" s="29"/>
      <c r="E12474" s="20"/>
      <c r="F12474" s="20"/>
      <c r="AC12474" s="20"/>
      <c r="AG12474" s="32"/>
    </row>
    <row r="12475" spans="2:33">
      <c r="B12475" s="29"/>
      <c r="D12475" s="29"/>
      <c r="E12475" s="20"/>
      <c r="F12475" s="20"/>
      <c r="AC12475" s="20"/>
      <c r="AG12475" s="32"/>
    </row>
    <row r="12476" spans="2:33">
      <c r="B12476" s="29"/>
      <c r="D12476" s="29"/>
      <c r="E12476" s="20"/>
      <c r="F12476" s="20"/>
      <c r="AC12476" s="20"/>
      <c r="AG12476" s="32"/>
    </row>
    <row r="12477" spans="2:33">
      <c r="B12477" s="29"/>
      <c r="D12477" s="29"/>
      <c r="E12477" s="20"/>
      <c r="F12477" s="20"/>
      <c r="AC12477" s="20"/>
      <c r="AG12477" s="32"/>
    </row>
    <row r="12478" spans="2:33">
      <c r="B12478" s="29"/>
      <c r="D12478" s="29"/>
      <c r="E12478" s="20"/>
      <c r="F12478" s="20"/>
      <c r="AC12478" s="20"/>
      <c r="AG12478" s="32"/>
    </row>
    <row r="12479" spans="2:33">
      <c r="B12479" s="29"/>
      <c r="D12479" s="29"/>
      <c r="E12479" s="20"/>
      <c r="F12479" s="20"/>
      <c r="AC12479" s="20"/>
      <c r="AG12479" s="32"/>
    </row>
    <row r="12480" spans="2:33">
      <c r="B12480" s="29"/>
      <c r="D12480" s="29"/>
      <c r="E12480" s="20"/>
      <c r="F12480" s="20"/>
      <c r="AC12480" s="20"/>
      <c r="AG12480" s="32"/>
    </row>
    <row r="12481" spans="2:33">
      <c r="B12481" s="29"/>
      <c r="D12481" s="29"/>
      <c r="E12481" s="20"/>
      <c r="F12481" s="20"/>
      <c r="AC12481" s="20"/>
      <c r="AG12481" s="32"/>
    </row>
    <row r="12482" spans="2:33">
      <c r="B12482" s="29"/>
      <c r="D12482" s="29"/>
      <c r="E12482" s="20"/>
      <c r="F12482" s="20"/>
      <c r="AC12482" s="20"/>
      <c r="AG12482" s="32"/>
    </row>
    <row r="12483" spans="2:33">
      <c r="B12483" s="29"/>
      <c r="D12483" s="29"/>
      <c r="E12483" s="20"/>
      <c r="F12483" s="20"/>
      <c r="AC12483" s="20"/>
      <c r="AG12483" s="32"/>
    </row>
    <row r="12484" spans="2:33">
      <c r="B12484" s="29"/>
      <c r="D12484" s="29"/>
      <c r="E12484" s="20"/>
      <c r="F12484" s="20"/>
      <c r="AC12484" s="20"/>
      <c r="AG12484" s="32"/>
    </row>
    <row r="12485" spans="2:33">
      <c r="B12485" s="29"/>
      <c r="D12485" s="29"/>
      <c r="E12485" s="20"/>
      <c r="F12485" s="20"/>
      <c r="AC12485" s="20"/>
      <c r="AG12485" s="32"/>
    </row>
    <row r="12486" spans="2:33">
      <c r="B12486" s="29"/>
      <c r="D12486" s="29"/>
      <c r="E12486" s="20"/>
      <c r="F12486" s="20"/>
      <c r="AC12486" s="20"/>
      <c r="AG12486" s="32"/>
    </row>
    <row r="12487" spans="2:33">
      <c r="B12487" s="29"/>
      <c r="D12487" s="29"/>
      <c r="E12487" s="20"/>
      <c r="F12487" s="20"/>
      <c r="AC12487" s="20"/>
      <c r="AG12487" s="32"/>
    </row>
    <row r="12488" spans="2:33">
      <c r="B12488" s="29"/>
      <c r="D12488" s="29"/>
      <c r="E12488" s="20"/>
      <c r="F12488" s="20"/>
      <c r="AC12488" s="20"/>
      <c r="AG12488" s="32"/>
    </row>
    <row r="12489" spans="2:33">
      <c r="B12489" s="29"/>
      <c r="D12489" s="29"/>
      <c r="E12489" s="20"/>
      <c r="F12489" s="20"/>
      <c r="AC12489" s="20"/>
      <c r="AG12489" s="32"/>
    </row>
    <row r="12490" spans="2:33">
      <c r="B12490" s="29"/>
      <c r="D12490" s="29"/>
      <c r="E12490" s="20"/>
      <c r="F12490" s="20"/>
      <c r="AC12490" s="20"/>
      <c r="AG12490" s="32"/>
    </row>
    <row r="12491" spans="2:33">
      <c r="B12491" s="29"/>
      <c r="D12491" s="29"/>
      <c r="E12491" s="20"/>
      <c r="F12491" s="20"/>
      <c r="AC12491" s="20"/>
      <c r="AG12491" s="32"/>
    </row>
    <row r="12492" spans="2:33">
      <c r="B12492" s="29"/>
      <c r="D12492" s="29"/>
      <c r="E12492" s="20"/>
      <c r="F12492" s="20"/>
      <c r="AC12492" s="20"/>
      <c r="AG12492" s="32"/>
    </row>
    <row r="12493" spans="2:33">
      <c r="B12493" s="29"/>
      <c r="D12493" s="29"/>
      <c r="E12493" s="20"/>
      <c r="F12493" s="20"/>
      <c r="AC12493" s="20"/>
      <c r="AG12493" s="32"/>
    </row>
    <row r="12494" spans="2:33">
      <c r="B12494" s="29"/>
      <c r="D12494" s="29"/>
      <c r="E12494" s="20"/>
      <c r="F12494" s="20"/>
      <c r="AC12494" s="20"/>
      <c r="AG12494" s="32"/>
    </row>
    <row r="12495" spans="2:33">
      <c r="B12495" s="29"/>
      <c r="D12495" s="29"/>
      <c r="E12495" s="20"/>
      <c r="F12495" s="20"/>
      <c r="AC12495" s="20"/>
      <c r="AG12495" s="32"/>
    </row>
    <row r="12496" spans="2:33">
      <c r="B12496" s="29"/>
      <c r="D12496" s="29"/>
      <c r="E12496" s="20"/>
      <c r="F12496" s="20"/>
      <c r="AC12496" s="20"/>
      <c r="AG12496" s="32"/>
    </row>
    <row r="12497" spans="2:33">
      <c r="B12497" s="29"/>
      <c r="D12497" s="29"/>
      <c r="E12497" s="20"/>
      <c r="F12497" s="20"/>
      <c r="AC12497" s="20"/>
      <c r="AG12497" s="32"/>
    </row>
    <row r="12498" spans="2:33">
      <c r="B12498" s="29"/>
      <c r="D12498" s="29"/>
      <c r="E12498" s="20"/>
      <c r="F12498" s="20"/>
      <c r="AC12498" s="20"/>
      <c r="AG12498" s="32"/>
    </row>
    <row r="12499" spans="2:33">
      <c r="B12499" s="29"/>
      <c r="D12499" s="29"/>
      <c r="E12499" s="20"/>
      <c r="F12499" s="20"/>
      <c r="AC12499" s="20"/>
      <c r="AG12499" s="32"/>
    </row>
    <row r="12500" spans="2:33">
      <c r="B12500" s="29"/>
      <c r="D12500" s="29"/>
      <c r="E12500" s="20"/>
      <c r="F12500" s="20"/>
      <c r="AC12500" s="20"/>
      <c r="AG12500" s="32"/>
    </row>
    <row r="12501" spans="2:33">
      <c r="B12501" s="29"/>
      <c r="D12501" s="29"/>
      <c r="E12501" s="20"/>
      <c r="F12501" s="20"/>
      <c r="AC12501" s="20"/>
      <c r="AG12501" s="32"/>
    </row>
    <row r="12502" spans="2:33">
      <c r="B12502" s="29"/>
      <c r="D12502" s="29"/>
      <c r="E12502" s="20"/>
      <c r="F12502" s="20"/>
      <c r="AC12502" s="20"/>
      <c r="AG12502" s="32"/>
    </row>
    <row r="12503" spans="2:33">
      <c r="B12503" s="29"/>
      <c r="D12503" s="29"/>
      <c r="E12503" s="20"/>
      <c r="F12503" s="20"/>
      <c r="AC12503" s="20"/>
      <c r="AG12503" s="32"/>
    </row>
    <row r="12504" spans="2:33">
      <c r="B12504" s="29"/>
      <c r="D12504" s="29"/>
      <c r="E12504" s="20"/>
      <c r="F12504" s="20"/>
      <c r="AC12504" s="20"/>
      <c r="AG12504" s="32"/>
    </row>
    <row r="12505" spans="2:33">
      <c r="B12505" s="29"/>
      <c r="D12505" s="29"/>
      <c r="E12505" s="20"/>
      <c r="F12505" s="20"/>
      <c r="AC12505" s="20"/>
      <c r="AG12505" s="32"/>
    </row>
    <row r="12506" spans="2:33">
      <c r="B12506" s="29"/>
      <c r="D12506" s="29"/>
      <c r="E12506" s="20"/>
      <c r="F12506" s="20"/>
      <c r="AC12506" s="20"/>
      <c r="AG12506" s="32"/>
    </row>
    <row r="12507" spans="2:33">
      <c r="B12507" s="29"/>
      <c r="D12507" s="29"/>
      <c r="E12507" s="20"/>
      <c r="F12507" s="20"/>
      <c r="AC12507" s="20"/>
      <c r="AG12507" s="32"/>
    </row>
    <row r="12508" spans="2:33">
      <c r="B12508" s="29"/>
      <c r="D12508" s="29"/>
      <c r="E12508" s="20"/>
      <c r="F12508" s="20"/>
      <c r="AC12508" s="20"/>
      <c r="AG12508" s="32"/>
    </row>
    <row r="12509" spans="2:33">
      <c r="B12509" s="29"/>
      <c r="D12509" s="29"/>
      <c r="E12509" s="20"/>
      <c r="F12509" s="20"/>
      <c r="AC12509" s="20"/>
      <c r="AG12509" s="32"/>
    </row>
    <row r="12510" spans="2:33">
      <c r="B12510" s="29"/>
      <c r="D12510" s="29"/>
      <c r="E12510" s="20"/>
      <c r="F12510" s="20"/>
      <c r="AC12510" s="20"/>
      <c r="AG12510" s="32"/>
    </row>
    <row r="12511" spans="2:33">
      <c r="B12511" s="29"/>
      <c r="D12511" s="29"/>
      <c r="E12511" s="20"/>
      <c r="F12511" s="20"/>
      <c r="AC12511" s="20"/>
      <c r="AG12511" s="32"/>
    </row>
    <row r="12512" spans="2:33">
      <c r="B12512" s="29"/>
      <c r="D12512" s="29"/>
      <c r="E12512" s="20"/>
      <c r="F12512" s="20"/>
      <c r="AC12512" s="20"/>
      <c r="AG12512" s="32"/>
    </row>
    <row r="12513" spans="2:33">
      <c r="B12513" s="29"/>
      <c r="D12513" s="29"/>
      <c r="E12513" s="20"/>
      <c r="F12513" s="20"/>
      <c r="AC12513" s="20"/>
      <c r="AG12513" s="32"/>
    </row>
    <row r="12514" spans="2:33">
      <c r="B12514" s="29"/>
      <c r="D12514" s="29"/>
      <c r="E12514" s="20"/>
      <c r="F12514" s="20"/>
      <c r="AC12514" s="20"/>
      <c r="AG12514" s="32"/>
    </row>
    <row r="12515" spans="2:33">
      <c r="B12515" s="29"/>
      <c r="D12515" s="29"/>
      <c r="E12515" s="20"/>
      <c r="F12515" s="20"/>
      <c r="AC12515" s="20"/>
      <c r="AG12515" s="32"/>
    </row>
    <row r="12516" spans="2:33">
      <c r="B12516" s="29"/>
      <c r="D12516" s="29"/>
      <c r="E12516" s="20"/>
      <c r="F12516" s="20"/>
      <c r="AC12516" s="20"/>
      <c r="AG12516" s="32"/>
    </row>
    <row r="12517" spans="2:33">
      <c r="B12517" s="29"/>
      <c r="D12517" s="29"/>
      <c r="E12517" s="20"/>
      <c r="F12517" s="20"/>
      <c r="AC12517" s="20"/>
      <c r="AG12517" s="32"/>
    </row>
    <row r="12518" spans="2:33">
      <c r="B12518" s="29"/>
      <c r="D12518" s="29"/>
      <c r="E12518" s="20"/>
      <c r="F12518" s="20"/>
      <c r="AC12518" s="20"/>
      <c r="AG12518" s="32"/>
    </row>
    <row r="12519" spans="2:33">
      <c r="B12519" s="29"/>
      <c r="D12519" s="29"/>
      <c r="E12519" s="20"/>
      <c r="F12519" s="20"/>
      <c r="AC12519" s="20"/>
      <c r="AG12519" s="32"/>
    </row>
    <row r="12520" spans="2:33">
      <c r="B12520" s="29"/>
      <c r="D12520" s="29"/>
      <c r="E12520" s="20"/>
      <c r="F12520" s="20"/>
      <c r="AC12520" s="20"/>
      <c r="AG12520" s="32"/>
    </row>
    <row r="12521" spans="2:33">
      <c r="B12521" s="29"/>
      <c r="D12521" s="29"/>
      <c r="E12521" s="20"/>
      <c r="F12521" s="20"/>
      <c r="AC12521" s="20"/>
      <c r="AG12521" s="32"/>
    </row>
    <row r="12522" spans="2:33">
      <c r="B12522" s="29"/>
      <c r="D12522" s="29"/>
      <c r="E12522" s="20"/>
      <c r="F12522" s="20"/>
      <c r="AC12522" s="20"/>
      <c r="AG12522" s="32"/>
    </row>
    <row r="12523" spans="2:33">
      <c r="B12523" s="29"/>
      <c r="D12523" s="29"/>
      <c r="E12523" s="20"/>
      <c r="F12523" s="20"/>
      <c r="AC12523" s="20"/>
      <c r="AG12523" s="32"/>
    </row>
    <row r="12524" spans="2:33">
      <c r="B12524" s="29"/>
      <c r="D12524" s="29"/>
      <c r="E12524" s="20"/>
      <c r="F12524" s="20"/>
      <c r="AC12524" s="20"/>
      <c r="AG12524" s="32"/>
    </row>
    <row r="12525" spans="2:33">
      <c r="B12525" s="29"/>
      <c r="D12525" s="29"/>
      <c r="E12525" s="20"/>
      <c r="F12525" s="20"/>
      <c r="AC12525" s="20"/>
      <c r="AG12525" s="32"/>
    </row>
    <row r="12526" spans="2:33">
      <c r="B12526" s="29"/>
      <c r="D12526" s="29"/>
      <c r="E12526" s="20"/>
      <c r="F12526" s="20"/>
      <c r="AC12526" s="20"/>
      <c r="AG12526" s="32"/>
    </row>
    <row r="12527" spans="2:33">
      <c r="B12527" s="29"/>
      <c r="D12527" s="29"/>
      <c r="E12527" s="20"/>
      <c r="F12527" s="20"/>
      <c r="AC12527" s="20"/>
      <c r="AG12527" s="32"/>
    </row>
    <row r="12528" spans="2:33">
      <c r="B12528" s="29"/>
      <c r="D12528" s="29"/>
      <c r="E12528" s="20"/>
      <c r="F12528" s="20"/>
      <c r="AC12528" s="20"/>
      <c r="AG12528" s="32"/>
    </row>
    <row r="12529" spans="2:33">
      <c r="B12529" s="29"/>
      <c r="D12529" s="29"/>
      <c r="E12529" s="20"/>
      <c r="F12529" s="20"/>
      <c r="AC12529" s="20"/>
      <c r="AG12529" s="32"/>
    </row>
    <row r="12530" spans="2:33">
      <c r="B12530" s="29"/>
      <c r="D12530" s="29"/>
      <c r="E12530" s="20"/>
      <c r="F12530" s="20"/>
      <c r="AC12530" s="20"/>
      <c r="AG12530" s="32"/>
    </row>
    <row r="12531" spans="2:33">
      <c r="B12531" s="29"/>
      <c r="D12531" s="29"/>
      <c r="E12531" s="20"/>
      <c r="F12531" s="20"/>
      <c r="AC12531" s="20"/>
      <c r="AG12531" s="32"/>
    </row>
    <row r="12532" spans="2:33">
      <c r="B12532" s="29"/>
      <c r="D12532" s="29"/>
      <c r="E12532" s="20"/>
      <c r="F12532" s="20"/>
      <c r="AC12532" s="20"/>
      <c r="AG12532" s="32"/>
    </row>
    <row r="12533" spans="2:33">
      <c r="B12533" s="29"/>
      <c r="D12533" s="29"/>
      <c r="E12533" s="20"/>
      <c r="F12533" s="20"/>
      <c r="AC12533" s="20"/>
      <c r="AG12533" s="32"/>
    </row>
    <row r="12534" spans="2:33">
      <c r="B12534" s="29"/>
      <c r="D12534" s="29"/>
      <c r="E12534" s="20"/>
      <c r="F12534" s="20"/>
      <c r="AC12534" s="20"/>
      <c r="AG12534" s="32"/>
    </row>
    <row r="12535" spans="2:33">
      <c r="B12535" s="29"/>
      <c r="D12535" s="29"/>
      <c r="E12535" s="20"/>
      <c r="F12535" s="20"/>
      <c r="AC12535" s="20"/>
      <c r="AG12535" s="32"/>
    </row>
    <row r="12536" spans="2:33">
      <c r="B12536" s="29"/>
      <c r="D12536" s="29"/>
      <c r="E12536" s="20"/>
      <c r="F12536" s="20"/>
      <c r="AC12536" s="20"/>
      <c r="AG12536" s="32"/>
    </row>
    <row r="12537" spans="2:33">
      <c r="B12537" s="29"/>
      <c r="D12537" s="29"/>
      <c r="E12537" s="20"/>
      <c r="F12537" s="20"/>
      <c r="AC12537" s="20"/>
      <c r="AG12537" s="32"/>
    </row>
    <row r="12538" spans="2:33">
      <c r="B12538" s="29"/>
      <c r="D12538" s="29"/>
      <c r="E12538" s="20"/>
      <c r="F12538" s="20"/>
      <c r="AC12538" s="20"/>
      <c r="AG12538" s="32"/>
    </row>
    <row r="12539" spans="2:33">
      <c r="B12539" s="29"/>
      <c r="D12539" s="29"/>
      <c r="E12539" s="20"/>
      <c r="F12539" s="20"/>
      <c r="AC12539" s="20"/>
      <c r="AG12539" s="32"/>
    </row>
    <row r="12540" spans="2:33">
      <c r="B12540" s="29"/>
      <c r="D12540" s="29"/>
      <c r="E12540" s="20"/>
      <c r="F12540" s="20"/>
      <c r="AC12540" s="20"/>
      <c r="AG12540" s="32"/>
    </row>
    <row r="12541" spans="2:33">
      <c r="B12541" s="29"/>
      <c r="D12541" s="29"/>
      <c r="E12541" s="20"/>
      <c r="F12541" s="20"/>
      <c r="AC12541" s="20"/>
      <c r="AG12541" s="32"/>
    </row>
    <row r="12542" spans="2:33">
      <c r="B12542" s="29"/>
      <c r="D12542" s="29"/>
      <c r="E12542" s="20"/>
      <c r="F12542" s="20"/>
      <c r="AC12542" s="20"/>
      <c r="AG12542" s="32"/>
    </row>
    <row r="12543" spans="2:33">
      <c r="B12543" s="29"/>
      <c r="D12543" s="29"/>
      <c r="E12543" s="20"/>
      <c r="F12543" s="20"/>
      <c r="AC12543" s="20"/>
      <c r="AG12543" s="32"/>
    </row>
    <row r="12544" spans="2:33">
      <c r="B12544" s="29"/>
      <c r="D12544" s="29"/>
      <c r="E12544" s="20"/>
      <c r="F12544" s="20"/>
      <c r="AC12544" s="20"/>
      <c r="AG12544" s="32"/>
    </row>
    <row r="12545" spans="2:33">
      <c r="B12545" s="29"/>
      <c r="D12545" s="29"/>
      <c r="E12545" s="20"/>
      <c r="F12545" s="20"/>
      <c r="AC12545" s="20"/>
      <c r="AG12545" s="32"/>
    </row>
    <row r="12546" spans="2:33">
      <c r="B12546" s="29"/>
      <c r="D12546" s="29"/>
      <c r="E12546" s="20"/>
      <c r="F12546" s="20"/>
      <c r="AC12546" s="20"/>
      <c r="AG12546" s="32"/>
    </row>
    <row r="12547" spans="2:33">
      <c r="B12547" s="29"/>
      <c r="D12547" s="29"/>
      <c r="E12547" s="20"/>
      <c r="F12547" s="20"/>
      <c r="AC12547" s="20"/>
      <c r="AG12547" s="32"/>
    </row>
    <row r="12548" spans="2:33">
      <c r="B12548" s="29"/>
      <c r="D12548" s="29"/>
      <c r="E12548" s="20"/>
      <c r="F12548" s="20"/>
      <c r="AC12548" s="20"/>
      <c r="AG12548" s="32"/>
    </row>
    <row r="12549" spans="2:33">
      <c r="B12549" s="29"/>
      <c r="D12549" s="29"/>
      <c r="E12549" s="20"/>
      <c r="F12549" s="20"/>
      <c r="AC12549" s="20"/>
      <c r="AG12549" s="32"/>
    </row>
    <row r="12550" spans="2:33">
      <c r="B12550" s="29"/>
      <c r="D12550" s="29"/>
      <c r="E12550" s="20"/>
      <c r="F12550" s="20"/>
      <c r="AC12550" s="20"/>
      <c r="AG12550" s="32"/>
    </row>
    <row r="12551" spans="2:33">
      <c r="B12551" s="29"/>
      <c r="D12551" s="29"/>
      <c r="E12551" s="20"/>
      <c r="F12551" s="20"/>
      <c r="AC12551" s="20"/>
      <c r="AG12551" s="32"/>
    </row>
    <row r="12552" spans="2:33">
      <c r="B12552" s="29"/>
      <c r="D12552" s="29"/>
      <c r="E12552" s="20"/>
      <c r="F12552" s="20"/>
      <c r="AC12552" s="20"/>
      <c r="AG12552" s="32"/>
    </row>
    <row r="12553" spans="2:33">
      <c r="B12553" s="29"/>
      <c r="D12553" s="29"/>
      <c r="E12553" s="20"/>
      <c r="F12553" s="20"/>
      <c r="AC12553" s="20"/>
      <c r="AG12553" s="32"/>
    </row>
    <row r="12554" spans="2:33">
      <c r="B12554" s="29"/>
      <c r="D12554" s="29"/>
      <c r="E12554" s="20"/>
      <c r="F12554" s="20"/>
      <c r="AC12554" s="20"/>
      <c r="AG12554" s="32"/>
    </row>
    <row r="12555" spans="2:33">
      <c r="B12555" s="29"/>
      <c r="D12555" s="29"/>
      <c r="E12555" s="20"/>
      <c r="F12555" s="20"/>
      <c r="AC12555" s="20"/>
      <c r="AG12555" s="32"/>
    </row>
    <row r="12556" spans="2:33">
      <c r="B12556" s="29"/>
      <c r="D12556" s="29"/>
      <c r="E12556" s="20"/>
      <c r="F12556" s="20"/>
      <c r="AC12556" s="20"/>
      <c r="AG12556" s="32"/>
    </row>
    <row r="12557" spans="2:33">
      <c r="B12557" s="29"/>
      <c r="D12557" s="29"/>
      <c r="E12557" s="20"/>
      <c r="F12557" s="20"/>
      <c r="AC12557" s="20"/>
      <c r="AG12557" s="32"/>
    </row>
    <row r="12558" spans="2:33">
      <c r="B12558" s="29"/>
      <c r="D12558" s="29"/>
      <c r="E12558" s="20"/>
      <c r="F12558" s="20"/>
      <c r="AC12558" s="20"/>
      <c r="AG12558" s="32"/>
    </row>
    <row r="12559" spans="2:33">
      <c r="B12559" s="29"/>
      <c r="D12559" s="29"/>
      <c r="E12559" s="20"/>
      <c r="F12559" s="20"/>
      <c r="AC12559" s="20"/>
      <c r="AG12559" s="32"/>
    </row>
    <row r="12560" spans="2:33">
      <c r="B12560" s="29"/>
      <c r="D12560" s="29"/>
      <c r="E12560" s="20"/>
      <c r="F12560" s="20"/>
      <c r="AC12560" s="20"/>
      <c r="AG12560" s="32"/>
    </row>
    <row r="12561" spans="2:33">
      <c r="B12561" s="29"/>
      <c r="D12561" s="29"/>
      <c r="E12561" s="20"/>
      <c r="F12561" s="20"/>
      <c r="AC12561" s="20"/>
      <c r="AG12561" s="32"/>
    </row>
    <row r="12562" spans="2:33">
      <c r="B12562" s="29"/>
      <c r="D12562" s="29"/>
      <c r="E12562" s="20"/>
      <c r="F12562" s="20"/>
      <c r="AC12562" s="20"/>
      <c r="AG12562" s="32"/>
    </row>
    <row r="12563" spans="2:33">
      <c r="B12563" s="29"/>
      <c r="D12563" s="29"/>
      <c r="E12563" s="20"/>
      <c r="F12563" s="20"/>
      <c r="AC12563" s="20"/>
      <c r="AG12563" s="32"/>
    </row>
    <row r="12564" spans="2:33">
      <c r="B12564" s="29"/>
      <c r="D12564" s="29"/>
      <c r="E12564" s="20"/>
      <c r="F12564" s="20"/>
      <c r="AC12564" s="20"/>
      <c r="AG12564" s="32"/>
    </row>
    <row r="12565" spans="2:33">
      <c r="B12565" s="29"/>
      <c r="D12565" s="29"/>
      <c r="E12565" s="20"/>
      <c r="F12565" s="20"/>
      <c r="AC12565" s="20"/>
      <c r="AG12565" s="32"/>
    </row>
    <row r="12566" spans="2:33">
      <c r="B12566" s="29"/>
      <c r="D12566" s="29"/>
      <c r="E12566" s="20"/>
      <c r="F12566" s="20"/>
      <c r="AC12566" s="20"/>
      <c r="AG12566" s="32"/>
    </row>
    <row r="12567" spans="2:33">
      <c r="B12567" s="29"/>
      <c r="D12567" s="29"/>
      <c r="E12567" s="20"/>
      <c r="F12567" s="20"/>
      <c r="AC12567" s="20"/>
      <c r="AG12567" s="32"/>
    </row>
    <row r="12568" spans="2:33">
      <c r="B12568" s="29"/>
      <c r="D12568" s="29"/>
      <c r="E12568" s="20"/>
      <c r="F12568" s="20"/>
      <c r="AC12568" s="20"/>
      <c r="AG12568" s="32"/>
    </row>
    <row r="12569" spans="2:33">
      <c r="B12569" s="29"/>
      <c r="D12569" s="29"/>
      <c r="E12569" s="20"/>
      <c r="F12569" s="20"/>
      <c r="AC12569" s="20"/>
      <c r="AG12569" s="32"/>
    </row>
    <row r="12570" spans="2:33">
      <c r="B12570" s="29"/>
      <c r="D12570" s="29"/>
      <c r="E12570" s="20"/>
      <c r="F12570" s="20"/>
      <c r="AC12570" s="20"/>
      <c r="AG12570" s="32"/>
    </row>
    <row r="12571" spans="2:33">
      <c r="B12571" s="29"/>
      <c r="D12571" s="29"/>
      <c r="E12571" s="20"/>
      <c r="F12571" s="20"/>
      <c r="AC12571" s="20"/>
      <c r="AG12571" s="32"/>
    </row>
    <row r="12572" spans="2:33">
      <c r="B12572" s="29"/>
      <c r="D12572" s="29"/>
      <c r="E12572" s="20"/>
      <c r="F12572" s="20"/>
      <c r="AC12572" s="20"/>
      <c r="AG12572" s="32"/>
    </row>
    <row r="12573" spans="2:33">
      <c r="B12573" s="29"/>
      <c r="D12573" s="29"/>
      <c r="E12573" s="20"/>
      <c r="F12573" s="20"/>
      <c r="AC12573" s="20"/>
      <c r="AG12573" s="32"/>
    </row>
    <row r="12574" spans="2:33">
      <c r="B12574" s="29"/>
      <c r="D12574" s="29"/>
      <c r="E12574" s="20"/>
      <c r="F12574" s="20"/>
      <c r="AC12574" s="20"/>
      <c r="AG12574" s="32"/>
    </row>
    <row r="12575" spans="2:33">
      <c r="B12575" s="29"/>
      <c r="D12575" s="29"/>
      <c r="E12575" s="20"/>
      <c r="F12575" s="20"/>
      <c r="AC12575" s="20"/>
      <c r="AG12575" s="32"/>
    </row>
    <row r="12576" spans="2:33">
      <c r="B12576" s="29"/>
      <c r="D12576" s="29"/>
      <c r="E12576" s="20"/>
      <c r="F12576" s="20"/>
      <c r="AC12576" s="20"/>
      <c r="AG12576" s="32"/>
    </row>
    <row r="12577" spans="2:33">
      <c r="B12577" s="29"/>
      <c r="D12577" s="29"/>
      <c r="E12577" s="20"/>
      <c r="F12577" s="20"/>
      <c r="AC12577" s="20"/>
      <c r="AG12577" s="32"/>
    </row>
    <row r="12578" spans="2:33">
      <c r="B12578" s="29"/>
      <c r="D12578" s="29"/>
      <c r="E12578" s="20"/>
      <c r="F12578" s="20"/>
      <c r="AC12578" s="20"/>
      <c r="AG12578" s="32"/>
    </row>
    <row r="12579" spans="2:33">
      <c r="B12579" s="29"/>
      <c r="D12579" s="29"/>
      <c r="E12579" s="20"/>
      <c r="F12579" s="20"/>
      <c r="AC12579" s="20"/>
      <c r="AG12579" s="32"/>
    </row>
    <row r="12580" spans="2:33">
      <c r="B12580" s="29"/>
      <c r="D12580" s="29"/>
      <c r="E12580" s="20"/>
      <c r="F12580" s="20"/>
      <c r="AC12580" s="20"/>
      <c r="AG12580" s="32"/>
    </row>
    <row r="12581" spans="2:33">
      <c r="B12581" s="29"/>
      <c r="D12581" s="29"/>
      <c r="E12581" s="20"/>
      <c r="F12581" s="20"/>
      <c r="AC12581" s="20"/>
      <c r="AG12581" s="32"/>
    </row>
    <row r="12582" spans="2:33">
      <c r="B12582" s="29"/>
      <c r="D12582" s="29"/>
      <c r="E12582" s="20"/>
      <c r="F12582" s="20"/>
      <c r="AC12582" s="20"/>
      <c r="AG12582" s="32"/>
    </row>
    <row r="12583" spans="2:33">
      <c r="B12583" s="29"/>
      <c r="D12583" s="29"/>
      <c r="E12583" s="20"/>
      <c r="F12583" s="20"/>
      <c r="AC12583" s="20"/>
      <c r="AG12583" s="32"/>
    </row>
    <row r="12584" spans="2:33">
      <c r="B12584" s="29"/>
      <c r="D12584" s="29"/>
      <c r="E12584" s="20"/>
      <c r="F12584" s="20"/>
      <c r="AC12584" s="20"/>
      <c r="AG12584" s="32"/>
    </row>
    <row r="12585" spans="2:33">
      <c r="B12585" s="29"/>
      <c r="D12585" s="29"/>
      <c r="E12585" s="20"/>
      <c r="F12585" s="20"/>
      <c r="AC12585" s="20"/>
      <c r="AG12585" s="32"/>
    </row>
    <row r="12586" spans="2:33">
      <c r="B12586" s="29"/>
      <c r="D12586" s="29"/>
      <c r="E12586" s="20"/>
      <c r="F12586" s="20"/>
      <c r="AC12586" s="20"/>
      <c r="AG12586" s="32"/>
    </row>
    <row r="12587" spans="2:33">
      <c r="B12587" s="29"/>
      <c r="D12587" s="29"/>
      <c r="E12587" s="20"/>
      <c r="F12587" s="20"/>
      <c r="AC12587" s="20"/>
      <c r="AG12587" s="32"/>
    </row>
    <row r="12588" spans="2:33">
      <c r="B12588" s="29"/>
      <c r="D12588" s="29"/>
      <c r="E12588" s="20"/>
      <c r="F12588" s="20"/>
      <c r="AC12588" s="20"/>
      <c r="AG12588" s="32"/>
    </row>
    <row r="12589" spans="2:33">
      <c r="B12589" s="29"/>
      <c r="D12589" s="29"/>
      <c r="E12589" s="20"/>
      <c r="F12589" s="20"/>
      <c r="AC12589" s="20"/>
      <c r="AG12589" s="32"/>
    </row>
    <row r="12590" spans="2:33">
      <c r="B12590" s="29"/>
      <c r="D12590" s="29"/>
      <c r="E12590" s="20"/>
      <c r="F12590" s="20"/>
      <c r="AC12590" s="20"/>
      <c r="AG12590" s="32"/>
    </row>
    <row r="12591" spans="2:33">
      <c r="B12591" s="29"/>
      <c r="D12591" s="29"/>
      <c r="E12591" s="20"/>
      <c r="F12591" s="20"/>
      <c r="AC12591" s="20"/>
      <c r="AG12591" s="32"/>
    </row>
    <row r="12592" spans="2:33">
      <c r="B12592" s="29"/>
      <c r="D12592" s="29"/>
      <c r="E12592" s="20"/>
      <c r="F12592" s="20"/>
      <c r="AC12592" s="20"/>
      <c r="AG12592" s="32"/>
    </row>
    <row r="12593" spans="2:33">
      <c r="B12593" s="29"/>
      <c r="D12593" s="29"/>
      <c r="E12593" s="20"/>
      <c r="F12593" s="20"/>
      <c r="AC12593" s="20"/>
      <c r="AG12593" s="32"/>
    </row>
    <row r="12594" spans="2:33">
      <c r="B12594" s="29"/>
      <c r="D12594" s="29"/>
      <c r="E12594" s="20"/>
      <c r="F12594" s="20"/>
      <c r="AC12594" s="20"/>
      <c r="AG12594" s="32"/>
    </row>
    <row r="12595" spans="2:33">
      <c r="B12595" s="29"/>
      <c r="D12595" s="29"/>
      <c r="E12595" s="20"/>
      <c r="F12595" s="20"/>
      <c r="AC12595" s="20"/>
      <c r="AG12595" s="32"/>
    </row>
    <row r="12596" spans="2:33">
      <c r="B12596" s="29"/>
      <c r="D12596" s="29"/>
      <c r="E12596" s="20"/>
      <c r="F12596" s="20"/>
      <c r="AC12596" s="20"/>
      <c r="AG12596" s="32"/>
    </row>
    <row r="12597" spans="2:33">
      <c r="B12597" s="29"/>
      <c r="D12597" s="29"/>
      <c r="E12597" s="20"/>
      <c r="F12597" s="20"/>
      <c r="AC12597" s="20"/>
      <c r="AG12597" s="32"/>
    </row>
    <row r="12598" spans="2:33">
      <c r="B12598" s="29"/>
      <c r="D12598" s="29"/>
      <c r="E12598" s="20"/>
      <c r="F12598" s="20"/>
      <c r="AC12598" s="20"/>
      <c r="AG12598" s="32"/>
    </row>
    <row r="12599" spans="2:33">
      <c r="B12599" s="29"/>
      <c r="D12599" s="29"/>
      <c r="E12599" s="20"/>
      <c r="F12599" s="20"/>
      <c r="AC12599" s="20"/>
      <c r="AG12599" s="32"/>
    </row>
    <row r="12600" spans="2:33">
      <c r="B12600" s="29"/>
      <c r="D12600" s="29"/>
      <c r="E12600" s="20"/>
      <c r="F12600" s="20"/>
      <c r="AC12600" s="20"/>
      <c r="AG12600" s="32"/>
    </row>
    <row r="12601" spans="2:33">
      <c r="B12601" s="29"/>
      <c r="D12601" s="29"/>
      <c r="E12601" s="20"/>
      <c r="F12601" s="20"/>
      <c r="AC12601" s="20"/>
      <c r="AG12601" s="32"/>
    </row>
    <row r="12602" spans="2:33">
      <c r="B12602" s="29"/>
      <c r="D12602" s="29"/>
      <c r="E12602" s="20"/>
      <c r="F12602" s="20"/>
      <c r="AC12602" s="20"/>
      <c r="AG12602" s="32"/>
    </row>
    <row r="12603" spans="2:33">
      <c r="B12603" s="29"/>
      <c r="D12603" s="29"/>
      <c r="E12603" s="20"/>
      <c r="F12603" s="20"/>
      <c r="AC12603" s="20"/>
      <c r="AG12603" s="32"/>
    </row>
    <row r="12604" spans="2:33">
      <c r="B12604" s="29"/>
      <c r="D12604" s="29"/>
      <c r="E12604" s="20"/>
      <c r="F12604" s="20"/>
      <c r="AC12604" s="20"/>
      <c r="AG12604" s="32"/>
    </row>
    <row r="12605" spans="2:33">
      <c r="B12605" s="29"/>
      <c r="D12605" s="29"/>
      <c r="E12605" s="20"/>
      <c r="F12605" s="20"/>
      <c r="AC12605" s="20"/>
      <c r="AG12605" s="32"/>
    </row>
    <row r="12606" spans="2:33">
      <c r="B12606" s="29"/>
      <c r="D12606" s="29"/>
      <c r="E12606" s="20"/>
      <c r="F12606" s="20"/>
      <c r="AC12606" s="20"/>
      <c r="AG12606" s="32"/>
    </row>
    <row r="12607" spans="2:33">
      <c r="B12607" s="29"/>
      <c r="D12607" s="29"/>
      <c r="E12607" s="20"/>
      <c r="F12607" s="20"/>
      <c r="AC12607" s="20"/>
      <c r="AG12607" s="32"/>
    </row>
    <row r="12608" spans="2:33">
      <c r="B12608" s="29"/>
      <c r="D12608" s="29"/>
      <c r="E12608" s="20"/>
      <c r="F12608" s="20"/>
      <c r="AC12608" s="20"/>
      <c r="AG12608" s="32"/>
    </row>
    <row r="12609" spans="2:33">
      <c r="B12609" s="29"/>
      <c r="D12609" s="29"/>
      <c r="E12609" s="20"/>
      <c r="F12609" s="20"/>
      <c r="AC12609" s="20"/>
      <c r="AG12609" s="32"/>
    </row>
    <row r="12610" spans="2:33">
      <c r="B12610" s="29"/>
      <c r="D12610" s="29"/>
      <c r="E12610" s="20"/>
      <c r="F12610" s="20"/>
      <c r="AC12610" s="20"/>
      <c r="AG12610" s="32"/>
    </row>
    <row r="12611" spans="2:33">
      <c r="B12611" s="29"/>
      <c r="D12611" s="29"/>
      <c r="E12611" s="20"/>
      <c r="F12611" s="20"/>
      <c r="AC12611" s="20"/>
      <c r="AG12611" s="32"/>
    </row>
    <row r="12612" spans="2:33">
      <c r="B12612" s="29"/>
      <c r="D12612" s="29"/>
      <c r="E12612" s="20"/>
      <c r="F12612" s="20"/>
      <c r="AC12612" s="20"/>
      <c r="AG12612" s="32"/>
    </row>
    <row r="12613" spans="2:33">
      <c r="B12613" s="29"/>
      <c r="D12613" s="29"/>
      <c r="E12613" s="20"/>
      <c r="F12613" s="20"/>
      <c r="AC12613" s="20"/>
      <c r="AG12613" s="32"/>
    </row>
    <row r="12614" spans="2:33">
      <c r="B12614" s="29"/>
      <c r="D12614" s="29"/>
      <c r="E12614" s="20"/>
      <c r="F12614" s="20"/>
      <c r="AC12614" s="20"/>
      <c r="AG12614" s="32"/>
    </row>
    <row r="12615" spans="2:33">
      <c r="B12615" s="29"/>
      <c r="D12615" s="29"/>
      <c r="E12615" s="20"/>
      <c r="F12615" s="20"/>
      <c r="AC12615" s="20"/>
      <c r="AG12615" s="32"/>
    </row>
    <row r="12616" spans="2:33">
      <c r="B12616" s="29"/>
      <c r="D12616" s="29"/>
      <c r="E12616" s="20"/>
      <c r="F12616" s="20"/>
      <c r="AC12616" s="20"/>
      <c r="AG12616" s="32"/>
    </row>
    <row r="12617" spans="2:33">
      <c r="B12617" s="29"/>
      <c r="D12617" s="29"/>
      <c r="E12617" s="20"/>
      <c r="F12617" s="20"/>
      <c r="AC12617" s="20"/>
      <c r="AG12617" s="32"/>
    </row>
    <row r="12618" spans="2:33">
      <c r="B12618" s="29"/>
      <c r="D12618" s="29"/>
      <c r="E12618" s="20"/>
      <c r="F12618" s="20"/>
      <c r="AC12618" s="20"/>
      <c r="AG12618" s="32"/>
    </row>
    <row r="12619" spans="2:33">
      <c r="B12619" s="29"/>
      <c r="D12619" s="29"/>
      <c r="E12619" s="20"/>
      <c r="F12619" s="20"/>
      <c r="AC12619" s="20"/>
      <c r="AG12619" s="32"/>
    </row>
    <row r="12620" spans="2:33">
      <c r="B12620" s="29"/>
      <c r="D12620" s="29"/>
      <c r="E12620" s="20"/>
      <c r="F12620" s="20"/>
      <c r="AC12620" s="20"/>
      <c r="AG12620" s="32"/>
    </row>
    <row r="12621" spans="2:33">
      <c r="B12621" s="29"/>
      <c r="D12621" s="29"/>
      <c r="E12621" s="20"/>
      <c r="F12621" s="20"/>
      <c r="AC12621" s="20"/>
      <c r="AG12621" s="32"/>
    </row>
    <row r="12622" spans="2:33">
      <c r="B12622" s="29"/>
      <c r="D12622" s="29"/>
      <c r="E12622" s="20"/>
      <c r="F12622" s="20"/>
      <c r="AC12622" s="20"/>
      <c r="AG12622" s="32"/>
    </row>
    <row r="12623" spans="2:33">
      <c r="B12623" s="29"/>
      <c r="D12623" s="29"/>
      <c r="E12623" s="20"/>
      <c r="F12623" s="20"/>
      <c r="AC12623" s="20"/>
      <c r="AG12623" s="32"/>
    </row>
    <row r="12624" spans="2:33">
      <c r="B12624" s="29"/>
      <c r="D12624" s="29"/>
      <c r="E12624" s="20"/>
      <c r="F12624" s="20"/>
      <c r="AC12624" s="20"/>
      <c r="AG12624" s="32"/>
    </row>
    <row r="12625" spans="2:33">
      <c r="B12625" s="29"/>
      <c r="D12625" s="29"/>
      <c r="E12625" s="20"/>
      <c r="F12625" s="20"/>
      <c r="AC12625" s="20"/>
      <c r="AG12625" s="32"/>
    </row>
    <row r="12626" spans="2:33">
      <c r="B12626" s="29"/>
      <c r="D12626" s="29"/>
      <c r="E12626" s="20"/>
      <c r="F12626" s="20"/>
      <c r="AC12626" s="20"/>
      <c r="AG12626" s="32"/>
    </row>
    <row r="12627" spans="2:33">
      <c r="B12627" s="29"/>
      <c r="D12627" s="29"/>
      <c r="E12627" s="20"/>
      <c r="F12627" s="20"/>
      <c r="AC12627" s="20"/>
      <c r="AG12627" s="32"/>
    </row>
    <row r="12628" spans="2:33">
      <c r="B12628" s="29"/>
      <c r="D12628" s="29"/>
      <c r="E12628" s="20"/>
      <c r="F12628" s="20"/>
      <c r="AC12628" s="20"/>
      <c r="AG12628" s="32"/>
    </row>
    <row r="12629" spans="2:33">
      <c r="B12629" s="29"/>
      <c r="D12629" s="29"/>
      <c r="E12629" s="20"/>
      <c r="F12629" s="20"/>
      <c r="AC12629" s="20"/>
      <c r="AG12629" s="32"/>
    </row>
    <row r="12630" spans="2:33">
      <c r="B12630" s="29"/>
      <c r="D12630" s="29"/>
      <c r="E12630" s="20"/>
      <c r="F12630" s="20"/>
      <c r="AC12630" s="20"/>
      <c r="AG12630" s="32"/>
    </row>
    <row r="12631" spans="2:33">
      <c r="B12631" s="29"/>
      <c r="D12631" s="29"/>
      <c r="E12631" s="20"/>
      <c r="F12631" s="20"/>
      <c r="AC12631" s="20"/>
      <c r="AG12631" s="32"/>
    </row>
    <row r="12632" spans="2:33">
      <c r="B12632" s="29"/>
      <c r="D12632" s="29"/>
      <c r="E12632" s="20"/>
      <c r="F12632" s="20"/>
      <c r="AC12632" s="20"/>
      <c r="AG12632" s="32"/>
    </row>
    <row r="12633" spans="2:33">
      <c r="B12633" s="29"/>
      <c r="D12633" s="29"/>
      <c r="E12633" s="20"/>
      <c r="F12633" s="20"/>
      <c r="AC12633" s="20"/>
      <c r="AG12633" s="32"/>
    </row>
    <row r="12634" spans="2:33">
      <c r="B12634" s="29"/>
      <c r="D12634" s="29"/>
      <c r="E12634" s="20"/>
      <c r="F12634" s="20"/>
      <c r="AC12634" s="20"/>
      <c r="AG12634" s="32"/>
    </row>
    <row r="12635" spans="2:33">
      <c r="B12635" s="29"/>
      <c r="D12635" s="29"/>
      <c r="E12635" s="20"/>
      <c r="F12635" s="20"/>
      <c r="AC12635" s="20"/>
      <c r="AG12635" s="32"/>
    </row>
    <row r="12636" spans="2:33">
      <c r="B12636" s="29"/>
      <c r="D12636" s="29"/>
      <c r="E12636" s="20"/>
      <c r="F12636" s="20"/>
      <c r="AC12636" s="20"/>
      <c r="AG12636" s="32"/>
    </row>
    <row r="12637" spans="2:33">
      <c r="B12637" s="29"/>
      <c r="D12637" s="29"/>
      <c r="E12637" s="20"/>
      <c r="F12637" s="20"/>
      <c r="AC12637" s="20"/>
      <c r="AG12637" s="32"/>
    </row>
    <row r="12638" spans="2:33">
      <c r="B12638" s="29"/>
      <c r="D12638" s="29"/>
      <c r="E12638" s="20"/>
      <c r="F12638" s="20"/>
      <c r="AC12638" s="20"/>
      <c r="AG12638" s="32"/>
    </row>
    <row r="12639" spans="2:33">
      <c r="B12639" s="29"/>
      <c r="D12639" s="29"/>
      <c r="E12639" s="20"/>
      <c r="F12639" s="20"/>
      <c r="AC12639" s="20"/>
      <c r="AG12639" s="32"/>
    </row>
    <row r="12640" spans="2:33">
      <c r="B12640" s="29"/>
      <c r="D12640" s="29"/>
      <c r="E12640" s="20"/>
      <c r="F12640" s="20"/>
      <c r="AC12640" s="20"/>
      <c r="AG12640" s="32"/>
    </row>
    <row r="12641" spans="2:33">
      <c r="B12641" s="29"/>
      <c r="D12641" s="29"/>
      <c r="E12641" s="20"/>
      <c r="F12641" s="20"/>
      <c r="AC12641" s="20"/>
      <c r="AG12641" s="32"/>
    </row>
    <row r="12642" spans="2:33">
      <c r="B12642" s="29"/>
      <c r="D12642" s="29"/>
      <c r="E12642" s="20"/>
      <c r="F12642" s="20"/>
      <c r="AC12642" s="20"/>
      <c r="AG12642" s="32"/>
    </row>
    <row r="12643" spans="2:33">
      <c r="B12643" s="29"/>
      <c r="D12643" s="29"/>
      <c r="E12643" s="20"/>
      <c r="F12643" s="20"/>
      <c r="AC12643" s="20"/>
      <c r="AG12643" s="32"/>
    </row>
    <row r="12644" spans="2:33">
      <c r="B12644" s="29"/>
      <c r="D12644" s="29"/>
      <c r="E12644" s="20"/>
      <c r="F12644" s="20"/>
      <c r="AC12644" s="20"/>
      <c r="AG12644" s="32"/>
    </row>
    <row r="12645" spans="2:33">
      <c r="B12645" s="29"/>
      <c r="D12645" s="29"/>
      <c r="E12645" s="20"/>
      <c r="F12645" s="20"/>
      <c r="AC12645" s="20"/>
      <c r="AG12645" s="32"/>
    </row>
    <row r="12646" spans="2:33">
      <c r="B12646" s="29"/>
      <c r="D12646" s="29"/>
      <c r="E12646" s="20"/>
      <c r="F12646" s="20"/>
      <c r="AC12646" s="20"/>
      <c r="AG12646" s="32"/>
    </row>
    <row r="12647" spans="2:33">
      <c r="B12647" s="29"/>
      <c r="D12647" s="29"/>
      <c r="E12647" s="20"/>
      <c r="F12647" s="20"/>
      <c r="AC12647" s="20"/>
      <c r="AG12647" s="32"/>
    </row>
    <row r="12648" spans="2:33">
      <c r="B12648" s="29"/>
      <c r="D12648" s="29"/>
      <c r="E12648" s="20"/>
      <c r="F12648" s="20"/>
      <c r="AC12648" s="20"/>
      <c r="AG12648" s="32"/>
    </row>
    <row r="12649" spans="2:33">
      <c r="B12649" s="29"/>
      <c r="D12649" s="29"/>
      <c r="E12649" s="20"/>
      <c r="F12649" s="20"/>
      <c r="AC12649" s="20"/>
      <c r="AG12649" s="32"/>
    </row>
    <row r="12650" spans="2:33">
      <c r="B12650" s="29"/>
      <c r="D12650" s="29"/>
      <c r="E12650" s="20"/>
      <c r="F12650" s="20"/>
      <c r="AC12650" s="20"/>
      <c r="AG12650" s="32"/>
    </row>
    <row r="12651" spans="2:33">
      <c r="B12651" s="29"/>
      <c r="D12651" s="29"/>
      <c r="E12651" s="20"/>
      <c r="F12651" s="20"/>
      <c r="AC12651" s="20"/>
      <c r="AG12651" s="32"/>
    </row>
    <row r="12652" spans="2:33">
      <c r="B12652" s="29"/>
      <c r="D12652" s="29"/>
      <c r="E12652" s="20"/>
      <c r="F12652" s="20"/>
      <c r="AC12652" s="20"/>
      <c r="AG12652" s="32"/>
    </row>
    <row r="12653" spans="2:33">
      <c r="B12653" s="29"/>
      <c r="D12653" s="29"/>
      <c r="E12653" s="20"/>
      <c r="F12653" s="20"/>
      <c r="AC12653" s="20"/>
      <c r="AG12653" s="32"/>
    </row>
    <row r="12654" spans="2:33">
      <c r="B12654" s="29"/>
      <c r="D12654" s="29"/>
      <c r="E12654" s="20"/>
      <c r="F12654" s="20"/>
      <c r="AC12654" s="20"/>
      <c r="AG12654" s="32"/>
    </row>
    <row r="12655" spans="2:33">
      <c r="B12655" s="29"/>
      <c r="D12655" s="29"/>
      <c r="E12655" s="20"/>
      <c r="F12655" s="20"/>
      <c r="AC12655" s="20"/>
      <c r="AG12655" s="32"/>
    </row>
    <row r="12656" spans="2:33">
      <c r="B12656" s="29"/>
      <c r="D12656" s="29"/>
      <c r="E12656" s="20"/>
      <c r="F12656" s="20"/>
      <c r="AC12656" s="20"/>
      <c r="AG12656" s="32"/>
    </row>
    <row r="12657" spans="2:33">
      <c r="B12657" s="29"/>
      <c r="D12657" s="29"/>
      <c r="E12657" s="20"/>
      <c r="F12657" s="20"/>
      <c r="AC12657" s="20"/>
      <c r="AG12657" s="32"/>
    </row>
    <row r="12658" spans="2:33">
      <c r="B12658" s="29"/>
      <c r="D12658" s="29"/>
      <c r="E12658" s="20"/>
      <c r="F12658" s="20"/>
      <c r="AC12658" s="20"/>
      <c r="AG12658" s="32"/>
    </row>
    <row r="12659" spans="2:33">
      <c r="B12659" s="29"/>
      <c r="D12659" s="29"/>
      <c r="E12659" s="20"/>
      <c r="F12659" s="20"/>
      <c r="AC12659" s="20"/>
      <c r="AG12659" s="32"/>
    </row>
    <row r="12660" spans="2:33">
      <c r="B12660" s="29"/>
      <c r="D12660" s="29"/>
      <c r="E12660" s="20"/>
      <c r="F12660" s="20"/>
      <c r="AC12660" s="20"/>
      <c r="AG12660" s="32"/>
    </row>
    <row r="12661" spans="2:33">
      <c r="B12661" s="29"/>
      <c r="D12661" s="29"/>
      <c r="E12661" s="20"/>
      <c r="F12661" s="20"/>
      <c r="AC12661" s="20"/>
      <c r="AG12661" s="32"/>
    </row>
    <row r="12662" spans="2:33">
      <c r="B12662" s="29"/>
      <c r="D12662" s="29"/>
      <c r="E12662" s="20"/>
      <c r="F12662" s="20"/>
      <c r="AC12662" s="20"/>
      <c r="AG12662" s="32"/>
    </row>
    <row r="12663" spans="2:33">
      <c r="B12663" s="29"/>
      <c r="D12663" s="29"/>
      <c r="E12663" s="20"/>
      <c r="F12663" s="20"/>
      <c r="AC12663" s="20"/>
      <c r="AG12663" s="32"/>
    </row>
    <row r="12664" spans="2:33">
      <c r="B12664" s="29"/>
      <c r="D12664" s="29"/>
      <c r="E12664" s="20"/>
      <c r="F12664" s="20"/>
      <c r="AC12664" s="20"/>
      <c r="AG12664" s="32"/>
    </row>
    <row r="12665" spans="2:33">
      <c r="B12665" s="29"/>
      <c r="D12665" s="29"/>
      <c r="E12665" s="20"/>
      <c r="F12665" s="20"/>
      <c r="AC12665" s="20"/>
      <c r="AG12665" s="32"/>
    </row>
    <row r="12666" spans="2:33">
      <c r="B12666" s="29"/>
      <c r="D12666" s="29"/>
      <c r="E12666" s="20"/>
      <c r="F12666" s="20"/>
      <c r="AC12666" s="20"/>
      <c r="AG12666" s="32"/>
    </row>
    <row r="12667" spans="2:33">
      <c r="B12667" s="29"/>
      <c r="D12667" s="29"/>
      <c r="E12667" s="20"/>
      <c r="F12667" s="20"/>
      <c r="AC12667" s="20"/>
      <c r="AG12667" s="32"/>
    </row>
    <row r="12668" spans="2:33">
      <c r="B12668" s="29"/>
      <c r="D12668" s="29"/>
      <c r="E12668" s="20"/>
      <c r="F12668" s="20"/>
      <c r="AC12668" s="20"/>
      <c r="AG12668" s="32"/>
    </row>
    <row r="12669" spans="2:33">
      <c r="B12669" s="29"/>
      <c r="D12669" s="29"/>
      <c r="E12669" s="20"/>
      <c r="F12669" s="20"/>
      <c r="AC12669" s="20"/>
      <c r="AG12669" s="32"/>
    </row>
    <row r="12670" spans="2:33">
      <c r="B12670" s="29"/>
      <c r="D12670" s="29"/>
      <c r="E12670" s="20"/>
      <c r="F12670" s="20"/>
      <c r="AC12670" s="20"/>
      <c r="AG12670" s="32"/>
    </row>
    <row r="12671" spans="2:33">
      <c r="B12671" s="29"/>
      <c r="D12671" s="29"/>
      <c r="E12671" s="20"/>
      <c r="F12671" s="20"/>
      <c r="AC12671" s="20"/>
      <c r="AG12671" s="32"/>
    </row>
    <row r="12672" spans="2:33">
      <c r="B12672" s="29"/>
      <c r="D12672" s="29"/>
      <c r="E12672" s="20"/>
      <c r="F12672" s="20"/>
      <c r="AC12672" s="20"/>
      <c r="AG12672" s="32"/>
    </row>
    <row r="12673" spans="2:33">
      <c r="B12673" s="29"/>
      <c r="D12673" s="29"/>
      <c r="E12673" s="20"/>
      <c r="F12673" s="20"/>
      <c r="AC12673" s="20"/>
      <c r="AG12673" s="32"/>
    </row>
    <row r="12674" spans="2:33">
      <c r="B12674" s="29"/>
      <c r="D12674" s="29"/>
      <c r="E12674" s="20"/>
      <c r="F12674" s="20"/>
      <c r="AC12674" s="20"/>
      <c r="AG12674" s="32"/>
    </row>
    <row r="12675" spans="2:33">
      <c r="B12675" s="29"/>
      <c r="D12675" s="29"/>
      <c r="E12675" s="20"/>
      <c r="F12675" s="20"/>
      <c r="AC12675" s="20"/>
      <c r="AG12675" s="32"/>
    </row>
    <row r="12676" spans="2:33">
      <c r="B12676" s="29"/>
      <c r="D12676" s="29"/>
      <c r="E12676" s="20"/>
      <c r="F12676" s="20"/>
      <c r="AC12676" s="20"/>
      <c r="AG12676" s="32"/>
    </row>
    <row r="12677" spans="2:33">
      <c r="B12677" s="29"/>
      <c r="D12677" s="29"/>
      <c r="E12677" s="20"/>
      <c r="F12677" s="20"/>
      <c r="AC12677" s="20"/>
      <c r="AG12677" s="32"/>
    </row>
    <row r="12678" spans="2:33">
      <c r="B12678" s="29"/>
      <c r="D12678" s="29"/>
      <c r="E12678" s="20"/>
      <c r="F12678" s="20"/>
      <c r="AC12678" s="20"/>
      <c r="AG12678" s="32"/>
    </row>
    <row r="12679" spans="2:33">
      <c r="B12679" s="29"/>
      <c r="D12679" s="29"/>
      <c r="E12679" s="20"/>
      <c r="F12679" s="20"/>
      <c r="AC12679" s="20"/>
      <c r="AG12679" s="32"/>
    </row>
    <row r="12680" spans="2:33">
      <c r="B12680" s="29"/>
      <c r="D12680" s="29"/>
      <c r="E12680" s="20"/>
      <c r="F12680" s="20"/>
      <c r="AC12680" s="20"/>
      <c r="AG12680" s="32"/>
    </row>
    <row r="12681" spans="2:33">
      <c r="B12681" s="29"/>
      <c r="D12681" s="29"/>
      <c r="E12681" s="20"/>
      <c r="F12681" s="20"/>
      <c r="AC12681" s="20"/>
      <c r="AG12681" s="32"/>
    </row>
    <row r="12682" spans="2:33">
      <c r="B12682" s="29"/>
      <c r="D12682" s="29"/>
      <c r="E12682" s="20"/>
      <c r="F12682" s="20"/>
      <c r="AC12682" s="20"/>
      <c r="AG12682" s="32"/>
    </row>
    <row r="12683" spans="2:33">
      <c r="B12683" s="29"/>
      <c r="D12683" s="29"/>
      <c r="E12683" s="20"/>
      <c r="F12683" s="20"/>
      <c r="AC12683" s="20"/>
      <c r="AG12683" s="32"/>
    </row>
    <row r="12684" spans="2:33">
      <c r="B12684" s="29"/>
      <c r="D12684" s="29"/>
      <c r="E12684" s="20"/>
      <c r="F12684" s="20"/>
      <c r="AC12684" s="20"/>
      <c r="AG12684" s="32"/>
    </row>
    <row r="12685" spans="2:33">
      <c r="B12685" s="29"/>
      <c r="D12685" s="29"/>
      <c r="E12685" s="20"/>
      <c r="F12685" s="20"/>
      <c r="AC12685" s="20"/>
      <c r="AG12685" s="32"/>
    </row>
    <row r="12686" spans="2:33">
      <c r="B12686" s="29"/>
      <c r="D12686" s="29"/>
      <c r="E12686" s="20"/>
      <c r="F12686" s="20"/>
      <c r="AC12686" s="20"/>
      <c r="AG12686" s="32"/>
    </row>
    <row r="12687" spans="2:33">
      <c r="B12687" s="29"/>
      <c r="D12687" s="29"/>
      <c r="E12687" s="20"/>
      <c r="F12687" s="20"/>
      <c r="AC12687" s="20"/>
      <c r="AG12687" s="32"/>
    </row>
    <row r="12688" spans="2:33">
      <c r="B12688" s="29"/>
      <c r="D12688" s="29"/>
      <c r="E12688" s="20"/>
      <c r="F12688" s="20"/>
      <c r="AC12688" s="20"/>
      <c r="AG12688" s="32"/>
    </row>
    <row r="12689" spans="2:33">
      <c r="B12689" s="29"/>
      <c r="D12689" s="29"/>
      <c r="E12689" s="20"/>
      <c r="F12689" s="20"/>
      <c r="AC12689" s="20"/>
      <c r="AG12689" s="32"/>
    </row>
    <row r="12690" spans="2:33">
      <c r="B12690" s="29"/>
      <c r="D12690" s="29"/>
      <c r="E12690" s="20"/>
      <c r="F12690" s="20"/>
      <c r="AC12690" s="20"/>
      <c r="AG12690" s="32"/>
    </row>
    <row r="12691" spans="2:33">
      <c r="B12691" s="29"/>
      <c r="D12691" s="29"/>
      <c r="E12691" s="20"/>
      <c r="F12691" s="20"/>
      <c r="AC12691" s="20"/>
      <c r="AG12691" s="32"/>
    </row>
    <row r="12692" spans="2:33">
      <c r="B12692" s="29"/>
      <c r="D12692" s="29"/>
      <c r="E12692" s="20"/>
      <c r="F12692" s="20"/>
      <c r="AC12692" s="20"/>
      <c r="AG12692" s="32"/>
    </row>
    <row r="12693" spans="2:33">
      <c r="B12693" s="29"/>
      <c r="D12693" s="29"/>
      <c r="E12693" s="20"/>
      <c r="F12693" s="20"/>
      <c r="AC12693" s="20"/>
      <c r="AG12693" s="32"/>
    </row>
    <row r="12694" spans="2:33">
      <c r="B12694" s="29"/>
      <c r="D12694" s="29"/>
      <c r="E12694" s="20"/>
      <c r="F12694" s="20"/>
      <c r="AC12694" s="20"/>
      <c r="AG12694" s="32"/>
    </row>
    <row r="12695" spans="2:33">
      <c r="B12695" s="29"/>
      <c r="D12695" s="29"/>
      <c r="E12695" s="20"/>
      <c r="F12695" s="20"/>
      <c r="AC12695" s="20"/>
      <c r="AG12695" s="32"/>
    </row>
    <row r="12696" spans="2:33">
      <c r="B12696" s="29"/>
      <c r="D12696" s="29"/>
      <c r="E12696" s="20"/>
      <c r="F12696" s="20"/>
      <c r="AC12696" s="20"/>
      <c r="AG12696" s="32"/>
    </row>
    <row r="12697" spans="2:33">
      <c r="B12697" s="29"/>
      <c r="D12697" s="29"/>
      <c r="E12697" s="20"/>
      <c r="F12697" s="20"/>
      <c r="AC12697" s="20"/>
      <c r="AG12697" s="32"/>
    </row>
    <row r="12698" spans="2:33">
      <c r="B12698" s="29"/>
      <c r="D12698" s="29"/>
      <c r="E12698" s="20"/>
      <c r="F12698" s="20"/>
      <c r="AC12698" s="20"/>
      <c r="AG12698" s="32"/>
    </row>
    <row r="12699" spans="2:33">
      <c r="B12699" s="29"/>
      <c r="D12699" s="29"/>
      <c r="E12699" s="20"/>
      <c r="F12699" s="20"/>
      <c r="AC12699" s="20"/>
      <c r="AG12699" s="32"/>
    </row>
    <row r="12700" spans="2:33">
      <c r="B12700" s="29"/>
      <c r="D12700" s="29"/>
      <c r="E12700" s="20"/>
      <c r="F12700" s="20"/>
      <c r="AC12700" s="20"/>
      <c r="AG12700" s="32"/>
    </row>
    <row r="12701" spans="2:33">
      <c r="B12701" s="29"/>
      <c r="D12701" s="29"/>
      <c r="E12701" s="20"/>
      <c r="F12701" s="20"/>
      <c r="AC12701" s="20"/>
      <c r="AG12701" s="32"/>
    </row>
    <row r="12702" spans="2:33">
      <c r="B12702" s="29"/>
      <c r="D12702" s="29"/>
      <c r="E12702" s="20"/>
      <c r="F12702" s="20"/>
      <c r="AC12702" s="20"/>
      <c r="AG12702" s="32"/>
    </row>
    <row r="12703" spans="2:33">
      <c r="B12703" s="29"/>
      <c r="D12703" s="29"/>
      <c r="E12703" s="20"/>
      <c r="F12703" s="20"/>
      <c r="AC12703" s="20"/>
      <c r="AG12703" s="32"/>
    </row>
    <row r="12704" spans="2:33">
      <c r="B12704" s="29"/>
      <c r="D12704" s="29"/>
      <c r="E12704" s="20"/>
      <c r="F12704" s="20"/>
      <c r="AC12704" s="20"/>
      <c r="AG12704" s="32"/>
    </row>
    <row r="12705" spans="2:33">
      <c r="B12705" s="29"/>
      <c r="D12705" s="29"/>
      <c r="E12705" s="20"/>
      <c r="F12705" s="20"/>
      <c r="AC12705" s="20"/>
      <c r="AG12705" s="32"/>
    </row>
    <row r="12706" spans="2:33">
      <c r="B12706" s="29"/>
      <c r="D12706" s="29"/>
      <c r="E12706" s="20"/>
      <c r="F12706" s="20"/>
      <c r="AC12706" s="20"/>
      <c r="AG12706" s="32"/>
    </row>
    <row r="12707" spans="2:33">
      <c r="B12707" s="29"/>
      <c r="D12707" s="29"/>
      <c r="E12707" s="20"/>
      <c r="F12707" s="20"/>
      <c r="AC12707" s="20"/>
      <c r="AG12707" s="32"/>
    </row>
    <row r="12708" spans="2:33">
      <c r="B12708" s="29"/>
      <c r="D12708" s="29"/>
      <c r="E12708" s="20"/>
      <c r="F12708" s="20"/>
      <c r="AC12708" s="20"/>
      <c r="AG12708" s="32"/>
    </row>
    <row r="12709" spans="2:33">
      <c r="B12709" s="29"/>
      <c r="D12709" s="29"/>
      <c r="E12709" s="20"/>
      <c r="F12709" s="20"/>
      <c r="AC12709" s="20"/>
      <c r="AG12709" s="32"/>
    </row>
    <row r="12710" spans="2:33">
      <c r="B12710" s="29"/>
      <c r="D12710" s="29"/>
      <c r="E12710" s="20"/>
      <c r="F12710" s="20"/>
      <c r="AC12710" s="20"/>
      <c r="AG12710" s="32"/>
    </row>
    <row r="12711" spans="2:33">
      <c r="B12711" s="29"/>
      <c r="D12711" s="29"/>
      <c r="E12711" s="20"/>
      <c r="F12711" s="20"/>
      <c r="AC12711" s="20"/>
      <c r="AG12711" s="32"/>
    </row>
    <row r="12712" spans="2:33">
      <c r="B12712" s="29"/>
      <c r="D12712" s="29"/>
      <c r="E12712" s="20"/>
      <c r="F12712" s="20"/>
      <c r="AC12712" s="20"/>
      <c r="AG12712" s="32"/>
    </row>
    <row r="12713" spans="2:33">
      <c r="B12713" s="29"/>
      <c r="D12713" s="29"/>
      <c r="E12713" s="20"/>
      <c r="F12713" s="20"/>
      <c r="AC12713" s="20"/>
      <c r="AG12713" s="32"/>
    </row>
    <row r="12714" spans="2:33">
      <c r="B12714" s="29"/>
      <c r="D12714" s="29"/>
      <c r="E12714" s="20"/>
      <c r="F12714" s="20"/>
      <c r="AC12714" s="20"/>
      <c r="AG12714" s="32"/>
    </row>
    <row r="12715" spans="2:33">
      <c r="B12715" s="29"/>
      <c r="D12715" s="29"/>
      <c r="E12715" s="20"/>
      <c r="F12715" s="20"/>
      <c r="AC12715" s="20"/>
      <c r="AG12715" s="32"/>
    </row>
    <row r="12716" spans="2:33">
      <c r="B12716" s="29"/>
      <c r="D12716" s="29"/>
      <c r="E12716" s="20"/>
      <c r="F12716" s="20"/>
      <c r="AC12716" s="20"/>
      <c r="AG12716" s="32"/>
    </row>
    <row r="12717" spans="2:33">
      <c r="B12717" s="29"/>
      <c r="D12717" s="29"/>
      <c r="E12717" s="20"/>
      <c r="F12717" s="20"/>
      <c r="AC12717" s="20"/>
      <c r="AG12717" s="32"/>
    </row>
    <row r="12718" spans="2:33">
      <c r="B12718" s="29"/>
      <c r="D12718" s="29"/>
      <c r="E12718" s="20"/>
      <c r="F12718" s="20"/>
      <c r="AC12718" s="20"/>
      <c r="AG12718" s="32"/>
    </row>
    <row r="12719" spans="2:33">
      <c r="B12719" s="29"/>
      <c r="D12719" s="29"/>
      <c r="E12719" s="20"/>
      <c r="F12719" s="20"/>
      <c r="AC12719" s="20"/>
      <c r="AG12719" s="32"/>
    </row>
    <row r="12720" spans="2:33">
      <c r="B12720" s="29"/>
      <c r="D12720" s="29"/>
      <c r="E12720" s="20"/>
      <c r="F12720" s="20"/>
      <c r="AC12720" s="20"/>
      <c r="AG12720" s="32"/>
    </row>
    <row r="12721" spans="2:33">
      <c r="B12721" s="29"/>
      <c r="D12721" s="29"/>
      <c r="E12721" s="20"/>
      <c r="F12721" s="20"/>
      <c r="AC12721" s="20"/>
      <c r="AG12721" s="32"/>
    </row>
    <row r="12722" spans="2:33">
      <c r="B12722" s="29"/>
      <c r="D12722" s="29"/>
      <c r="E12722" s="20"/>
      <c r="F12722" s="20"/>
      <c r="AC12722" s="20"/>
      <c r="AG12722" s="32"/>
    </row>
    <row r="12723" spans="2:33">
      <c r="B12723" s="29"/>
      <c r="D12723" s="29"/>
      <c r="E12723" s="20"/>
      <c r="F12723" s="20"/>
      <c r="AC12723" s="20"/>
      <c r="AG12723" s="32"/>
    </row>
    <row r="12724" spans="2:33">
      <c r="B12724" s="29"/>
      <c r="D12724" s="29"/>
      <c r="E12724" s="20"/>
      <c r="F12724" s="20"/>
      <c r="AC12724" s="20"/>
      <c r="AG12724" s="32"/>
    </row>
    <row r="12725" spans="2:33">
      <c r="B12725" s="29"/>
      <c r="D12725" s="29"/>
      <c r="E12725" s="20"/>
      <c r="F12725" s="20"/>
      <c r="AC12725" s="20"/>
      <c r="AG12725" s="32"/>
    </row>
    <row r="12726" spans="2:33">
      <c r="B12726" s="29"/>
      <c r="D12726" s="29"/>
      <c r="E12726" s="20"/>
      <c r="F12726" s="20"/>
      <c r="AC12726" s="20"/>
      <c r="AG12726" s="32"/>
    </row>
    <row r="12727" spans="2:33">
      <c r="B12727" s="29"/>
      <c r="D12727" s="29"/>
      <c r="E12727" s="20"/>
      <c r="F12727" s="20"/>
      <c r="AC12727" s="20"/>
      <c r="AG12727" s="32"/>
    </row>
    <row r="12728" spans="2:33">
      <c r="B12728" s="29"/>
      <c r="D12728" s="29"/>
      <c r="E12728" s="20"/>
      <c r="F12728" s="20"/>
      <c r="AC12728" s="20"/>
      <c r="AG12728" s="32"/>
    </row>
    <row r="12729" spans="2:33">
      <c r="B12729" s="29"/>
      <c r="D12729" s="29"/>
      <c r="E12729" s="20"/>
      <c r="F12729" s="20"/>
      <c r="AC12729" s="20"/>
      <c r="AG12729" s="32"/>
    </row>
    <row r="12730" spans="2:33">
      <c r="B12730" s="29"/>
      <c r="D12730" s="29"/>
      <c r="E12730" s="20"/>
      <c r="F12730" s="20"/>
      <c r="AC12730" s="20"/>
      <c r="AG12730" s="32"/>
    </row>
    <row r="12731" spans="2:33">
      <c r="B12731" s="29"/>
      <c r="D12731" s="29"/>
      <c r="E12731" s="20"/>
      <c r="F12731" s="20"/>
      <c r="AC12731" s="20"/>
      <c r="AG12731" s="32"/>
    </row>
    <row r="12732" spans="2:33">
      <c r="B12732" s="29"/>
      <c r="D12732" s="29"/>
      <c r="E12732" s="20"/>
      <c r="F12732" s="20"/>
      <c r="AC12732" s="20"/>
      <c r="AG12732" s="32"/>
    </row>
    <row r="12733" spans="2:33">
      <c r="B12733" s="29"/>
      <c r="D12733" s="29"/>
      <c r="E12733" s="20"/>
      <c r="F12733" s="20"/>
      <c r="AC12733" s="20"/>
      <c r="AG12733" s="32"/>
    </row>
    <row r="12734" spans="2:33">
      <c r="B12734" s="29"/>
      <c r="D12734" s="29"/>
      <c r="E12734" s="20"/>
      <c r="F12734" s="20"/>
      <c r="AC12734" s="20"/>
      <c r="AG12734" s="32"/>
    </row>
    <row r="12735" spans="2:33">
      <c r="B12735" s="29"/>
      <c r="D12735" s="29"/>
      <c r="E12735" s="20"/>
      <c r="F12735" s="20"/>
      <c r="AC12735" s="20"/>
      <c r="AG12735" s="32"/>
    </row>
    <row r="12736" spans="2:33">
      <c r="B12736" s="29"/>
      <c r="D12736" s="29"/>
      <c r="E12736" s="20"/>
      <c r="F12736" s="20"/>
      <c r="AC12736" s="20"/>
      <c r="AG12736" s="32"/>
    </row>
    <row r="12737" spans="2:33">
      <c r="B12737" s="29"/>
      <c r="D12737" s="29"/>
      <c r="E12737" s="20"/>
      <c r="F12737" s="20"/>
      <c r="AC12737" s="20"/>
      <c r="AG12737" s="32"/>
    </row>
    <row r="12738" spans="2:33">
      <c r="B12738" s="29"/>
      <c r="D12738" s="29"/>
      <c r="E12738" s="20"/>
      <c r="F12738" s="20"/>
      <c r="AC12738" s="20"/>
      <c r="AG12738" s="32"/>
    </row>
    <row r="12739" spans="2:33">
      <c r="B12739" s="29"/>
      <c r="D12739" s="29"/>
      <c r="E12739" s="20"/>
      <c r="F12739" s="20"/>
      <c r="AC12739" s="20"/>
      <c r="AG12739" s="32"/>
    </row>
    <row r="12740" spans="2:33">
      <c r="B12740" s="29"/>
      <c r="D12740" s="29"/>
      <c r="E12740" s="20"/>
      <c r="F12740" s="20"/>
      <c r="AC12740" s="20"/>
      <c r="AG12740" s="32"/>
    </row>
    <row r="12741" spans="2:33">
      <c r="B12741" s="29"/>
      <c r="D12741" s="29"/>
      <c r="E12741" s="20"/>
      <c r="F12741" s="20"/>
      <c r="AC12741" s="20"/>
      <c r="AG12741" s="32"/>
    </row>
    <row r="12742" spans="2:33">
      <c r="B12742" s="29"/>
      <c r="D12742" s="29"/>
      <c r="E12742" s="20"/>
      <c r="F12742" s="20"/>
      <c r="AC12742" s="20"/>
      <c r="AG12742" s="32"/>
    </row>
    <row r="12743" spans="2:33">
      <c r="B12743" s="29"/>
      <c r="D12743" s="29"/>
      <c r="E12743" s="20"/>
      <c r="F12743" s="20"/>
      <c r="AC12743" s="20"/>
      <c r="AG12743" s="32"/>
    </row>
    <row r="12744" spans="2:33">
      <c r="B12744" s="29"/>
      <c r="D12744" s="29"/>
      <c r="E12744" s="20"/>
      <c r="F12744" s="20"/>
      <c r="AC12744" s="20"/>
      <c r="AG12744" s="32"/>
    </row>
    <row r="12745" spans="2:33">
      <c r="B12745" s="29"/>
      <c r="D12745" s="29"/>
      <c r="E12745" s="20"/>
      <c r="F12745" s="20"/>
      <c r="AC12745" s="20"/>
      <c r="AG12745" s="32"/>
    </row>
    <row r="12746" spans="2:33">
      <c r="B12746" s="29"/>
      <c r="D12746" s="29"/>
      <c r="E12746" s="20"/>
      <c r="F12746" s="20"/>
      <c r="AC12746" s="20"/>
      <c r="AG12746" s="32"/>
    </row>
    <row r="12747" spans="2:33">
      <c r="B12747" s="29"/>
      <c r="D12747" s="29"/>
      <c r="E12747" s="20"/>
      <c r="F12747" s="20"/>
      <c r="AC12747" s="20"/>
      <c r="AG12747" s="32"/>
    </row>
    <row r="12748" spans="2:33">
      <c r="B12748" s="29"/>
      <c r="D12748" s="29"/>
      <c r="E12748" s="20"/>
      <c r="F12748" s="20"/>
      <c r="AC12748" s="20"/>
      <c r="AG12748" s="32"/>
    </row>
    <row r="12749" spans="2:33">
      <c r="B12749" s="29"/>
      <c r="D12749" s="29"/>
      <c r="E12749" s="20"/>
      <c r="F12749" s="20"/>
      <c r="AC12749" s="20"/>
      <c r="AG12749" s="32"/>
    </row>
    <row r="12750" spans="2:33">
      <c r="B12750" s="29"/>
      <c r="D12750" s="29"/>
      <c r="E12750" s="20"/>
      <c r="F12750" s="20"/>
      <c r="AC12750" s="20"/>
      <c r="AG12750" s="32"/>
    </row>
    <row r="12751" spans="2:33">
      <c r="B12751" s="29"/>
      <c r="D12751" s="29"/>
      <c r="E12751" s="20"/>
      <c r="F12751" s="20"/>
      <c r="AC12751" s="20"/>
      <c r="AG12751" s="32"/>
    </row>
    <row r="12752" spans="2:33">
      <c r="B12752" s="29"/>
      <c r="D12752" s="29"/>
      <c r="E12752" s="20"/>
      <c r="F12752" s="20"/>
      <c r="AC12752" s="20"/>
      <c r="AG12752" s="32"/>
    </row>
    <row r="12753" spans="2:33">
      <c r="B12753" s="29"/>
      <c r="D12753" s="29"/>
      <c r="E12753" s="20"/>
      <c r="F12753" s="20"/>
      <c r="AC12753" s="20"/>
      <c r="AG12753" s="32"/>
    </row>
    <row r="12754" spans="2:33">
      <c r="B12754" s="29"/>
      <c r="D12754" s="29"/>
      <c r="E12754" s="20"/>
      <c r="F12754" s="20"/>
      <c r="AC12754" s="20"/>
      <c r="AG12754" s="32"/>
    </row>
    <row r="12755" spans="2:33">
      <c r="B12755" s="29"/>
      <c r="D12755" s="29"/>
      <c r="E12755" s="20"/>
      <c r="F12755" s="20"/>
      <c r="AC12755" s="20"/>
      <c r="AG12755" s="32"/>
    </row>
    <row r="12756" spans="2:33">
      <c r="B12756" s="29"/>
      <c r="D12756" s="29"/>
      <c r="E12756" s="20"/>
      <c r="F12756" s="20"/>
      <c r="AC12756" s="20"/>
      <c r="AG12756" s="32"/>
    </row>
    <row r="12757" spans="2:33">
      <c r="B12757" s="29"/>
      <c r="D12757" s="29"/>
      <c r="E12757" s="20"/>
      <c r="F12757" s="20"/>
      <c r="AC12757" s="20"/>
      <c r="AG12757" s="32"/>
    </row>
    <row r="12758" spans="2:33">
      <c r="B12758" s="29"/>
      <c r="D12758" s="29"/>
      <c r="E12758" s="20"/>
      <c r="F12758" s="20"/>
      <c r="AC12758" s="20"/>
      <c r="AG12758" s="32"/>
    </row>
    <row r="12759" spans="2:33">
      <c r="B12759" s="29"/>
      <c r="D12759" s="29"/>
      <c r="E12759" s="20"/>
      <c r="F12759" s="20"/>
      <c r="AC12759" s="20"/>
      <c r="AG12759" s="32"/>
    </row>
    <row r="12760" spans="2:33">
      <c r="B12760" s="29"/>
      <c r="D12760" s="29"/>
      <c r="E12760" s="20"/>
      <c r="F12760" s="20"/>
      <c r="AC12760" s="20"/>
      <c r="AG12760" s="32"/>
    </row>
    <row r="12761" spans="2:33">
      <c r="B12761" s="29"/>
      <c r="D12761" s="29"/>
      <c r="E12761" s="20"/>
      <c r="F12761" s="20"/>
      <c r="AC12761" s="20"/>
      <c r="AG12761" s="32"/>
    </row>
    <row r="12762" spans="2:33">
      <c r="B12762" s="29"/>
      <c r="D12762" s="29"/>
      <c r="E12762" s="20"/>
      <c r="F12762" s="20"/>
      <c r="AC12762" s="20"/>
      <c r="AG12762" s="32"/>
    </row>
    <row r="12763" spans="2:33">
      <c r="B12763" s="29"/>
      <c r="D12763" s="29"/>
      <c r="E12763" s="20"/>
      <c r="F12763" s="20"/>
      <c r="AC12763" s="20"/>
      <c r="AG12763" s="32"/>
    </row>
    <row r="12764" spans="2:33">
      <c r="B12764" s="29"/>
      <c r="D12764" s="29"/>
      <c r="E12764" s="20"/>
      <c r="F12764" s="20"/>
      <c r="AC12764" s="20"/>
      <c r="AG12764" s="32"/>
    </row>
    <row r="12765" spans="2:33">
      <c r="B12765" s="29"/>
      <c r="D12765" s="29"/>
      <c r="E12765" s="20"/>
      <c r="F12765" s="20"/>
      <c r="AC12765" s="20"/>
      <c r="AG12765" s="32"/>
    </row>
    <row r="12766" spans="2:33">
      <c r="B12766" s="29"/>
      <c r="D12766" s="29"/>
      <c r="E12766" s="20"/>
      <c r="F12766" s="20"/>
      <c r="AC12766" s="20"/>
      <c r="AG12766" s="32"/>
    </row>
    <row r="12767" spans="2:33">
      <c r="B12767" s="29"/>
      <c r="D12767" s="29"/>
      <c r="E12767" s="20"/>
      <c r="F12767" s="20"/>
      <c r="AC12767" s="20"/>
      <c r="AG12767" s="32"/>
    </row>
    <row r="12768" spans="2:33">
      <c r="B12768" s="29"/>
      <c r="D12768" s="29"/>
      <c r="E12768" s="20"/>
      <c r="F12768" s="20"/>
      <c r="AC12768" s="20"/>
      <c r="AG12768" s="32"/>
    </row>
    <row r="12769" spans="2:33">
      <c r="B12769" s="29"/>
      <c r="D12769" s="29"/>
      <c r="E12769" s="20"/>
      <c r="F12769" s="20"/>
      <c r="AC12769" s="20"/>
      <c r="AG12769" s="32"/>
    </row>
    <row r="12770" spans="2:33">
      <c r="B12770" s="29"/>
      <c r="D12770" s="29"/>
      <c r="E12770" s="20"/>
      <c r="F12770" s="20"/>
      <c r="AC12770" s="20"/>
      <c r="AG12770" s="32"/>
    </row>
    <row r="12771" spans="2:33">
      <c r="B12771" s="29"/>
      <c r="D12771" s="29"/>
      <c r="E12771" s="20"/>
      <c r="F12771" s="20"/>
      <c r="AC12771" s="20"/>
      <c r="AG12771" s="32"/>
    </row>
    <row r="12772" spans="2:33">
      <c r="B12772" s="29"/>
      <c r="D12772" s="29"/>
      <c r="E12772" s="20"/>
      <c r="F12772" s="20"/>
      <c r="AC12772" s="20"/>
      <c r="AG12772" s="32"/>
    </row>
    <row r="12773" spans="2:33">
      <c r="B12773" s="29"/>
      <c r="D12773" s="29"/>
      <c r="E12773" s="20"/>
      <c r="F12773" s="20"/>
      <c r="AC12773" s="20"/>
      <c r="AG12773" s="32"/>
    </row>
    <row r="12774" spans="2:33">
      <c r="B12774" s="29"/>
      <c r="D12774" s="29"/>
      <c r="E12774" s="20"/>
      <c r="F12774" s="20"/>
      <c r="AC12774" s="20"/>
      <c r="AG12774" s="32"/>
    </row>
    <row r="12775" spans="2:33">
      <c r="B12775" s="29"/>
      <c r="D12775" s="29"/>
      <c r="E12775" s="20"/>
      <c r="F12775" s="20"/>
      <c r="AC12775" s="20"/>
      <c r="AG12775" s="32"/>
    </row>
    <row r="12776" spans="2:33">
      <c r="B12776" s="29"/>
      <c r="D12776" s="29"/>
      <c r="E12776" s="20"/>
      <c r="F12776" s="20"/>
      <c r="AC12776" s="20"/>
      <c r="AG12776" s="32"/>
    </row>
    <row r="12777" spans="2:33">
      <c r="B12777" s="29"/>
      <c r="D12777" s="29"/>
      <c r="E12777" s="20"/>
      <c r="F12777" s="20"/>
      <c r="AC12777" s="20"/>
      <c r="AG12777" s="32"/>
    </row>
    <row r="12778" spans="2:33">
      <c r="B12778" s="29"/>
      <c r="D12778" s="29"/>
      <c r="E12778" s="20"/>
      <c r="F12778" s="20"/>
      <c r="AC12778" s="20"/>
      <c r="AG12778" s="32"/>
    </row>
    <row r="12779" spans="2:33">
      <c r="B12779" s="29"/>
      <c r="D12779" s="29"/>
      <c r="E12779" s="20"/>
      <c r="F12779" s="20"/>
      <c r="AC12779" s="20"/>
      <c r="AG12779" s="32"/>
    </row>
    <row r="12780" spans="2:33">
      <c r="B12780" s="29"/>
      <c r="D12780" s="29"/>
      <c r="E12780" s="20"/>
      <c r="F12780" s="20"/>
      <c r="AC12780" s="20"/>
      <c r="AG12780" s="32"/>
    </row>
    <row r="12781" spans="2:33">
      <c r="B12781" s="29"/>
      <c r="D12781" s="29"/>
      <c r="E12781" s="20"/>
      <c r="F12781" s="20"/>
      <c r="AC12781" s="20"/>
      <c r="AG12781" s="32"/>
    </row>
    <row r="12782" spans="2:33">
      <c r="B12782" s="29"/>
      <c r="D12782" s="29"/>
      <c r="E12782" s="20"/>
      <c r="F12782" s="20"/>
      <c r="AC12782" s="20"/>
      <c r="AG12782" s="32"/>
    </row>
    <row r="12783" spans="2:33">
      <c r="B12783" s="29"/>
      <c r="D12783" s="29"/>
      <c r="E12783" s="20"/>
      <c r="F12783" s="20"/>
      <c r="AC12783" s="20"/>
      <c r="AG12783" s="32"/>
    </row>
    <row r="12784" spans="2:33">
      <c r="B12784" s="29"/>
      <c r="D12784" s="29"/>
      <c r="E12784" s="20"/>
      <c r="F12784" s="20"/>
      <c r="AC12784" s="20"/>
      <c r="AG12784" s="32"/>
    </row>
    <row r="12785" spans="2:33">
      <c r="B12785" s="29"/>
      <c r="D12785" s="29"/>
      <c r="E12785" s="20"/>
      <c r="F12785" s="20"/>
      <c r="AC12785" s="20"/>
      <c r="AG12785" s="32"/>
    </row>
    <row r="12786" spans="2:33">
      <c r="B12786" s="29"/>
      <c r="D12786" s="29"/>
      <c r="E12786" s="20"/>
      <c r="F12786" s="20"/>
      <c r="AC12786" s="20"/>
      <c r="AG12786" s="32"/>
    </row>
    <row r="12787" spans="2:33">
      <c r="B12787" s="29"/>
      <c r="D12787" s="29"/>
      <c r="E12787" s="20"/>
      <c r="F12787" s="20"/>
      <c r="AC12787" s="20"/>
      <c r="AG12787" s="32"/>
    </row>
    <row r="12788" spans="2:33">
      <c r="B12788" s="29"/>
      <c r="D12788" s="29"/>
      <c r="E12788" s="20"/>
      <c r="F12788" s="20"/>
      <c r="AC12788" s="20"/>
      <c r="AG12788" s="32"/>
    </row>
    <row r="12789" spans="2:33">
      <c r="B12789" s="29"/>
      <c r="D12789" s="29"/>
      <c r="E12789" s="20"/>
      <c r="F12789" s="20"/>
      <c r="AC12789" s="20"/>
      <c r="AG12789" s="32"/>
    </row>
    <row r="12790" spans="2:33">
      <c r="B12790" s="29"/>
      <c r="D12790" s="29"/>
      <c r="E12790" s="20"/>
      <c r="F12790" s="20"/>
      <c r="AC12790" s="20"/>
      <c r="AG12790" s="32"/>
    </row>
    <row r="12791" spans="2:33">
      <c r="B12791" s="29"/>
      <c r="D12791" s="29"/>
      <c r="E12791" s="20"/>
      <c r="F12791" s="20"/>
      <c r="AC12791" s="20"/>
      <c r="AG12791" s="32"/>
    </row>
    <row r="12792" spans="2:33">
      <c r="B12792" s="29"/>
      <c r="D12792" s="29"/>
      <c r="E12792" s="20"/>
      <c r="F12792" s="20"/>
      <c r="AC12792" s="20"/>
      <c r="AG12792" s="32"/>
    </row>
    <row r="12793" spans="2:33">
      <c r="B12793" s="29"/>
      <c r="D12793" s="29"/>
      <c r="E12793" s="20"/>
      <c r="F12793" s="20"/>
      <c r="AC12793" s="20"/>
      <c r="AG12793" s="32"/>
    </row>
    <row r="12794" spans="2:33">
      <c r="B12794" s="29"/>
      <c r="D12794" s="29"/>
      <c r="E12794" s="20"/>
      <c r="F12794" s="20"/>
      <c r="AC12794" s="20"/>
      <c r="AG12794" s="32"/>
    </row>
    <row r="12795" spans="2:33">
      <c r="B12795" s="29"/>
      <c r="D12795" s="29"/>
      <c r="E12795" s="20"/>
      <c r="F12795" s="20"/>
      <c r="AC12795" s="20"/>
      <c r="AG12795" s="32"/>
    </row>
    <row r="12796" spans="2:33">
      <c r="B12796" s="29"/>
      <c r="D12796" s="29"/>
      <c r="E12796" s="20"/>
      <c r="F12796" s="20"/>
      <c r="AC12796" s="20"/>
      <c r="AG12796" s="32"/>
    </row>
    <row r="12797" spans="2:33">
      <c r="B12797" s="29"/>
      <c r="D12797" s="29"/>
      <c r="E12797" s="20"/>
      <c r="F12797" s="20"/>
      <c r="AC12797" s="20"/>
      <c r="AG12797" s="32"/>
    </row>
    <row r="12798" spans="2:33">
      <c r="B12798" s="29"/>
      <c r="D12798" s="29"/>
      <c r="E12798" s="20"/>
      <c r="F12798" s="20"/>
      <c r="AC12798" s="20"/>
      <c r="AG12798" s="32"/>
    </row>
    <row r="12799" spans="2:33">
      <c r="B12799" s="29"/>
      <c r="D12799" s="29"/>
      <c r="E12799" s="20"/>
      <c r="F12799" s="20"/>
      <c r="AC12799" s="20"/>
      <c r="AG12799" s="32"/>
    </row>
    <row r="12800" spans="2:33">
      <c r="B12800" s="29"/>
      <c r="D12800" s="29"/>
      <c r="E12800" s="20"/>
      <c r="F12800" s="20"/>
      <c r="AC12800" s="20"/>
      <c r="AG12800" s="32"/>
    </row>
    <row r="12801" spans="2:33">
      <c r="B12801" s="29"/>
      <c r="D12801" s="29"/>
      <c r="E12801" s="20"/>
      <c r="F12801" s="20"/>
      <c r="AC12801" s="20"/>
      <c r="AG12801" s="32"/>
    </row>
    <row r="12802" spans="2:33">
      <c r="B12802" s="29"/>
      <c r="D12802" s="29"/>
      <c r="E12802" s="20"/>
      <c r="F12802" s="20"/>
      <c r="AC12802" s="20"/>
      <c r="AG12802" s="32"/>
    </row>
    <row r="12803" spans="2:33">
      <c r="B12803" s="29"/>
      <c r="D12803" s="29"/>
      <c r="E12803" s="20"/>
      <c r="F12803" s="20"/>
      <c r="AC12803" s="20"/>
      <c r="AG12803" s="32"/>
    </row>
    <row r="12804" spans="2:33">
      <c r="B12804" s="29"/>
      <c r="D12804" s="29"/>
      <c r="E12804" s="20"/>
      <c r="F12804" s="20"/>
      <c r="AC12804" s="20"/>
      <c r="AG12804" s="32"/>
    </row>
    <row r="12805" spans="2:33">
      <c r="B12805" s="29"/>
      <c r="D12805" s="29"/>
      <c r="E12805" s="20"/>
      <c r="F12805" s="20"/>
      <c r="AC12805" s="20"/>
      <c r="AG12805" s="32"/>
    </row>
    <row r="12806" spans="2:33">
      <c r="B12806" s="29"/>
      <c r="D12806" s="29"/>
      <c r="E12806" s="20"/>
      <c r="F12806" s="20"/>
      <c r="AC12806" s="20"/>
      <c r="AG12806" s="32"/>
    </row>
    <row r="12807" spans="2:33">
      <c r="B12807" s="29"/>
      <c r="D12807" s="29"/>
      <c r="E12807" s="20"/>
      <c r="F12807" s="20"/>
      <c r="AC12807" s="20"/>
      <c r="AG12807" s="32"/>
    </row>
    <row r="12808" spans="2:33">
      <c r="B12808" s="29"/>
      <c r="D12808" s="29"/>
      <c r="E12808" s="20"/>
      <c r="F12808" s="20"/>
      <c r="AC12808" s="20"/>
      <c r="AG12808" s="32"/>
    </row>
    <row r="12809" spans="2:33">
      <c r="B12809" s="29"/>
      <c r="D12809" s="29"/>
      <c r="E12809" s="20"/>
      <c r="F12809" s="20"/>
      <c r="AC12809" s="20"/>
      <c r="AG12809" s="32"/>
    </row>
    <row r="12810" spans="2:33">
      <c r="B12810" s="29"/>
      <c r="D12810" s="29"/>
      <c r="E12810" s="20"/>
      <c r="F12810" s="20"/>
      <c r="AC12810" s="20"/>
      <c r="AG12810" s="32"/>
    </row>
    <row r="12811" spans="2:33">
      <c r="B12811" s="29"/>
      <c r="D12811" s="29"/>
      <c r="E12811" s="20"/>
      <c r="F12811" s="20"/>
      <c r="AC12811" s="20"/>
      <c r="AG12811" s="32"/>
    </row>
    <row r="12812" spans="2:33">
      <c r="B12812" s="29"/>
      <c r="D12812" s="29"/>
      <c r="E12812" s="20"/>
      <c r="F12812" s="20"/>
      <c r="AC12812" s="20"/>
      <c r="AG12812" s="32"/>
    </row>
    <row r="12813" spans="2:33">
      <c r="B12813" s="29"/>
      <c r="D12813" s="29"/>
      <c r="E12813" s="20"/>
      <c r="F12813" s="20"/>
      <c r="AC12813" s="20"/>
      <c r="AG12813" s="32"/>
    </row>
    <row r="12814" spans="2:33">
      <c r="B12814" s="29"/>
      <c r="D12814" s="29"/>
      <c r="E12814" s="20"/>
      <c r="F12814" s="20"/>
      <c r="AC12814" s="20"/>
      <c r="AG12814" s="32"/>
    </row>
    <row r="12815" spans="2:33">
      <c r="B12815" s="29"/>
      <c r="D12815" s="29"/>
      <c r="E12815" s="20"/>
      <c r="F12815" s="20"/>
      <c r="AC12815" s="20"/>
      <c r="AG12815" s="32"/>
    </row>
    <row r="12816" spans="2:33">
      <c r="B12816" s="29"/>
      <c r="D12816" s="29"/>
      <c r="E12816" s="20"/>
      <c r="F12816" s="20"/>
      <c r="AC12816" s="20"/>
      <c r="AG12816" s="32"/>
    </row>
    <row r="12817" spans="2:33">
      <c r="B12817" s="29"/>
      <c r="D12817" s="29"/>
      <c r="E12817" s="20"/>
      <c r="F12817" s="20"/>
      <c r="AC12817" s="20"/>
      <c r="AG12817" s="32"/>
    </row>
    <row r="12818" spans="2:33">
      <c r="B12818" s="29"/>
      <c r="D12818" s="29"/>
      <c r="E12818" s="20"/>
      <c r="F12818" s="20"/>
      <c r="AC12818" s="20"/>
      <c r="AG12818" s="32"/>
    </row>
    <row r="12819" spans="2:33">
      <c r="B12819" s="29"/>
      <c r="D12819" s="29"/>
      <c r="E12819" s="20"/>
      <c r="F12819" s="20"/>
      <c r="AC12819" s="20"/>
      <c r="AG12819" s="32"/>
    </row>
    <row r="12820" spans="2:33">
      <c r="B12820" s="29"/>
      <c r="D12820" s="29"/>
      <c r="E12820" s="20"/>
      <c r="F12820" s="20"/>
      <c r="AC12820" s="20"/>
      <c r="AG12820" s="32"/>
    </row>
    <row r="12821" spans="2:33">
      <c r="B12821" s="29"/>
      <c r="D12821" s="29"/>
      <c r="E12821" s="20"/>
      <c r="F12821" s="20"/>
      <c r="AC12821" s="20"/>
      <c r="AG12821" s="32"/>
    </row>
    <row r="12822" spans="2:33">
      <c r="B12822" s="29"/>
      <c r="D12822" s="29"/>
      <c r="E12822" s="20"/>
      <c r="F12822" s="20"/>
      <c r="AC12822" s="20"/>
      <c r="AG12822" s="32"/>
    </row>
    <row r="12823" spans="2:33">
      <c r="B12823" s="29"/>
      <c r="D12823" s="29"/>
      <c r="E12823" s="20"/>
      <c r="F12823" s="20"/>
      <c r="AC12823" s="20"/>
      <c r="AG12823" s="32"/>
    </row>
    <row r="12824" spans="2:33">
      <c r="B12824" s="29"/>
      <c r="D12824" s="29"/>
      <c r="E12824" s="20"/>
      <c r="F12824" s="20"/>
      <c r="AC12824" s="20"/>
      <c r="AG12824" s="32"/>
    </row>
    <row r="12825" spans="2:33">
      <c r="B12825" s="29"/>
      <c r="D12825" s="29"/>
      <c r="E12825" s="20"/>
      <c r="F12825" s="20"/>
      <c r="AC12825" s="20"/>
      <c r="AG12825" s="32"/>
    </row>
    <row r="12826" spans="2:33">
      <c r="B12826" s="29"/>
      <c r="D12826" s="29"/>
      <c r="E12826" s="20"/>
      <c r="F12826" s="20"/>
      <c r="AC12826" s="20"/>
      <c r="AG12826" s="32"/>
    </row>
    <row r="12827" spans="2:33">
      <c r="B12827" s="29"/>
      <c r="D12827" s="29"/>
      <c r="E12827" s="20"/>
      <c r="F12827" s="20"/>
      <c r="AC12827" s="20"/>
      <c r="AG12827" s="32"/>
    </row>
    <row r="12828" spans="2:33">
      <c r="B12828" s="29"/>
      <c r="D12828" s="29"/>
      <c r="E12828" s="20"/>
      <c r="F12828" s="20"/>
      <c r="AC12828" s="20"/>
      <c r="AG12828" s="32"/>
    </row>
    <row r="12829" spans="2:33">
      <c r="B12829" s="29"/>
      <c r="D12829" s="29"/>
      <c r="E12829" s="20"/>
      <c r="F12829" s="20"/>
      <c r="AC12829" s="20"/>
      <c r="AG12829" s="32"/>
    </row>
    <row r="12830" spans="2:33">
      <c r="B12830" s="29"/>
      <c r="D12830" s="29"/>
      <c r="E12830" s="20"/>
      <c r="F12830" s="20"/>
      <c r="AC12830" s="20"/>
      <c r="AG12830" s="32"/>
    </row>
    <row r="12831" spans="2:33">
      <c r="B12831" s="29"/>
      <c r="D12831" s="29"/>
      <c r="E12831" s="20"/>
      <c r="F12831" s="20"/>
      <c r="AC12831" s="20"/>
      <c r="AG12831" s="32"/>
    </row>
    <row r="12832" spans="2:33">
      <c r="B12832" s="29"/>
      <c r="D12832" s="29"/>
      <c r="E12832" s="20"/>
      <c r="F12832" s="20"/>
      <c r="AC12832" s="20"/>
      <c r="AG12832" s="32"/>
    </row>
    <row r="12833" spans="2:33">
      <c r="B12833" s="29"/>
      <c r="D12833" s="29"/>
      <c r="E12833" s="20"/>
      <c r="F12833" s="20"/>
      <c r="AC12833" s="20"/>
      <c r="AG12833" s="32"/>
    </row>
    <row r="12834" spans="2:33">
      <c r="B12834" s="29"/>
      <c r="D12834" s="29"/>
      <c r="E12834" s="20"/>
      <c r="F12834" s="20"/>
      <c r="AC12834" s="20"/>
      <c r="AG12834" s="32"/>
    </row>
    <row r="12835" spans="2:33">
      <c r="B12835" s="29"/>
      <c r="D12835" s="29"/>
      <c r="E12835" s="20"/>
      <c r="F12835" s="20"/>
      <c r="AC12835" s="20"/>
      <c r="AG12835" s="32"/>
    </row>
    <row r="12836" spans="2:33">
      <c r="B12836" s="29"/>
      <c r="D12836" s="29"/>
      <c r="E12836" s="20"/>
      <c r="F12836" s="20"/>
      <c r="AC12836" s="20"/>
      <c r="AG12836" s="32"/>
    </row>
    <row r="12837" spans="2:33">
      <c r="B12837" s="29"/>
      <c r="D12837" s="29"/>
      <c r="E12837" s="20"/>
      <c r="F12837" s="20"/>
      <c r="AC12837" s="20"/>
      <c r="AG12837" s="32"/>
    </row>
    <row r="12838" spans="2:33">
      <c r="B12838" s="29"/>
      <c r="D12838" s="29"/>
      <c r="E12838" s="20"/>
      <c r="F12838" s="20"/>
      <c r="AC12838" s="20"/>
      <c r="AG12838" s="32"/>
    </row>
    <row r="12839" spans="2:33">
      <c r="B12839" s="29"/>
      <c r="D12839" s="29"/>
      <c r="E12839" s="20"/>
      <c r="F12839" s="20"/>
      <c r="AC12839" s="20"/>
      <c r="AG12839" s="32"/>
    </row>
    <row r="12840" spans="2:33">
      <c r="B12840" s="29"/>
      <c r="D12840" s="29"/>
      <c r="E12840" s="20"/>
      <c r="F12840" s="20"/>
      <c r="AC12840" s="20"/>
      <c r="AG12840" s="32"/>
    </row>
    <row r="12841" spans="2:33">
      <c r="B12841" s="29"/>
      <c r="D12841" s="29"/>
      <c r="E12841" s="20"/>
      <c r="F12841" s="20"/>
      <c r="AC12841" s="20"/>
      <c r="AG12841" s="32"/>
    </row>
    <row r="12842" spans="2:33">
      <c r="B12842" s="29"/>
      <c r="D12842" s="29"/>
      <c r="E12842" s="20"/>
      <c r="F12842" s="20"/>
      <c r="AC12842" s="20"/>
      <c r="AG12842" s="32"/>
    </row>
    <row r="12843" spans="2:33">
      <c r="B12843" s="29"/>
      <c r="D12843" s="29"/>
      <c r="E12843" s="20"/>
      <c r="F12843" s="20"/>
      <c r="AC12843" s="20"/>
      <c r="AG12843" s="32"/>
    </row>
    <row r="12844" spans="2:33">
      <c r="B12844" s="29"/>
      <c r="D12844" s="29"/>
      <c r="E12844" s="20"/>
      <c r="F12844" s="20"/>
      <c r="AC12844" s="20"/>
      <c r="AG12844" s="32"/>
    </row>
    <row r="12845" spans="2:33">
      <c r="B12845" s="29"/>
      <c r="D12845" s="29"/>
      <c r="E12845" s="20"/>
      <c r="F12845" s="20"/>
      <c r="AC12845" s="20"/>
      <c r="AG12845" s="32"/>
    </row>
    <row r="12846" spans="2:33">
      <c r="B12846" s="29"/>
      <c r="D12846" s="29"/>
      <c r="E12846" s="20"/>
      <c r="F12846" s="20"/>
      <c r="AC12846" s="20"/>
      <c r="AG12846" s="32"/>
    </row>
    <row r="12847" spans="2:33">
      <c r="B12847" s="29"/>
      <c r="D12847" s="29"/>
      <c r="E12847" s="20"/>
      <c r="F12847" s="20"/>
      <c r="AC12847" s="20"/>
      <c r="AG12847" s="32"/>
    </row>
    <row r="12848" spans="2:33">
      <c r="B12848" s="29"/>
      <c r="D12848" s="29"/>
      <c r="E12848" s="20"/>
      <c r="F12848" s="20"/>
      <c r="AC12848" s="20"/>
      <c r="AG12848" s="32"/>
    </row>
    <row r="12849" spans="2:33">
      <c r="B12849" s="29"/>
      <c r="D12849" s="29"/>
      <c r="E12849" s="20"/>
      <c r="F12849" s="20"/>
      <c r="AC12849" s="20"/>
      <c r="AG12849" s="32"/>
    </row>
    <row r="12850" spans="2:33">
      <c r="B12850" s="29"/>
      <c r="D12850" s="29"/>
      <c r="E12850" s="20"/>
      <c r="F12850" s="20"/>
      <c r="AC12850" s="20"/>
      <c r="AG12850" s="32"/>
    </row>
    <row r="12851" spans="2:33">
      <c r="B12851" s="29"/>
      <c r="D12851" s="29"/>
      <c r="E12851" s="20"/>
      <c r="F12851" s="20"/>
      <c r="AC12851" s="20"/>
      <c r="AG12851" s="32"/>
    </row>
    <row r="12852" spans="2:33">
      <c r="B12852" s="29"/>
      <c r="D12852" s="29"/>
      <c r="E12852" s="20"/>
      <c r="F12852" s="20"/>
      <c r="AC12852" s="20"/>
      <c r="AG12852" s="32"/>
    </row>
    <row r="12853" spans="2:33">
      <c r="B12853" s="29"/>
      <c r="D12853" s="29"/>
      <c r="E12853" s="20"/>
      <c r="F12853" s="20"/>
      <c r="AC12853" s="20"/>
      <c r="AG12853" s="32"/>
    </row>
    <row r="12854" spans="2:33">
      <c r="B12854" s="29"/>
      <c r="D12854" s="29"/>
      <c r="E12854" s="20"/>
      <c r="F12854" s="20"/>
      <c r="AC12854" s="20"/>
      <c r="AG12854" s="32"/>
    </row>
    <row r="12855" spans="2:33">
      <c r="B12855" s="29"/>
      <c r="D12855" s="29"/>
      <c r="E12855" s="20"/>
      <c r="F12855" s="20"/>
      <c r="AC12855" s="20"/>
      <c r="AG12855" s="32"/>
    </row>
    <row r="12856" spans="2:33">
      <c r="B12856" s="29"/>
      <c r="D12856" s="29"/>
      <c r="E12856" s="20"/>
      <c r="F12856" s="20"/>
      <c r="AC12856" s="20"/>
      <c r="AG12856" s="32"/>
    </row>
    <row r="12857" spans="2:33">
      <c r="B12857" s="29"/>
      <c r="D12857" s="29"/>
      <c r="E12857" s="20"/>
      <c r="F12857" s="20"/>
      <c r="AC12857" s="20"/>
      <c r="AG12857" s="32"/>
    </row>
    <row r="12858" spans="2:33">
      <c r="B12858" s="29"/>
      <c r="D12858" s="29"/>
      <c r="E12858" s="20"/>
      <c r="F12858" s="20"/>
      <c r="AC12858" s="20"/>
      <c r="AG12858" s="32"/>
    </row>
    <row r="12859" spans="2:33">
      <c r="B12859" s="29"/>
      <c r="D12859" s="29"/>
      <c r="E12859" s="20"/>
      <c r="F12859" s="20"/>
      <c r="AC12859" s="20"/>
      <c r="AG12859" s="32"/>
    </row>
    <row r="12860" spans="2:33">
      <c r="B12860" s="29"/>
      <c r="D12860" s="29"/>
      <c r="E12860" s="20"/>
      <c r="F12860" s="20"/>
      <c r="AC12860" s="20"/>
      <c r="AG12860" s="32"/>
    </row>
    <row r="12861" spans="2:33">
      <c r="B12861" s="29"/>
      <c r="D12861" s="29"/>
      <c r="E12861" s="20"/>
      <c r="F12861" s="20"/>
      <c r="AC12861" s="20"/>
      <c r="AG12861" s="32"/>
    </row>
    <row r="12862" spans="2:33">
      <c r="B12862" s="29"/>
      <c r="D12862" s="29"/>
      <c r="E12862" s="20"/>
      <c r="F12862" s="20"/>
      <c r="AC12862" s="20"/>
      <c r="AG12862" s="32"/>
    </row>
    <row r="12863" spans="2:33">
      <c r="B12863" s="29"/>
      <c r="D12863" s="29"/>
      <c r="E12863" s="20"/>
      <c r="F12863" s="20"/>
      <c r="AC12863" s="20"/>
      <c r="AG12863" s="32"/>
    </row>
    <row r="12864" spans="2:33">
      <c r="B12864" s="29"/>
      <c r="D12864" s="29"/>
      <c r="E12864" s="20"/>
      <c r="F12864" s="20"/>
      <c r="AC12864" s="20"/>
      <c r="AG12864" s="32"/>
    </row>
    <row r="12865" spans="2:33">
      <c r="B12865" s="29"/>
      <c r="D12865" s="29"/>
      <c r="E12865" s="20"/>
      <c r="F12865" s="20"/>
      <c r="AC12865" s="20"/>
      <c r="AG12865" s="32"/>
    </row>
    <row r="12866" spans="2:33">
      <c r="B12866" s="29"/>
      <c r="D12866" s="29"/>
      <c r="E12866" s="20"/>
      <c r="F12866" s="20"/>
      <c r="AC12866" s="20"/>
      <c r="AG12866" s="32"/>
    </row>
    <row r="12867" spans="2:33">
      <c r="B12867" s="29"/>
      <c r="D12867" s="29"/>
      <c r="E12867" s="20"/>
      <c r="F12867" s="20"/>
      <c r="AC12867" s="20"/>
      <c r="AG12867" s="32"/>
    </row>
    <row r="12868" spans="2:33">
      <c r="B12868" s="29"/>
      <c r="D12868" s="29"/>
      <c r="E12868" s="20"/>
      <c r="F12868" s="20"/>
      <c r="AC12868" s="20"/>
      <c r="AG12868" s="32"/>
    </row>
    <row r="12869" spans="2:33">
      <c r="B12869" s="29"/>
      <c r="D12869" s="29"/>
      <c r="E12869" s="20"/>
      <c r="F12869" s="20"/>
      <c r="AC12869" s="20"/>
      <c r="AG12869" s="32"/>
    </row>
    <row r="12870" spans="2:33">
      <c r="B12870" s="29"/>
      <c r="D12870" s="29"/>
      <c r="E12870" s="20"/>
      <c r="F12870" s="20"/>
      <c r="AC12870" s="20"/>
      <c r="AG12870" s="32"/>
    </row>
    <row r="12871" spans="2:33">
      <c r="B12871" s="29"/>
      <c r="D12871" s="29"/>
      <c r="E12871" s="20"/>
      <c r="F12871" s="20"/>
      <c r="AC12871" s="20"/>
      <c r="AG12871" s="32"/>
    </row>
    <row r="12872" spans="2:33">
      <c r="B12872" s="29"/>
      <c r="D12872" s="29"/>
      <c r="E12872" s="20"/>
      <c r="F12872" s="20"/>
      <c r="AC12872" s="20"/>
      <c r="AG12872" s="32"/>
    </row>
    <row r="12873" spans="2:33">
      <c r="B12873" s="29"/>
      <c r="D12873" s="29"/>
      <c r="E12873" s="20"/>
      <c r="F12873" s="20"/>
      <c r="AC12873" s="20"/>
      <c r="AG12873" s="32"/>
    </row>
    <row r="12874" spans="2:33">
      <c r="B12874" s="29"/>
      <c r="D12874" s="29"/>
      <c r="E12874" s="20"/>
      <c r="F12874" s="20"/>
      <c r="AC12874" s="20"/>
      <c r="AG12874" s="32"/>
    </row>
    <row r="12875" spans="2:33">
      <c r="B12875" s="29"/>
      <c r="D12875" s="29"/>
      <c r="E12875" s="20"/>
      <c r="F12875" s="20"/>
      <c r="AC12875" s="20"/>
      <c r="AG12875" s="32"/>
    </row>
    <row r="12876" spans="2:33">
      <c r="B12876" s="29"/>
      <c r="D12876" s="29"/>
      <c r="E12876" s="20"/>
      <c r="F12876" s="20"/>
      <c r="AC12876" s="20"/>
      <c r="AG12876" s="32"/>
    </row>
    <row r="12877" spans="2:33">
      <c r="B12877" s="29"/>
      <c r="D12877" s="29"/>
      <c r="E12877" s="20"/>
      <c r="F12877" s="20"/>
      <c r="AC12877" s="20"/>
      <c r="AG12877" s="32"/>
    </row>
    <row r="12878" spans="2:33">
      <c r="B12878" s="29"/>
      <c r="D12878" s="29"/>
      <c r="E12878" s="20"/>
      <c r="F12878" s="20"/>
      <c r="AC12878" s="20"/>
      <c r="AG12878" s="32"/>
    </row>
    <row r="12879" spans="2:33">
      <c r="B12879" s="29"/>
      <c r="D12879" s="29"/>
      <c r="E12879" s="20"/>
      <c r="F12879" s="20"/>
      <c r="AC12879" s="20"/>
      <c r="AG12879" s="32"/>
    </row>
    <row r="12880" spans="2:33">
      <c r="B12880" s="29"/>
      <c r="D12880" s="29"/>
      <c r="E12880" s="20"/>
      <c r="F12880" s="20"/>
      <c r="AC12880" s="20"/>
      <c r="AG12880" s="32"/>
    </row>
    <row r="12881" spans="2:33">
      <c r="B12881" s="29"/>
      <c r="D12881" s="29"/>
      <c r="E12881" s="20"/>
      <c r="F12881" s="20"/>
      <c r="AC12881" s="20"/>
      <c r="AG12881" s="32"/>
    </row>
    <row r="12882" spans="2:33">
      <c r="B12882" s="29"/>
      <c r="D12882" s="29"/>
      <c r="E12882" s="20"/>
      <c r="F12882" s="20"/>
      <c r="AC12882" s="20"/>
      <c r="AG12882" s="32"/>
    </row>
    <row r="12883" spans="2:33">
      <c r="B12883" s="29"/>
      <c r="D12883" s="29"/>
      <c r="E12883" s="20"/>
      <c r="F12883" s="20"/>
      <c r="AC12883" s="20"/>
      <c r="AG12883" s="32"/>
    </row>
    <row r="12884" spans="2:33">
      <c r="B12884" s="29"/>
      <c r="D12884" s="29"/>
      <c r="E12884" s="20"/>
      <c r="F12884" s="20"/>
      <c r="AC12884" s="20"/>
      <c r="AG12884" s="32"/>
    </row>
    <row r="12885" spans="2:33">
      <c r="B12885" s="29"/>
      <c r="D12885" s="29"/>
      <c r="E12885" s="20"/>
      <c r="F12885" s="20"/>
      <c r="AC12885" s="20"/>
      <c r="AG12885" s="32"/>
    </row>
    <row r="12886" spans="2:33">
      <c r="B12886" s="29"/>
      <c r="D12886" s="29"/>
      <c r="E12886" s="20"/>
      <c r="F12886" s="20"/>
      <c r="AC12886" s="20"/>
      <c r="AG12886" s="32"/>
    </row>
    <row r="12887" spans="2:33">
      <c r="B12887" s="29"/>
      <c r="D12887" s="29"/>
      <c r="E12887" s="20"/>
      <c r="F12887" s="20"/>
      <c r="AC12887" s="20"/>
      <c r="AG12887" s="32"/>
    </row>
    <row r="12888" spans="2:33">
      <c r="B12888" s="29"/>
      <c r="D12888" s="29"/>
      <c r="E12888" s="20"/>
      <c r="F12888" s="20"/>
      <c r="AC12888" s="20"/>
      <c r="AG12888" s="32"/>
    </row>
    <row r="12889" spans="2:33">
      <c r="B12889" s="29"/>
      <c r="D12889" s="29"/>
      <c r="E12889" s="20"/>
      <c r="F12889" s="20"/>
      <c r="AC12889" s="20"/>
      <c r="AG12889" s="32"/>
    </row>
    <row r="12890" spans="2:33">
      <c r="B12890" s="29"/>
      <c r="D12890" s="29"/>
      <c r="E12890" s="20"/>
      <c r="F12890" s="20"/>
      <c r="AC12890" s="20"/>
      <c r="AG12890" s="32"/>
    </row>
    <row r="12891" spans="2:33">
      <c r="B12891" s="29"/>
      <c r="D12891" s="29"/>
      <c r="E12891" s="20"/>
      <c r="F12891" s="20"/>
      <c r="AC12891" s="20"/>
      <c r="AG12891" s="32"/>
    </row>
    <row r="12892" spans="2:33">
      <c r="B12892" s="29"/>
      <c r="D12892" s="29"/>
      <c r="E12892" s="20"/>
      <c r="F12892" s="20"/>
      <c r="AC12892" s="20"/>
      <c r="AG12892" s="32"/>
    </row>
    <row r="12893" spans="2:33">
      <c r="B12893" s="29"/>
      <c r="D12893" s="29"/>
      <c r="E12893" s="20"/>
      <c r="F12893" s="20"/>
      <c r="AC12893" s="20"/>
      <c r="AG12893" s="32"/>
    </row>
    <row r="12894" spans="2:33">
      <c r="B12894" s="29"/>
      <c r="D12894" s="29"/>
      <c r="E12894" s="20"/>
      <c r="F12894" s="20"/>
      <c r="AC12894" s="20"/>
      <c r="AG12894" s="32"/>
    </row>
    <row r="12895" spans="2:33">
      <c r="B12895" s="29"/>
      <c r="D12895" s="29"/>
      <c r="E12895" s="20"/>
      <c r="F12895" s="20"/>
      <c r="AC12895" s="20"/>
      <c r="AG12895" s="32"/>
    </row>
    <row r="12896" spans="2:33">
      <c r="B12896" s="29"/>
      <c r="D12896" s="29"/>
      <c r="E12896" s="20"/>
      <c r="F12896" s="20"/>
      <c r="AC12896" s="20"/>
      <c r="AG12896" s="32"/>
    </row>
    <row r="12897" spans="2:33">
      <c r="B12897" s="29"/>
      <c r="D12897" s="29"/>
      <c r="E12897" s="20"/>
      <c r="F12897" s="20"/>
      <c r="AC12897" s="20"/>
      <c r="AG12897" s="32"/>
    </row>
    <row r="12898" spans="2:33">
      <c r="B12898" s="29"/>
      <c r="D12898" s="29"/>
      <c r="E12898" s="20"/>
      <c r="F12898" s="20"/>
      <c r="AC12898" s="20"/>
      <c r="AG12898" s="32"/>
    </row>
    <row r="12899" spans="2:33">
      <c r="B12899" s="29"/>
      <c r="D12899" s="29"/>
      <c r="E12899" s="20"/>
      <c r="F12899" s="20"/>
      <c r="AC12899" s="20"/>
      <c r="AG12899" s="32"/>
    </row>
    <row r="12900" spans="2:33">
      <c r="B12900" s="29"/>
      <c r="D12900" s="29"/>
      <c r="E12900" s="20"/>
      <c r="F12900" s="20"/>
      <c r="AC12900" s="20"/>
      <c r="AG12900" s="32"/>
    </row>
    <row r="12901" spans="2:33">
      <c r="B12901" s="29"/>
      <c r="D12901" s="29"/>
      <c r="E12901" s="20"/>
      <c r="F12901" s="20"/>
      <c r="AC12901" s="20"/>
      <c r="AG12901" s="32"/>
    </row>
    <row r="12902" spans="2:33">
      <c r="B12902" s="29"/>
      <c r="D12902" s="29"/>
      <c r="E12902" s="20"/>
      <c r="F12902" s="20"/>
      <c r="AC12902" s="20"/>
      <c r="AG12902" s="32"/>
    </row>
    <row r="12903" spans="2:33">
      <c r="B12903" s="29"/>
      <c r="D12903" s="29"/>
      <c r="E12903" s="20"/>
      <c r="F12903" s="20"/>
      <c r="AC12903" s="20"/>
      <c r="AG12903" s="32"/>
    </row>
    <row r="12904" spans="2:33">
      <c r="B12904" s="29"/>
      <c r="D12904" s="29"/>
      <c r="E12904" s="20"/>
      <c r="F12904" s="20"/>
      <c r="AC12904" s="20"/>
      <c r="AG12904" s="32"/>
    </row>
    <row r="12905" spans="2:33">
      <c r="B12905" s="29"/>
      <c r="D12905" s="29"/>
      <c r="E12905" s="20"/>
      <c r="F12905" s="20"/>
      <c r="AC12905" s="20"/>
      <c r="AG12905" s="32"/>
    </row>
    <row r="12906" spans="2:33">
      <c r="B12906" s="29"/>
      <c r="D12906" s="29"/>
      <c r="E12906" s="20"/>
      <c r="F12906" s="20"/>
      <c r="AC12906" s="20"/>
      <c r="AG12906" s="32"/>
    </row>
    <row r="12907" spans="2:33">
      <c r="B12907" s="29"/>
      <c r="D12907" s="29"/>
      <c r="E12907" s="20"/>
      <c r="F12907" s="20"/>
      <c r="AC12907" s="20"/>
      <c r="AG12907" s="32"/>
    </row>
    <row r="12908" spans="2:33">
      <c r="B12908" s="29"/>
      <c r="D12908" s="29"/>
      <c r="E12908" s="20"/>
      <c r="F12908" s="20"/>
      <c r="AC12908" s="20"/>
      <c r="AG12908" s="32"/>
    </row>
    <row r="12909" spans="2:33">
      <c r="B12909" s="29"/>
      <c r="D12909" s="29"/>
      <c r="E12909" s="20"/>
      <c r="F12909" s="20"/>
      <c r="AC12909" s="20"/>
      <c r="AG12909" s="32"/>
    </row>
    <row r="12910" spans="2:33">
      <c r="B12910" s="29"/>
      <c r="D12910" s="29"/>
      <c r="E12910" s="20"/>
      <c r="F12910" s="20"/>
      <c r="AC12910" s="20"/>
      <c r="AG12910" s="32"/>
    </row>
    <row r="12911" spans="2:33">
      <c r="B12911" s="29"/>
      <c r="D12911" s="29"/>
      <c r="E12911" s="20"/>
      <c r="F12911" s="20"/>
      <c r="AC12911" s="20"/>
      <c r="AG12911" s="32"/>
    </row>
    <row r="12912" spans="2:33">
      <c r="B12912" s="29"/>
      <c r="D12912" s="29"/>
      <c r="E12912" s="20"/>
      <c r="F12912" s="20"/>
      <c r="AC12912" s="20"/>
      <c r="AG12912" s="32"/>
    </row>
    <row r="12913" spans="2:33">
      <c r="B12913" s="29"/>
      <c r="D12913" s="29"/>
      <c r="E12913" s="20"/>
      <c r="F12913" s="20"/>
      <c r="AC12913" s="20"/>
      <c r="AG12913" s="32"/>
    </row>
    <row r="12914" spans="2:33">
      <c r="B12914" s="29"/>
      <c r="D12914" s="29"/>
      <c r="E12914" s="20"/>
      <c r="F12914" s="20"/>
      <c r="AC12914" s="20"/>
      <c r="AG12914" s="32"/>
    </row>
    <row r="12915" spans="2:33">
      <c r="B12915" s="29"/>
      <c r="D12915" s="29"/>
      <c r="E12915" s="20"/>
      <c r="F12915" s="20"/>
      <c r="AC12915" s="20"/>
      <c r="AG12915" s="32"/>
    </row>
    <row r="12916" spans="2:33">
      <c r="B12916" s="29"/>
      <c r="D12916" s="29"/>
      <c r="E12916" s="20"/>
      <c r="F12916" s="20"/>
      <c r="AC12916" s="20"/>
      <c r="AG12916" s="32"/>
    </row>
    <row r="12917" spans="2:33">
      <c r="B12917" s="29"/>
      <c r="D12917" s="29"/>
      <c r="E12917" s="20"/>
      <c r="F12917" s="20"/>
      <c r="AC12917" s="20"/>
      <c r="AG12917" s="32"/>
    </row>
    <row r="12918" spans="2:33">
      <c r="B12918" s="29"/>
      <c r="D12918" s="29"/>
      <c r="E12918" s="20"/>
      <c r="F12918" s="20"/>
      <c r="AC12918" s="20"/>
      <c r="AG12918" s="32"/>
    </row>
    <row r="12919" spans="2:33">
      <c r="B12919" s="29"/>
      <c r="D12919" s="29"/>
      <c r="E12919" s="20"/>
      <c r="F12919" s="20"/>
      <c r="AC12919" s="20"/>
      <c r="AG12919" s="32"/>
    </row>
    <row r="12920" spans="2:33">
      <c r="B12920" s="29"/>
      <c r="D12920" s="29"/>
      <c r="E12920" s="20"/>
      <c r="F12920" s="20"/>
      <c r="AC12920" s="20"/>
      <c r="AG12920" s="32"/>
    </row>
    <row r="12921" spans="2:33">
      <c r="B12921" s="29"/>
      <c r="D12921" s="29"/>
      <c r="E12921" s="20"/>
      <c r="F12921" s="20"/>
      <c r="AC12921" s="20"/>
      <c r="AG12921" s="32"/>
    </row>
    <row r="12922" spans="2:33">
      <c r="B12922" s="29"/>
      <c r="D12922" s="29"/>
      <c r="E12922" s="20"/>
      <c r="F12922" s="20"/>
      <c r="AC12922" s="20"/>
      <c r="AG12922" s="32"/>
    </row>
    <row r="12923" spans="2:33">
      <c r="B12923" s="29"/>
      <c r="D12923" s="29"/>
      <c r="E12923" s="20"/>
      <c r="F12923" s="20"/>
      <c r="AC12923" s="20"/>
      <c r="AG12923" s="32"/>
    </row>
    <row r="12924" spans="2:33">
      <c r="B12924" s="29"/>
      <c r="D12924" s="29"/>
      <c r="E12924" s="20"/>
      <c r="F12924" s="20"/>
      <c r="AC12924" s="20"/>
      <c r="AG12924" s="32"/>
    </row>
    <row r="12925" spans="2:33">
      <c r="B12925" s="29"/>
      <c r="D12925" s="29"/>
      <c r="E12925" s="20"/>
      <c r="F12925" s="20"/>
      <c r="AC12925" s="20"/>
      <c r="AG12925" s="32"/>
    </row>
    <row r="12926" spans="2:33">
      <c r="B12926" s="29"/>
      <c r="D12926" s="29"/>
      <c r="E12926" s="20"/>
      <c r="F12926" s="20"/>
      <c r="AC12926" s="20"/>
      <c r="AG12926" s="32"/>
    </row>
    <row r="12927" spans="2:33">
      <c r="B12927" s="29"/>
      <c r="D12927" s="29"/>
      <c r="E12927" s="20"/>
      <c r="F12927" s="20"/>
      <c r="AC12927" s="20"/>
      <c r="AG12927" s="32"/>
    </row>
    <row r="12928" spans="2:33">
      <c r="B12928" s="29"/>
      <c r="D12928" s="29"/>
      <c r="E12928" s="20"/>
      <c r="F12928" s="20"/>
      <c r="AC12928" s="20"/>
      <c r="AG12928" s="32"/>
    </row>
    <row r="12929" spans="2:33">
      <c r="B12929" s="29"/>
      <c r="D12929" s="29"/>
      <c r="E12929" s="20"/>
      <c r="F12929" s="20"/>
      <c r="AC12929" s="20"/>
      <c r="AG12929" s="32"/>
    </row>
    <row r="12930" spans="2:33">
      <c r="B12930" s="29"/>
      <c r="D12930" s="29"/>
      <c r="E12930" s="20"/>
      <c r="F12930" s="20"/>
      <c r="AC12930" s="20"/>
      <c r="AG12930" s="32"/>
    </row>
    <row r="12931" spans="2:33">
      <c r="B12931" s="29"/>
      <c r="D12931" s="29"/>
      <c r="E12931" s="20"/>
      <c r="F12931" s="20"/>
      <c r="AC12931" s="20"/>
      <c r="AG12931" s="32"/>
    </row>
    <row r="12932" spans="2:33">
      <c r="B12932" s="29"/>
      <c r="D12932" s="29"/>
      <c r="E12932" s="20"/>
      <c r="F12932" s="20"/>
      <c r="AC12932" s="20"/>
      <c r="AG12932" s="32"/>
    </row>
    <row r="12933" spans="2:33">
      <c r="B12933" s="29"/>
      <c r="D12933" s="29"/>
      <c r="E12933" s="20"/>
      <c r="F12933" s="20"/>
      <c r="AC12933" s="20"/>
      <c r="AG12933" s="32"/>
    </row>
    <row r="12934" spans="2:33">
      <c r="B12934" s="29"/>
      <c r="D12934" s="29"/>
      <c r="E12934" s="20"/>
      <c r="F12934" s="20"/>
      <c r="AC12934" s="20"/>
      <c r="AG12934" s="32"/>
    </row>
    <row r="12935" spans="2:33">
      <c r="B12935" s="29"/>
      <c r="D12935" s="29"/>
      <c r="E12935" s="20"/>
      <c r="F12935" s="20"/>
      <c r="AC12935" s="20"/>
      <c r="AG12935" s="32"/>
    </row>
    <row r="12936" spans="2:33">
      <c r="B12936" s="29"/>
      <c r="D12936" s="29"/>
      <c r="E12936" s="20"/>
      <c r="F12936" s="20"/>
      <c r="AC12936" s="20"/>
      <c r="AG12936" s="32"/>
    </row>
    <row r="12937" spans="2:33">
      <c r="B12937" s="29"/>
      <c r="D12937" s="29"/>
      <c r="E12937" s="20"/>
      <c r="F12937" s="20"/>
      <c r="AC12937" s="20"/>
      <c r="AG12937" s="32"/>
    </row>
    <row r="12938" spans="2:33">
      <c r="B12938" s="29"/>
      <c r="D12938" s="29"/>
      <c r="E12938" s="20"/>
      <c r="F12938" s="20"/>
      <c r="AC12938" s="20"/>
      <c r="AG12938" s="32"/>
    </row>
    <row r="12939" spans="2:33">
      <c r="B12939" s="29"/>
      <c r="D12939" s="29"/>
      <c r="E12939" s="20"/>
      <c r="F12939" s="20"/>
      <c r="AC12939" s="20"/>
      <c r="AG12939" s="32"/>
    </row>
    <row r="12940" spans="2:33">
      <c r="B12940" s="29"/>
      <c r="D12940" s="29"/>
      <c r="E12940" s="20"/>
      <c r="F12940" s="20"/>
      <c r="AC12940" s="20"/>
      <c r="AG12940" s="32"/>
    </row>
    <row r="12941" spans="2:33">
      <c r="B12941" s="29"/>
      <c r="D12941" s="29"/>
      <c r="E12941" s="20"/>
      <c r="F12941" s="20"/>
      <c r="AC12941" s="20"/>
      <c r="AG12941" s="32"/>
    </row>
    <row r="12942" spans="2:33">
      <c r="B12942" s="29"/>
      <c r="D12942" s="29"/>
      <c r="E12942" s="20"/>
      <c r="F12942" s="20"/>
      <c r="AC12942" s="20"/>
      <c r="AG12942" s="32"/>
    </row>
    <row r="12943" spans="2:33">
      <c r="B12943" s="29"/>
      <c r="D12943" s="29"/>
      <c r="E12943" s="20"/>
      <c r="F12943" s="20"/>
      <c r="AC12943" s="20"/>
      <c r="AG12943" s="32"/>
    </row>
    <row r="12944" spans="2:33">
      <c r="B12944" s="29"/>
      <c r="D12944" s="29"/>
      <c r="E12944" s="20"/>
      <c r="F12944" s="20"/>
      <c r="AC12944" s="20"/>
      <c r="AG12944" s="32"/>
    </row>
    <row r="12945" spans="2:33">
      <c r="B12945" s="29"/>
      <c r="D12945" s="29"/>
      <c r="E12945" s="20"/>
      <c r="F12945" s="20"/>
      <c r="AC12945" s="20"/>
      <c r="AG12945" s="32"/>
    </row>
    <row r="12946" spans="2:33">
      <c r="B12946" s="29"/>
      <c r="D12946" s="29"/>
      <c r="E12946" s="20"/>
      <c r="F12946" s="20"/>
      <c r="AC12946" s="20"/>
      <c r="AG12946" s="32"/>
    </row>
    <row r="12947" spans="2:33">
      <c r="B12947" s="29"/>
      <c r="D12947" s="29"/>
      <c r="E12947" s="20"/>
      <c r="F12947" s="20"/>
      <c r="AC12947" s="20"/>
      <c r="AG12947" s="32"/>
    </row>
    <row r="12948" spans="2:33">
      <c r="B12948" s="29"/>
      <c r="D12948" s="29"/>
      <c r="E12948" s="20"/>
      <c r="F12948" s="20"/>
      <c r="AC12948" s="20"/>
      <c r="AG12948" s="32"/>
    </row>
    <row r="12949" spans="2:33">
      <c r="B12949" s="29"/>
      <c r="D12949" s="29"/>
      <c r="E12949" s="20"/>
      <c r="F12949" s="20"/>
      <c r="AC12949" s="20"/>
      <c r="AG12949" s="32"/>
    </row>
    <row r="12950" spans="2:33">
      <c r="B12950" s="29"/>
      <c r="D12950" s="29"/>
      <c r="E12950" s="20"/>
      <c r="F12950" s="20"/>
      <c r="AC12950" s="20"/>
      <c r="AG12950" s="32"/>
    </row>
    <row r="12951" spans="2:33">
      <c r="B12951" s="29"/>
      <c r="D12951" s="29"/>
      <c r="E12951" s="20"/>
      <c r="F12951" s="20"/>
      <c r="AC12951" s="20"/>
      <c r="AG12951" s="32"/>
    </row>
    <row r="12952" spans="2:33">
      <c r="B12952" s="29"/>
      <c r="D12952" s="29"/>
      <c r="E12952" s="20"/>
      <c r="F12952" s="20"/>
      <c r="AC12952" s="20"/>
      <c r="AG12952" s="32"/>
    </row>
    <row r="12953" spans="2:33">
      <c r="B12953" s="29"/>
      <c r="D12953" s="29"/>
      <c r="E12953" s="20"/>
      <c r="F12953" s="20"/>
      <c r="AC12953" s="20"/>
      <c r="AG12953" s="32"/>
    </row>
    <row r="12954" spans="2:33">
      <c r="B12954" s="29"/>
      <c r="D12954" s="29"/>
      <c r="E12954" s="20"/>
      <c r="F12954" s="20"/>
      <c r="AC12954" s="20"/>
      <c r="AG12954" s="32"/>
    </row>
    <row r="12955" spans="2:33">
      <c r="B12955" s="29"/>
      <c r="D12955" s="29"/>
      <c r="E12955" s="20"/>
      <c r="F12955" s="20"/>
      <c r="AC12955" s="20"/>
      <c r="AG12955" s="32"/>
    </row>
    <row r="12956" spans="2:33">
      <c r="B12956" s="29"/>
      <c r="D12956" s="29"/>
      <c r="E12956" s="20"/>
      <c r="F12956" s="20"/>
      <c r="AC12956" s="20"/>
      <c r="AG12956" s="32"/>
    </row>
    <row r="12957" spans="2:33">
      <c r="B12957" s="29"/>
      <c r="D12957" s="29"/>
      <c r="E12957" s="20"/>
      <c r="F12957" s="20"/>
      <c r="AC12957" s="20"/>
      <c r="AG12957" s="32"/>
    </row>
    <row r="12958" spans="2:33">
      <c r="B12958" s="29"/>
      <c r="D12958" s="29"/>
      <c r="E12958" s="20"/>
      <c r="F12958" s="20"/>
      <c r="AC12958" s="20"/>
      <c r="AG12958" s="32"/>
    </row>
    <row r="12959" spans="2:33">
      <c r="B12959" s="29"/>
      <c r="D12959" s="29"/>
      <c r="E12959" s="20"/>
      <c r="F12959" s="20"/>
      <c r="AC12959" s="20"/>
      <c r="AG12959" s="32"/>
    </row>
    <row r="12960" spans="2:33">
      <c r="B12960" s="29"/>
      <c r="D12960" s="29"/>
      <c r="E12960" s="20"/>
      <c r="F12960" s="20"/>
      <c r="AC12960" s="20"/>
      <c r="AG12960" s="32"/>
    </row>
    <row r="12961" spans="2:33">
      <c r="B12961" s="29"/>
      <c r="D12961" s="29"/>
      <c r="E12961" s="20"/>
      <c r="F12961" s="20"/>
      <c r="AC12961" s="20"/>
      <c r="AG12961" s="32"/>
    </row>
    <row r="12962" spans="2:33">
      <c r="B12962" s="29"/>
      <c r="D12962" s="29"/>
      <c r="E12962" s="20"/>
      <c r="F12962" s="20"/>
      <c r="AC12962" s="20"/>
      <c r="AG12962" s="32"/>
    </row>
    <row r="12963" spans="2:33">
      <c r="B12963" s="29"/>
      <c r="D12963" s="29"/>
      <c r="E12963" s="20"/>
      <c r="F12963" s="20"/>
      <c r="AC12963" s="20"/>
      <c r="AG12963" s="32"/>
    </row>
    <row r="12964" spans="2:33">
      <c r="B12964" s="29"/>
      <c r="D12964" s="29"/>
      <c r="E12964" s="20"/>
      <c r="F12964" s="20"/>
      <c r="AC12964" s="20"/>
      <c r="AG12964" s="32"/>
    </row>
    <row r="12965" spans="2:33">
      <c r="B12965" s="29"/>
      <c r="D12965" s="29"/>
      <c r="E12965" s="20"/>
      <c r="F12965" s="20"/>
      <c r="AC12965" s="20"/>
      <c r="AG12965" s="32"/>
    </row>
    <row r="12966" spans="2:33">
      <c r="B12966" s="29"/>
      <c r="D12966" s="29"/>
      <c r="E12966" s="20"/>
      <c r="F12966" s="20"/>
      <c r="AC12966" s="20"/>
      <c r="AG12966" s="32"/>
    </row>
    <row r="12967" spans="2:33">
      <c r="B12967" s="29"/>
      <c r="D12967" s="29"/>
      <c r="E12967" s="20"/>
      <c r="F12967" s="20"/>
      <c r="AC12967" s="20"/>
      <c r="AG12967" s="32"/>
    </row>
    <row r="12968" spans="2:33">
      <c r="B12968" s="29"/>
      <c r="D12968" s="29"/>
      <c r="E12968" s="20"/>
      <c r="F12968" s="20"/>
      <c r="AC12968" s="20"/>
      <c r="AG12968" s="32"/>
    </row>
    <row r="12969" spans="2:33">
      <c r="B12969" s="29"/>
      <c r="D12969" s="29"/>
      <c r="E12969" s="20"/>
      <c r="F12969" s="20"/>
      <c r="AC12969" s="20"/>
      <c r="AG12969" s="32"/>
    </row>
    <row r="12970" spans="2:33">
      <c r="B12970" s="29"/>
      <c r="D12970" s="29"/>
      <c r="E12970" s="20"/>
      <c r="F12970" s="20"/>
      <c r="AC12970" s="20"/>
      <c r="AG12970" s="32"/>
    </row>
    <row r="12971" spans="2:33">
      <c r="B12971" s="29"/>
      <c r="D12971" s="29"/>
      <c r="E12971" s="20"/>
      <c r="F12971" s="20"/>
      <c r="AC12971" s="20"/>
      <c r="AG12971" s="32"/>
    </row>
    <row r="12972" spans="2:33">
      <c r="B12972" s="29"/>
      <c r="D12972" s="29"/>
      <c r="E12972" s="20"/>
      <c r="F12972" s="20"/>
      <c r="AC12972" s="20"/>
      <c r="AG12972" s="32"/>
    </row>
    <row r="12973" spans="2:33">
      <c r="B12973" s="29"/>
      <c r="D12973" s="29"/>
      <c r="E12973" s="20"/>
      <c r="F12973" s="20"/>
      <c r="AC12973" s="20"/>
      <c r="AG12973" s="32"/>
    </row>
    <row r="12974" spans="2:33">
      <c r="B12974" s="29"/>
      <c r="D12974" s="29"/>
      <c r="E12974" s="20"/>
      <c r="F12974" s="20"/>
      <c r="AC12974" s="20"/>
      <c r="AG12974" s="32"/>
    </row>
    <row r="12975" spans="2:33">
      <c r="B12975" s="29"/>
      <c r="D12975" s="29"/>
      <c r="E12975" s="20"/>
      <c r="F12975" s="20"/>
      <c r="AC12975" s="20"/>
      <c r="AG12975" s="32"/>
    </row>
    <row r="12976" spans="2:33">
      <c r="B12976" s="29"/>
      <c r="D12976" s="29"/>
      <c r="E12976" s="20"/>
      <c r="F12976" s="20"/>
      <c r="AC12976" s="20"/>
      <c r="AG12976" s="32"/>
    </row>
    <row r="12977" spans="2:33">
      <c r="B12977" s="29"/>
      <c r="D12977" s="29"/>
      <c r="E12977" s="20"/>
      <c r="F12977" s="20"/>
      <c r="AC12977" s="20"/>
      <c r="AG12977" s="32"/>
    </row>
    <row r="12978" spans="2:33">
      <c r="B12978" s="29"/>
      <c r="D12978" s="29"/>
      <c r="E12978" s="20"/>
      <c r="F12978" s="20"/>
      <c r="AC12978" s="20"/>
      <c r="AG12978" s="32"/>
    </row>
    <row r="12979" spans="2:33">
      <c r="B12979" s="29"/>
      <c r="D12979" s="29"/>
      <c r="E12979" s="20"/>
      <c r="F12979" s="20"/>
      <c r="AC12979" s="20"/>
      <c r="AG12979" s="32"/>
    </row>
    <row r="12980" spans="2:33">
      <c r="B12980" s="29"/>
      <c r="D12980" s="29"/>
      <c r="E12980" s="20"/>
      <c r="F12980" s="20"/>
      <c r="AC12980" s="20"/>
      <c r="AG12980" s="32"/>
    </row>
    <row r="12981" spans="2:33">
      <c r="B12981" s="29"/>
      <c r="D12981" s="29"/>
      <c r="E12981" s="20"/>
      <c r="F12981" s="20"/>
      <c r="AC12981" s="20"/>
      <c r="AG12981" s="32"/>
    </row>
    <row r="12982" spans="2:33">
      <c r="B12982" s="29"/>
      <c r="D12982" s="29"/>
      <c r="E12982" s="20"/>
      <c r="F12982" s="20"/>
      <c r="AC12982" s="20"/>
      <c r="AG12982" s="32"/>
    </row>
    <row r="12983" spans="2:33">
      <c r="B12983" s="29"/>
      <c r="D12983" s="29"/>
      <c r="E12983" s="20"/>
      <c r="F12983" s="20"/>
      <c r="AC12983" s="20"/>
      <c r="AG12983" s="32"/>
    </row>
    <row r="12984" spans="2:33">
      <c r="B12984" s="29"/>
      <c r="D12984" s="29"/>
      <c r="E12984" s="20"/>
      <c r="F12984" s="20"/>
      <c r="AC12984" s="20"/>
      <c r="AG12984" s="32"/>
    </row>
    <row r="12985" spans="2:33">
      <c r="B12985" s="29"/>
      <c r="D12985" s="29"/>
      <c r="E12985" s="20"/>
      <c r="F12985" s="20"/>
      <c r="AC12985" s="20"/>
      <c r="AG12985" s="32"/>
    </row>
    <row r="12986" spans="2:33">
      <c r="B12986" s="29"/>
      <c r="D12986" s="29"/>
      <c r="E12986" s="20"/>
      <c r="F12986" s="20"/>
      <c r="AC12986" s="20"/>
      <c r="AG12986" s="32"/>
    </row>
    <row r="12987" spans="2:33">
      <c r="B12987" s="29"/>
      <c r="D12987" s="29"/>
      <c r="E12987" s="20"/>
      <c r="F12987" s="20"/>
      <c r="AC12987" s="20"/>
      <c r="AG12987" s="32"/>
    </row>
    <row r="12988" spans="2:33">
      <c r="B12988" s="29"/>
      <c r="D12988" s="29"/>
      <c r="E12988" s="20"/>
      <c r="F12988" s="20"/>
      <c r="AC12988" s="20"/>
      <c r="AG12988" s="32"/>
    </row>
    <row r="12989" spans="2:33">
      <c r="B12989" s="29"/>
      <c r="D12989" s="29"/>
      <c r="E12989" s="20"/>
      <c r="F12989" s="20"/>
      <c r="AC12989" s="20"/>
      <c r="AG12989" s="32"/>
    </row>
    <row r="12990" spans="2:33">
      <c r="B12990" s="29"/>
      <c r="D12990" s="29"/>
      <c r="E12990" s="20"/>
      <c r="F12990" s="20"/>
      <c r="AC12990" s="20"/>
      <c r="AG12990" s="32"/>
    </row>
    <row r="12991" spans="2:33">
      <c r="B12991" s="29"/>
      <c r="D12991" s="29"/>
      <c r="E12991" s="20"/>
      <c r="F12991" s="20"/>
      <c r="AC12991" s="20"/>
      <c r="AG12991" s="32"/>
    </row>
    <row r="12992" spans="2:33">
      <c r="B12992" s="29"/>
      <c r="D12992" s="29"/>
      <c r="E12992" s="20"/>
      <c r="F12992" s="20"/>
      <c r="AC12992" s="20"/>
      <c r="AG12992" s="32"/>
    </row>
    <row r="12993" spans="2:33">
      <c r="B12993" s="29"/>
      <c r="D12993" s="29"/>
      <c r="E12993" s="20"/>
      <c r="F12993" s="20"/>
      <c r="AC12993" s="20"/>
      <c r="AG12993" s="32"/>
    </row>
    <row r="12994" spans="2:33">
      <c r="B12994" s="29"/>
      <c r="D12994" s="29"/>
      <c r="E12994" s="20"/>
      <c r="F12994" s="20"/>
      <c r="AC12994" s="20"/>
      <c r="AG12994" s="32"/>
    </row>
    <row r="12995" spans="2:33">
      <c r="B12995" s="29"/>
      <c r="D12995" s="29"/>
      <c r="E12995" s="20"/>
      <c r="F12995" s="20"/>
      <c r="AC12995" s="20"/>
      <c r="AG12995" s="32"/>
    </row>
    <row r="12996" spans="2:33">
      <c r="B12996" s="29"/>
      <c r="D12996" s="29"/>
      <c r="E12996" s="20"/>
      <c r="F12996" s="20"/>
      <c r="AC12996" s="20"/>
      <c r="AG12996" s="32"/>
    </row>
    <row r="12997" spans="2:33">
      <c r="B12997" s="29"/>
      <c r="D12997" s="29"/>
      <c r="E12997" s="20"/>
      <c r="F12997" s="20"/>
      <c r="AC12997" s="20"/>
      <c r="AG12997" s="32"/>
    </row>
    <row r="12998" spans="2:33">
      <c r="B12998" s="29"/>
      <c r="D12998" s="29"/>
      <c r="E12998" s="20"/>
      <c r="F12998" s="20"/>
      <c r="AC12998" s="20"/>
      <c r="AG12998" s="32"/>
    </row>
    <row r="12999" spans="2:33">
      <c r="B12999" s="29"/>
      <c r="D12999" s="29"/>
      <c r="E12999" s="20"/>
      <c r="F12999" s="20"/>
      <c r="AC12999" s="20"/>
      <c r="AG12999" s="32"/>
    </row>
    <row r="13000" spans="2:33">
      <c r="B13000" s="29"/>
      <c r="D13000" s="29"/>
      <c r="E13000" s="20"/>
      <c r="F13000" s="20"/>
      <c r="AC13000" s="20"/>
      <c r="AG13000" s="32"/>
    </row>
    <row r="13001" spans="2:33">
      <c r="B13001" s="29"/>
      <c r="D13001" s="29"/>
      <c r="E13001" s="20"/>
      <c r="F13001" s="20"/>
      <c r="AC13001" s="20"/>
      <c r="AG13001" s="32"/>
    </row>
    <row r="13002" spans="2:33">
      <c r="B13002" s="29"/>
      <c r="D13002" s="29"/>
      <c r="E13002" s="20"/>
      <c r="F13002" s="20"/>
      <c r="AC13002" s="20"/>
      <c r="AG13002" s="32"/>
    </row>
    <row r="13003" spans="2:33">
      <c r="B13003" s="29"/>
      <c r="D13003" s="29"/>
      <c r="E13003" s="20"/>
      <c r="F13003" s="20"/>
      <c r="AC13003" s="20"/>
      <c r="AG13003" s="32"/>
    </row>
    <row r="13004" spans="2:33">
      <c r="B13004" s="29"/>
      <c r="D13004" s="29"/>
      <c r="E13004" s="20"/>
      <c r="F13004" s="20"/>
      <c r="AC13004" s="20"/>
      <c r="AG13004" s="32"/>
    </row>
    <row r="13005" spans="2:33">
      <c r="B13005" s="29"/>
      <c r="D13005" s="29"/>
      <c r="E13005" s="20"/>
      <c r="F13005" s="20"/>
      <c r="AC13005" s="20"/>
      <c r="AG13005" s="32"/>
    </row>
    <row r="13006" spans="2:33">
      <c r="B13006" s="29"/>
      <c r="D13006" s="29"/>
      <c r="E13006" s="20"/>
      <c r="F13006" s="20"/>
      <c r="AC13006" s="20"/>
      <c r="AG13006" s="32"/>
    </row>
    <row r="13007" spans="2:33">
      <c r="B13007" s="29"/>
      <c r="D13007" s="29"/>
      <c r="E13007" s="20"/>
      <c r="F13007" s="20"/>
      <c r="AC13007" s="20"/>
      <c r="AG13007" s="32"/>
    </row>
    <row r="13008" spans="2:33">
      <c r="B13008" s="29"/>
      <c r="D13008" s="29"/>
      <c r="E13008" s="20"/>
      <c r="F13008" s="20"/>
      <c r="AC13008" s="20"/>
      <c r="AG13008" s="32"/>
    </row>
    <row r="13009" spans="2:33">
      <c r="B13009" s="29"/>
      <c r="D13009" s="29"/>
      <c r="E13009" s="20"/>
      <c r="F13009" s="20"/>
      <c r="AC13009" s="20"/>
      <c r="AG13009" s="32"/>
    </row>
    <row r="13010" spans="2:33">
      <c r="B13010" s="29"/>
      <c r="D13010" s="29"/>
      <c r="E13010" s="20"/>
      <c r="F13010" s="20"/>
      <c r="AC13010" s="20"/>
      <c r="AG13010" s="32"/>
    </row>
    <row r="13011" spans="2:33">
      <c r="B13011" s="29"/>
      <c r="D13011" s="29"/>
      <c r="E13011" s="20"/>
      <c r="F13011" s="20"/>
      <c r="AC13011" s="20"/>
      <c r="AG13011" s="32"/>
    </row>
    <row r="13012" spans="2:33">
      <c r="B13012" s="29"/>
      <c r="D13012" s="29"/>
      <c r="E13012" s="20"/>
      <c r="F13012" s="20"/>
      <c r="AC13012" s="20"/>
      <c r="AG13012" s="32"/>
    </row>
    <row r="13013" spans="2:33">
      <c r="B13013" s="29"/>
      <c r="D13013" s="29"/>
      <c r="E13013" s="20"/>
      <c r="F13013" s="20"/>
      <c r="AC13013" s="20"/>
      <c r="AG13013" s="32"/>
    </row>
    <row r="13014" spans="2:33">
      <c r="B13014" s="29"/>
      <c r="D13014" s="29"/>
      <c r="E13014" s="20"/>
      <c r="F13014" s="20"/>
      <c r="AC13014" s="20"/>
      <c r="AG13014" s="32"/>
    </row>
    <row r="13015" spans="2:33">
      <c r="B13015" s="29"/>
      <c r="D13015" s="29"/>
      <c r="E13015" s="20"/>
      <c r="F13015" s="20"/>
      <c r="AC13015" s="20"/>
      <c r="AG13015" s="32"/>
    </row>
    <row r="13016" spans="2:33">
      <c r="B13016" s="29"/>
      <c r="D13016" s="29"/>
      <c r="E13016" s="20"/>
      <c r="F13016" s="20"/>
      <c r="AC13016" s="20"/>
      <c r="AG13016" s="32"/>
    </row>
    <row r="13017" spans="2:33">
      <c r="B13017" s="29"/>
      <c r="D13017" s="29"/>
      <c r="E13017" s="20"/>
      <c r="F13017" s="20"/>
      <c r="AC13017" s="20"/>
      <c r="AG13017" s="32"/>
    </row>
    <row r="13018" spans="2:33">
      <c r="B13018" s="29"/>
      <c r="D13018" s="29"/>
      <c r="E13018" s="20"/>
      <c r="F13018" s="20"/>
      <c r="AC13018" s="20"/>
      <c r="AG13018" s="32"/>
    </row>
    <row r="13019" spans="2:33">
      <c r="B13019" s="29"/>
      <c r="D13019" s="29"/>
      <c r="E13019" s="20"/>
      <c r="F13019" s="20"/>
      <c r="AC13019" s="20"/>
      <c r="AG13019" s="32"/>
    </row>
    <row r="13020" spans="2:33">
      <c r="B13020" s="29"/>
      <c r="D13020" s="29"/>
      <c r="E13020" s="20"/>
      <c r="F13020" s="20"/>
      <c r="AC13020" s="20"/>
      <c r="AG13020" s="32"/>
    </row>
    <row r="13021" spans="2:33">
      <c r="B13021" s="29"/>
      <c r="D13021" s="29"/>
      <c r="E13021" s="20"/>
      <c r="F13021" s="20"/>
      <c r="AC13021" s="20"/>
      <c r="AG13021" s="32"/>
    </row>
    <row r="13022" spans="2:33">
      <c r="B13022" s="29"/>
      <c r="D13022" s="29"/>
      <c r="E13022" s="20"/>
      <c r="F13022" s="20"/>
      <c r="AC13022" s="20"/>
      <c r="AG13022" s="32"/>
    </row>
    <row r="13023" spans="2:33">
      <c r="B13023" s="29"/>
      <c r="D13023" s="29"/>
      <c r="E13023" s="20"/>
      <c r="F13023" s="20"/>
      <c r="AC13023" s="20"/>
      <c r="AG13023" s="32"/>
    </row>
    <row r="13024" spans="2:33">
      <c r="B13024" s="29"/>
      <c r="D13024" s="29"/>
      <c r="E13024" s="20"/>
      <c r="F13024" s="20"/>
      <c r="AC13024" s="20"/>
      <c r="AG13024" s="32"/>
    </row>
    <row r="13025" spans="2:33">
      <c r="B13025" s="29"/>
      <c r="D13025" s="29"/>
      <c r="E13025" s="20"/>
      <c r="F13025" s="20"/>
      <c r="AC13025" s="20"/>
      <c r="AG13025" s="32"/>
    </row>
    <row r="13026" spans="2:33">
      <c r="B13026" s="29"/>
      <c r="D13026" s="29"/>
      <c r="E13026" s="20"/>
      <c r="F13026" s="20"/>
      <c r="AC13026" s="20"/>
      <c r="AG13026" s="32"/>
    </row>
    <row r="13027" spans="2:33">
      <c r="B13027" s="29"/>
      <c r="D13027" s="29"/>
      <c r="E13027" s="20"/>
      <c r="F13027" s="20"/>
      <c r="AC13027" s="20"/>
      <c r="AG13027" s="32"/>
    </row>
    <row r="13028" spans="2:33">
      <c r="B13028" s="29"/>
      <c r="D13028" s="29"/>
      <c r="E13028" s="20"/>
      <c r="F13028" s="20"/>
      <c r="AC13028" s="20"/>
      <c r="AG13028" s="32"/>
    </row>
    <row r="13029" spans="2:33">
      <c r="B13029" s="29"/>
      <c r="D13029" s="29"/>
      <c r="E13029" s="20"/>
      <c r="F13029" s="20"/>
      <c r="AC13029" s="20"/>
      <c r="AG13029" s="32"/>
    </row>
    <row r="13030" spans="2:33">
      <c r="B13030" s="29"/>
      <c r="D13030" s="29"/>
      <c r="E13030" s="20"/>
      <c r="F13030" s="20"/>
      <c r="AC13030" s="20"/>
      <c r="AG13030" s="32"/>
    </row>
    <row r="13031" spans="2:33">
      <c r="B13031" s="29"/>
      <c r="D13031" s="29"/>
      <c r="E13031" s="20"/>
      <c r="F13031" s="20"/>
      <c r="AC13031" s="20"/>
      <c r="AG13031" s="32"/>
    </row>
    <row r="13032" spans="2:33">
      <c r="B13032" s="29"/>
      <c r="D13032" s="29"/>
      <c r="E13032" s="20"/>
      <c r="F13032" s="20"/>
      <c r="AC13032" s="20"/>
      <c r="AG13032" s="32"/>
    </row>
    <row r="13033" spans="2:33">
      <c r="B13033" s="29"/>
      <c r="D13033" s="29"/>
      <c r="E13033" s="20"/>
      <c r="F13033" s="20"/>
      <c r="AC13033" s="20"/>
      <c r="AG13033" s="32"/>
    </row>
    <row r="13034" spans="2:33">
      <c r="B13034" s="29"/>
      <c r="D13034" s="29"/>
      <c r="E13034" s="20"/>
      <c r="F13034" s="20"/>
      <c r="AC13034" s="20"/>
      <c r="AG13034" s="32"/>
    </row>
    <row r="13035" spans="2:33">
      <c r="B13035" s="29"/>
      <c r="D13035" s="29"/>
      <c r="E13035" s="20"/>
      <c r="F13035" s="20"/>
      <c r="AC13035" s="20"/>
      <c r="AG13035" s="32"/>
    </row>
    <row r="13036" spans="2:33">
      <c r="B13036" s="29"/>
      <c r="D13036" s="29"/>
      <c r="E13036" s="20"/>
      <c r="F13036" s="20"/>
      <c r="AC13036" s="20"/>
      <c r="AG13036" s="32"/>
    </row>
    <row r="13037" spans="2:33">
      <c r="B13037" s="29"/>
      <c r="D13037" s="29"/>
      <c r="E13037" s="20"/>
      <c r="F13037" s="20"/>
      <c r="AC13037" s="20"/>
      <c r="AG13037" s="32"/>
    </row>
    <row r="13038" spans="2:33">
      <c r="B13038" s="29"/>
      <c r="D13038" s="29"/>
      <c r="E13038" s="20"/>
      <c r="F13038" s="20"/>
      <c r="AC13038" s="20"/>
      <c r="AG13038" s="32"/>
    </row>
    <row r="13039" spans="2:33">
      <c r="B13039" s="29"/>
      <c r="D13039" s="29"/>
      <c r="E13039" s="20"/>
      <c r="F13039" s="20"/>
      <c r="AC13039" s="20"/>
      <c r="AG13039" s="32"/>
    </row>
    <row r="13040" spans="2:33">
      <c r="B13040" s="29"/>
      <c r="D13040" s="29"/>
      <c r="E13040" s="20"/>
      <c r="F13040" s="20"/>
      <c r="AC13040" s="20"/>
      <c r="AG13040" s="32"/>
    </row>
    <row r="13041" spans="2:33">
      <c r="B13041" s="29"/>
      <c r="D13041" s="29"/>
      <c r="E13041" s="20"/>
      <c r="F13041" s="20"/>
      <c r="AC13041" s="20"/>
      <c r="AG13041" s="32"/>
    </row>
    <row r="13042" spans="2:33">
      <c r="B13042" s="29"/>
      <c r="D13042" s="29"/>
      <c r="E13042" s="20"/>
      <c r="F13042" s="20"/>
      <c r="AC13042" s="20"/>
      <c r="AG13042" s="32"/>
    </row>
    <row r="13043" spans="2:33">
      <c r="B13043" s="29"/>
      <c r="D13043" s="29"/>
      <c r="E13043" s="20"/>
      <c r="F13043" s="20"/>
      <c r="AC13043" s="20"/>
      <c r="AG13043" s="32"/>
    </row>
    <row r="13044" spans="2:33">
      <c r="B13044" s="29"/>
      <c r="D13044" s="29"/>
      <c r="E13044" s="20"/>
      <c r="F13044" s="20"/>
      <c r="AC13044" s="20"/>
      <c r="AG13044" s="32"/>
    </row>
    <row r="13045" spans="2:33">
      <c r="B13045" s="29"/>
      <c r="D13045" s="29"/>
      <c r="E13045" s="20"/>
      <c r="F13045" s="20"/>
      <c r="AC13045" s="20"/>
      <c r="AG13045" s="32"/>
    </row>
    <row r="13046" spans="2:33">
      <c r="B13046" s="29"/>
      <c r="D13046" s="29"/>
      <c r="E13046" s="20"/>
      <c r="F13046" s="20"/>
      <c r="AC13046" s="20"/>
      <c r="AG13046" s="32"/>
    </row>
    <row r="13047" spans="2:33">
      <c r="B13047" s="29"/>
      <c r="D13047" s="29"/>
      <c r="E13047" s="20"/>
      <c r="F13047" s="20"/>
      <c r="AC13047" s="20"/>
      <c r="AG13047" s="32"/>
    </row>
    <row r="13048" spans="2:33">
      <c r="B13048" s="29"/>
      <c r="D13048" s="29"/>
      <c r="E13048" s="20"/>
      <c r="F13048" s="20"/>
      <c r="AC13048" s="20"/>
      <c r="AG13048" s="32"/>
    </row>
    <row r="13049" spans="2:33">
      <c r="B13049" s="29"/>
      <c r="D13049" s="29"/>
      <c r="E13049" s="20"/>
      <c r="F13049" s="20"/>
      <c r="AC13049" s="20"/>
      <c r="AG13049" s="32"/>
    </row>
    <row r="13050" spans="2:33">
      <c r="B13050" s="29"/>
      <c r="D13050" s="29"/>
      <c r="E13050" s="20"/>
      <c r="F13050" s="20"/>
      <c r="AC13050" s="20"/>
      <c r="AG13050" s="32"/>
    </row>
    <row r="13051" spans="2:33">
      <c r="B13051" s="29"/>
      <c r="D13051" s="29"/>
      <c r="E13051" s="20"/>
      <c r="F13051" s="20"/>
      <c r="AC13051" s="20"/>
      <c r="AG13051" s="32"/>
    </row>
    <row r="13052" spans="2:33">
      <c r="B13052" s="29"/>
      <c r="D13052" s="29"/>
      <c r="E13052" s="20"/>
      <c r="F13052" s="20"/>
      <c r="AC13052" s="20"/>
      <c r="AG13052" s="32"/>
    </row>
    <row r="13053" spans="2:33">
      <c r="B13053" s="29"/>
      <c r="D13053" s="29"/>
      <c r="E13053" s="20"/>
      <c r="F13053" s="20"/>
      <c r="AC13053" s="20"/>
      <c r="AG13053" s="32"/>
    </row>
    <row r="13054" spans="2:33">
      <c r="B13054" s="29"/>
      <c r="D13054" s="29"/>
      <c r="E13054" s="20"/>
      <c r="F13054" s="20"/>
      <c r="AC13054" s="20"/>
      <c r="AG13054" s="32"/>
    </row>
    <row r="13055" spans="2:33">
      <c r="B13055" s="29"/>
      <c r="D13055" s="29"/>
      <c r="E13055" s="20"/>
      <c r="F13055" s="20"/>
      <c r="AC13055" s="20"/>
      <c r="AG13055" s="32"/>
    </row>
    <row r="13056" spans="2:33">
      <c r="B13056" s="29"/>
      <c r="D13056" s="29"/>
      <c r="E13056" s="20"/>
      <c r="F13056" s="20"/>
      <c r="AC13056" s="20"/>
      <c r="AG13056" s="32"/>
    </row>
    <row r="13057" spans="2:33">
      <c r="B13057" s="29"/>
      <c r="D13057" s="29"/>
      <c r="E13057" s="20"/>
      <c r="F13057" s="20"/>
      <c r="AC13057" s="20"/>
      <c r="AG13057" s="32"/>
    </row>
    <row r="13058" spans="2:33">
      <c r="B13058" s="29"/>
      <c r="D13058" s="29"/>
      <c r="E13058" s="20"/>
      <c r="F13058" s="20"/>
      <c r="AC13058" s="20"/>
      <c r="AG13058" s="32"/>
    </row>
    <row r="13059" spans="2:33">
      <c r="B13059" s="29"/>
      <c r="D13059" s="29"/>
      <c r="E13059" s="20"/>
      <c r="F13059" s="20"/>
      <c r="AC13059" s="20"/>
      <c r="AG13059" s="32"/>
    </row>
    <row r="13060" spans="2:33">
      <c r="B13060" s="29"/>
      <c r="D13060" s="29"/>
      <c r="E13060" s="20"/>
      <c r="F13060" s="20"/>
      <c r="AC13060" s="20"/>
      <c r="AG13060" s="32"/>
    </row>
    <row r="13061" spans="2:33">
      <c r="B13061" s="29"/>
      <c r="D13061" s="29"/>
      <c r="E13061" s="20"/>
      <c r="F13061" s="20"/>
      <c r="AC13061" s="20"/>
      <c r="AG13061" s="32"/>
    </row>
    <row r="13062" spans="2:33">
      <c r="B13062" s="29"/>
      <c r="D13062" s="29"/>
      <c r="E13062" s="20"/>
      <c r="F13062" s="20"/>
      <c r="AC13062" s="20"/>
      <c r="AG13062" s="32"/>
    </row>
    <row r="13063" spans="2:33">
      <c r="B13063" s="29"/>
      <c r="D13063" s="29"/>
      <c r="E13063" s="20"/>
      <c r="F13063" s="20"/>
      <c r="AC13063" s="20"/>
      <c r="AG13063" s="32"/>
    </row>
    <row r="13064" spans="2:33">
      <c r="B13064" s="29"/>
      <c r="D13064" s="29"/>
      <c r="E13064" s="20"/>
      <c r="F13064" s="20"/>
      <c r="AC13064" s="20"/>
      <c r="AG13064" s="32"/>
    </row>
    <row r="13065" spans="2:33">
      <c r="B13065" s="29"/>
      <c r="D13065" s="29"/>
      <c r="E13065" s="20"/>
      <c r="F13065" s="20"/>
      <c r="AC13065" s="20"/>
      <c r="AG13065" s="32"/>
    </row>
    <row r="13066" spans="2:33">
      <c r="B13066" s="29"/>
      <c r="D13066" s="29"/>
      <c r="E13066" s="20"/>
      <c r="F13066" s="20"/>
      <c r="AC13066" s="20"/>
      <c r="AG13066" s="32"/>
    </row>
    <row r="13067" spans="2:33">
      <c r="B13067" s="29"/>
      <c r="D13067" s="29"/>
      <c r="E13067" s="20"/>
      <c r="F13067" s="20"/>
      <c r="AC13067" s="20"/>
      <c r="AG13067" s="32"/>
    </row>
    <row r="13068" spans="2:33">
      <c r="B13068" s="29"/>
      <c r="D13068" s="29"/>
      <c r="E13068" s="20"/>
      <c r="F13068" s="20"/>
      <c r="AC13068" s="20"/>
      <c r="AG13068" s="32"/>
    </row>
    <row r="13069" spans="2:33">
      <c r="B13069" s="29"/>
      <c r="D13069" s="29"/>
      <c r="E13069" s="20"/>
      <c r="F13069" s="20"/>
      <c r="AC13069" s="20"/>
      <c r="AG13069" s="32"/>
    </row>
    <row r="13070" spans="2:33">
      <c r="B13070" s="29"/>
      <c r="D13070" s="29"/>
      <c r="E13070" s="20"/>
      <c r="F13070" s="20"/>
      <c r="AC13070" s="20"/>
      <c r="AG13070" s="32"/>
    </row>
    <row r="13071" spans="2:33">
      <c r="B13071" s="29"/>
      <c r="D13071" s="29"/>
      <c r="E13071" s="20"/>
      <c r="F13071" s="20"/>
      <c r="AC13071" s="20"/>
      <c r="AG13071" s="32"/>
    </row>
    <row r="13072" spans="2:33">
      <c r="B13072" s="29"/>
      <c r="D13072" s="29"/>
      <c r="E13072" s="20"/>
      <c r="F13072" s="20"/>
      <c r="AC13072" s="20"/>
      <c r="AG13072" s="32"/>
    </row>
    <row r="13073" spans="2:33">
      <c r="B13073" s="29"/>
      <c r="D13073" s="29"/>
      <c r="E13073" s="20"/>
      <c r="F13073" s="20"/>
      <c r="AC13073" s="20"/>
      <c r="AG13073" s="32"/>
    </row>
    <row r="13074" spans="2:33">
      <c r="B13074" s="29"/>
      <c r="D13074" s="29"/>
      <c r="E13074" s="20"/>
      <c r="F13074" s="20"/>
      <c r="AC13074" s="20"/>
      <c r="AG13074" s="32"/>
    </row>
    <row r="13075" spans="2:33">
      <c r="B13075" s="29"/>
      <c r="D13075" s="29"/>
      <c r="E13075" s="20"/>
      <c r="F13075" s="20"/>
      <c r="AC13075" s="20"/>
      <c r="AG13075" s="32"/>
    </row>
    <row r="13076" spans="2:33">
      <c r="B13076" s="29"/>
      <c r="D13076" s="29"/>
      <c r="E13076" s="20"/>
      <c r="F13076" s="20"/>
      <c r="AC13076" s="20"/>
      <c r="AG13076" s="32"/>
    </row>
    <row r="13077" spans="2:33">
      <c r="B13077" s="29"/>
      <c r="D13077" s="29"/>
      <c r="E13077" s="20"/>
      <c r="F13077" s="20"/>
      <c r="AC13077" s="20"/>
      <c r="AG13077" s="32"/>
    </row>
    <row r="13078" spans="2:33">
      <c r="B13078" s="29"/>
      <c r="D13078" s="29"/>
      <c r="E13078" s="20"/>
      <c r="F13078" s="20"/>
      <c r="AC13078" s="20"/>
      <c r="AG13078" s="32"/>
    </row>
    <row r="13079" spans="2:33">
      <c r="B13079" s="29"/>
      <c r="D13079" s="29"/>
      <c r="E13079" s="20"/>
      <c r="F13079" s="20"/>
      <c r="AC13079" s="20"/>
      <c r="AG13079" s="32"/>
    </row>
    <row r="13080" spans="2:33">
      <c r="B13080" s="29"/>
      <c r="D13080" s="29"/>
      <c r="E13080" s="20"/>
      <c r="F13080" s="20"/>
      <c r="AC13080" s="20"/>
      <c r="AG13080" s="32"/>
    </row>
    <row r="13081" spans="2:33">
      <c r="B13081" s="29"/>
      <c r="D13081" s="29"/>
      <c r="E13081" s="20"/>
      <c r="F13081" s="20"/>
      <c r="AC13081" s="20"/>
      <c r="AG13081" s="32"/>
    </row>
    <row r="13082" spans="2:33">
      <c r="B13082" s="29"/>
      <c r="D13082" s="29"/>
      <c r="E13082" s="20"/>
      <c r="F13082" s="20"/>
      <c r="AC13082" s="20"/>
      <c r="AG13082" s="32"/>
    </row>
    <row r="13083" spans="2:33">
      <c r="B13083" s="29"/>
      <c r="D13083" s="29"/>
      <c r="E13083" s="20"/>
      <c r="F13083" s="20"/>
      <c r="AC13083" s="20"/>
      <c r="AG13083" s="32"/>
    </row>
    <row r="13084" spans="2:33">
      <c r="B13084" s="29"/>
      <c r="D13084" s="29"/>
      <c r="E13084" s="20"/>
      <c r="F13084" s="20"/>
      <c r="AC13084" s="20"/>
      <c r="AG13084" s="32"/>
    </row>
    <row r="13085" spans="2:33">
      <c r="B13085" s="29"/>
      <c r="D13085" s="29"/>
      <c r="E13085" s="20"/>
      <c r="F13085" s="20"/>
      <c r="AC13085" s="20"/>
      <c r="AG13085" s="32"/>
    </row>
    <row r="13086" spans="2:33">
      <c r="B13086" s="29"/>
      <c r="D13086" s="29"/>
      <c r="E13086" s="20"/>
      <c r="F13086" s="20"/>
      <c r="AC13086" s="20"/>
      <c r="AG13086" s="32"/>
    </row>
    <row r="13087" spans="2:33">
      <c r="B13087" s="29"/>
      <c r="D13087" s="29"/>
      <c r="E13087" s="20"/>
      <c r="F13087" s="20"/>
      <c r="AC13087" s="20"/>
      <c r="AG13087" s="32"/>
    </row>
    <row r="13088" spans="2:33">
      <c r="B13088" s="29"/>
      <c r="D13088" s="29"/>
      <c r="E13088" s="20"/>
      <c r="F13088" s="20"/>
      <c r="AC13088" s="20"/>
      <c r="AG13088" s="32"/>
    </row>
    <row r="13089" spans="2:33">
      <c r="B13089" s="29"/>
      <c r="D13089" s="29"/>
      <c r="E13089" s="20"/>
      <c r="F13089" s="20"/>
      <c r="AC13089" s="20"/>
      <c r="AG13089" s="32"/>
    </row>
    <row r="13090" spans="2:33">
      <c r="B13090" s="29"/>
      <c r="D13090" s="29"/>
      <c r="E13090" s="20"/>
      <c r="F13090" s="20"/>
      <c r="AC13090" s="20"/>
      <c r="AG13090" s="32"/>
    </row>
    <row r="13091" spans="2:33">
      <c r="B13091" s="29"/>
      <c r="D13091" s="29"/>
      <c r="E13091" s="20"/>
      <c r="F13091" s="20"/>
      <c r="AC13091" s="20"/>
      <c r="AG13091" s="32"/>
    </row>
    <row r="13092" spans="2:33">
      <c r="B13092" s="29"/>
      <c r="D13092" s="29"/>
      <c r="E13092" s="20"/>
      <c r="F13092" s="20"/>
      <c r="AC13092" s="20"/>
      <c r="AG13092" s="32"/>
    </row>
    <row r="13093" spans="2:33">
      <c r="B13093" s="29"/>
      <c r="D13093" s="29"/>
      <c r="E13093" s="20"/>
      <c r="F13093" s="20"/>
      <c r="AC13093" s="20"/>
      <c r="AG13093" s="32"/>
    </row>
    <row r="13094" spans="2:33">
      <c r="B13094" s="29"/>
      <c r="D13094" s="29"/>
      <c r="E13094" s="20"/>
      <c r="F13094" s="20"/>
      <c r="AC13094" s="20"/>
      <c r="AG13094" s="32"/>
    </row>
    <row r="13095" spans="2:33">
      <c r="B13095" s="29"/>
      <c r="D13095" s="29"/>
      <c r="E13095" s="20"/>
      <c r="F13095" s="20"/>
      <c r="AC13095" s="20"/>
      <c r="AG13095" s="32"/>
    </row>
    <row r="13096" spans="2:33">
      <c r="B13096" s="29"/>
      <c r="D13096" s="29"/>
      <c r="E13096" s="20"/>
      <c r="F13096" s="20"/>
      <c r="AC13096" s="20"/>
      <c r="AG13096" s="32"/>
    </row>
    <row r="13097" spans="2:33">
      <c r="B13097" s="29"/>
      <c r="D13097" s="29"/>
      <c r="E13097" s="20"/>
      <c r="F13097" s="20"/>
      <c r="AC13097" s="20"/>
      <c r="AG13097" s="32"/>
    </row>
    <row r="13098" spans="2:33">
      <c r="B13098" s="29"/>
      <c r="D13098" s="29"/>
      <c r="E13098" s="20"/>
      <c r="F13098" s="20"/>
      <c r="AC13098" s="20"/>
      <c r="AG13098" s="32"/>
    </row>
    <row r="13099" spans="2:33">
      <c r="B13099" s="29"/>
      <c r="D13099" s="29"/>
      <c r="E13099" s="20"/>
      <c r="F13099" s="20"/>
      <c r="AC13099" s="20"/>
      <c r="AG13099" s="32"/>
    </row>
    <row r="13100" spans="2:33">
      <c r="B13100" s="29"/>
      <c r="D13100" s="29"/>
      <c r="E13100" s="20"/>
      <c r="F13100" s="20"/>
      <c r="AC13100" s="20"/>
      <c r="AG13100" s="32"/>
    </row>
    <row r="13101" spans="2:33">
      <c r="B13101" s="29"/>
      <c r="D13101" s="29"/>
      <c r="E13101" s="20"/>
      <c r="F13101" s="20"/>
      <c r="AC13101" s="20"/>
      <c r="AG13101" s="32"/>
    </row>
    <row r="13102" spans="2:33">
      <c r="B13102" s="29"/>
      <c r="D13102" s="29"/>
      <c r="E13102" s="20"/>
      <c r="F13102" s="20"/>
      <c r="AC13102" s="20"/>
      <c r="AG13102" s="32"/>
    </row>
    <row r="13103" spans="2:33">
      <c r="B13103" s="29"/>
      <c r="D13103" s="29"/>
      <c r="E13103" s="20"/>
      <c r="F13103" s="20"/>
      <c r="AC13103" s="20"/>
      <c r="AG13103" s="32"/>
    </row>
    <row r="13104" spans="2:33">
      <c r="B13104" s="29"/>
      <c r="D13104" s="29"/>
      <c r="E13104" s="20"/>
      <c r="F13104" s="20"/>
      <c r="AC13104" s="20"/>
      <c r="AG13104" s="32"/>
    </row>
    <row r="13105" spans="2:33">
      <c r="B13105" s="29"/>
      <c r="D13105" s="29"/>
      <c r="E13105" s="20"/>
      <c r="F13105" s="20"/>
      <c r="AC13105" s="20"/>
      <c r="AG13105" s="32"/>
    </row>
    <row r="13106" spans="2:33">
      <c r="B13106" s="29"/>
      <c r="D13106" s="29"/>
      <c r="E13106" s="20"/>
      <c r="F13106" s="20"/>
      <c r="AC13106" s="20"/>
      <c r="AG13106" s="32"/>
    </row>
    <row r="13107" spans="2:33">
      <c r="B13107" s="29"/>
      <c r="D13107" s="29"/>
      <c r="E13107" s="20"/>
      <c r="F13107" s="20"/>
      <c r="AC13107" s="20"/>
      <c r="AG13107" s="32"/>
    </row>
    <row r="13108" spans="2:33">
      <c r="B13108" s="29"/>
      <c r="D13108" s="29"/>
      <c r="E13108" s="20"/>
      <c r="F13108" s="20"/>
      <c r="AC13108" s="20"/>
      <c r="AG13108" s="32"/>
    </row>
    <row r="13109" spans="2:33">
      <c r="B13109" s="29"/>
      <c r="D13109" s="29"/>
      <c r="E13109" s="20"/>
      <c r="F13109" s="20"/>
      <c r="AC13109" s="20"/>
      <c r="AG13109" s="32"/>
    </row>
    <row r="13110" spans="2:33">
      <c r="B13110" s="29"/>
      <c r="D13110" s="29"/>
      <c r="E13110" s="20"/>
      <c r="F13110" s="20"/>
      <c r="AC13110" s="20"/>
      <c r="AG13110" s="32"/>
    </row>
    <row r="13111" spans="2:33">
      <c r="B13111" s="29"/>
      <c r="D13111" s="29"/>
      <c r="E13111" s="20"/>
      <c r="F13111" s="20"/>
      <c r="AC13111" s="20"/>
      <c r="AG13111" s="32"/>
    </row>
    <row r="13112" spans="2:33">
      <c r="B13112" s="29"/>
      <c r="D13112" s="29"/>
      <c r="E13112" s="20"/>
      <c r="F13112" s="20"/>
      <c r="AC13112" s="20"/>
      <c r="AG13112" s="32"/>
    </row>
    <row r="13113" spans="2:33">
      <c r="B13113" s="29"/>
      <c r="D13113" s="29"/>
      <c r="E13113" s="20"/>
      <c r="F13113" s="20"/>
      <c r="AC13113" s="20"/>
      <c r="AG13113" s="32"/>
    </row>
    <row r="13114" spans="2:33">
      <c r="B13114" s="29"/>
      <c r="D13114" s="29"/>
      <c r="E13114" s="20"/>
      <c r="F13114" s="20"/>
      <c r="AC13114" s="20"/>
      <c r="AG13114" s="32"/>
    </row>
    <row r="13115" spans="2:33">
      <c r="B13115" s="29"/>
      <c r="D13115" s="29"/>
      <c r="E13115" s="20"/>
      <c r="F13115" s="20"/>
      <c r="AC13115" s="20"/>
      <c r="AG13115" s="32"/>
    </row>
    <row r="13116" spans="2:33">
      <c r="B13116" s="29"/>
      <c r="D13116" s="29"/>
      <c r="E13116" s="20"/>
      <c r="F13116" s="20"/>
      <c r="AC13116" s="20"/>
      <c r="AG13116" s="32"/>
    </row>
    <row r="13117" spans="2:33">
      <c r="B13117" s="29"/>
      <c r="D13117" s="29"/>
      <c r="E13117" s="20"/>
      <c r="F13117" s="20"/>
      <c r="AC13117" s="20"/>
      <c r="AG13117" s="32"/>
    </row>
    <row r="13118" spans="2:33">
      <c r="B13118" s="29"/>
      <c r="D13118" s="29"/>
      <c r="E13118" s="20"/>
      <c r="F13118" s="20"/>
      <c r="AC13118" s="20"/>
      <c r="AG13118" s="32"/>
    </row>
    <row r="13119" spans="2:33">
      <c r="B13119" s="29"/>
      <c r="D13119" s="29"/>
      <c r="E13119" s="20"/>
      <c r="F13119" s="20"/>
      <c r="AC13119" s="20"/>
      <c r="AG13119" s="32"/>
    </row>
    <row r="13120" spans="2:33">
      <c r="B13120" s="29"/>
      <c r="D13120" s="29"/>
      <c r="E13120" s="20"/>
      <c r="F13120" s="20"/>
      <c r="AC13120" s="20"/>
      <c r="AG13120" s="32"/>
    </row>
    <row r="13121" spans="2:33">
      <c r="B13121" s="29"/>
      <c r="D13121" s="29"/>
      <c r="E13121" s="20"/>
      <c r="F13121" s="20"/>
      <c r="AC13121" s="20"/>
      <c r="AG13121" s="32"/>
    </row>
    <row r="13122" spans="2:33">
      <c r="B13122" s="29"/>
      <c r="D13122" s="29"/>
      <c r="E13122" s="20"/>
      <c r="F13122" s="20"/>
      <c r="AC13122" s="20"/>
      <c r="AG13122" s="32"/>
    </row>
    <row r="13123" spans="2:33">
      <c r="B13123" s="29"/>
      <c r="D13123" s="29"/>
      <c r="E13123" s="20"/>
      <c r="F13123" s="20"/>
      <c r="AC13123" s="20"/>
      <c r="AG13123" s="32"/>
    </row>
    <row r="13124" spans="2:33">
      <c r="B13124" s="29"/>
      <c r="D13124" s="29"/>
      <c r="E13124" s="20"/>
      <c r="F13124" s="20"/>
      <c r="AC13124" s="20"/>
      <c r="AG13124" s="32"/>
    </row>
    <row r="13125" spans="2:33">
      <c r="B13125" s="29"/>
      <c r="D13125" s="29"/>
      <c r="E13125" s="20"/>
      <c r="F13125" s="20"/>
      <c r="AC13125" s="20"/>
      <c r="AG13125" s="32"/>
    </row>
    <row r="13126" spans="2:33">
      <c r="B13126" s="29"/>
      <c r="D13126" s="29"/>
      <c r="E13126" s="20"/>
      <c r="F13126" s="20"/>
      <c r="AC13126" s="20"/>
      <c r="AG13126" s="32"/>
    </row>
    <row r="13127" spans="2:33">
      <c r="B13127" s="29"/>
      <c r="D13127" s="29"/>
      <c r="E13127" s="20"/>
      <c r="F13127" s="20"/>
      <c r="AC13127" s="20"/>
      <c r="AG13127" s="32"/>
    </row>
    <row r="13128" spans="2:33">
      <c r="B13128" s="29"/>
      <c r="D13128" s="29"/>
      <c r="E13128" s="20"/>
      <c r="F13128" s="20"/>
      <c r="AC13128" s="20"/>
      <c r="AG13128" s="32"/>
    </row>
    <row r="13129" spans="2:33">
      <c r="B13129" s="29"/>
      <c r="D13129" s="29"/>
      <c r="E13129" s="20"/>
      <c r="F13129" s="20"/>
      <c r="AC13129" s="20"/>
      <c r="AG13129" s="32"/>
    </row>
    <row r="13130" spans="2:33">
      <c r="B13130" s="29"/>
      <c r="D13130" s="29"/>
      <c r="E13130" s="20"/>
      <c r="F13130" s="20"/>
      <c r="AC13130" s="20"/>
      <c r="AG13130" s="32"/>
    </row>
    <row r="13131" spans="2:33">
      <c r="B13131" s="29"/>
      <c r="D13131" s="29"/>
      <c r="E13131" s="20"/>
      <c r="F13131" s="20"/>
      <c r="AC13131" s="20"/>
      <c r="AG13131" s="32"/>
    </row>
    <row r="13132" spans="2:33">
      <c r="B13132" s="29"/>
      <c r="D13132" s="29"/>
      <c r="E13132" s="20"/>
      <c r="F13132" s="20"/>
      <c r="AC13132" s="20"/>
      <c r="AG13132" s="32"/>
    </row>
    <row r="13133" spans="2:33">
      <c r="B13133" s="29"/>
      <c r="D13133" s="29"/>
      <c r="E13133" s="20"/>
      <c r="F13133" s="20"/>
      <c r="AC13133" s="20"/>
      <c r="AG13133" s="32"/>
    </row>
    <row r="13134" spans="2:33">
      <c r="B13134" s="29"/>
      <c r="D13134" s="29"/>
      <c r="E13134" s="20"/>
      <c r="F13134" s="20"/>
      <c r="AC13134" s="20"/>
      <c r="AG13134" s="32"/>
    </row>
    <row r="13135" spans="2:33">
      <c r="B13135" s="29"/>
      <c r="D13135" s="29"/>
      <c r="E13135" s="20"/>
      <c r="F13135" s="20"/>
      <c r="AC13135" s="20"/>
      <c r="AG13135" s="32"/>
    </row>
    <row r="13136" spans="2:33">
      <c r="B13136" s="29"/>
      <c r="D13136" s="29"/>
      <c r="E13136" s="20"/>
      <c r="F13136" s="20"/>
      <c r="AC13136" s="20"/>
      <c r="AG13136" s="32"/>
    </row>
    <row r="13137" spans="2:33">
      <c r="B13137" s="29"/>
      <c r="D13137" s="29"/>
      <c r="E13137" s="20"/>
      <c r="F13137" s="20"/>
      <c r="AC13137" s="20"/>
      <c r="AG13137" s="32"/>
    </row>
    <row r="13138" spans="2:33">
      <c r="B13138" s="29"/>
      <c r="D13138" s="29"/>
      <c r="E13138" s="20"/>
      <c r="F13138" s="20"/>
      <c r="AC13138" s="20"/>
      <c r="AG13138" s="32"/>
    </row>
    <row r="13139" spans="2:33">
      <c r="B13139" s="29"/>
      <c r="D13139" s="29"/>
      <c r="E13139" s="20"/>
      <c r="F13139" s="20"/>
      <c r="AC13139" s="20"/>
      <c r="AG13139" s="32"/>
    </row>
    <row r="13140" spans="2:33">
      <c r="B13140" s="29"/>
      <c r="D13140" s="29"/>
      <c r="E13140" s="20"/>
      <c r="F13140" s="20"/>
      <c r="AC13140" s="20"/>
      <c r="AG13140" s="32"/>
    </row>
    <row r="13141" spans="2:33">
      <c r="B13141" s="29"/>
      <c r="D13141" s="29"/>
      <c r="E13141" s="20"/>
      <c r="F13141" s="20"/>
      <c r="AC13141" s="20"/>
      <c r="AG13141" s="32"/>
    </row>
    <row r="13142" spans="2:33">
      <c r="B13142" s="29"/>
      <c r="D13142" s="29"/>
      <c r="E13142" s="20"/>
      <c r="F13142" s="20"/>
      <c r="AC13142" s="20"/>
      <c r="AG13142" s="32"/>
    </row>
    <row r="13143" spans="2:33">
      <c r="B13143" s="29"/>
      <c r="D13143" s="29"/>
      <c r="E13143" s="20"/>
      <c r="F13143" s="20"/>
      <c r="AC13143" s="20"/>
      <c r="AG13143" s="32"/>
    </row>
    <row r="13144" spans="2:33">
      <c r="B13144" s="29"/>
      <c r="D13144" s="29"/>
      <c r="E13144" s="20"/>
      <c r="F13144" s="20"/>
      <c r="AC13144" s="20"/>
      <c r="AG13144" s="32"/>
    </row>
    <row r="13145" spans="2:33">
      <c r="B13145" s="29"/>
      <c r="D13145" s="29"/>
      <c r="E13145" s="20"/>
      <c r="F13145" s="20"/>
      <c r="AC13145" s="20"/>
      <c r="AG13145" s="32"/>
    </row>
    <row r="13146" spans="2:33">
      <c r="B13146" s="29"/>
      <c r="D13146" s="29"/>
      <c r="E13146" s="20"/>
      <c r="F13146" s="20"/>
      <c r="AC13146" s="20"/>
      <c r="AG13146" s="32"/>
    </row>
    <row r="13147" spans="2:33">
      <c r="B13147" s="29"/>
      <c r="D13147" s="29"/>
      <c r="E13147" s="20"/>
      <c r="F13147" s="20"/>
      <c r="AC13147" s="20"/>
      <c r="AG13147" s="32"/>
    </row>
    <row r="13148" spans="2:33">
      <c r="B13148" s="29"/>
      <c r="D13148" s="29"/>
      <c r="E13148" s="20"/>
      <c r="F13148" s="20"/>
      <c r="AC13148" s="20"/>
      <c r="AG13148" s="32"/>
    </row>
    <row r="13149" spans="2:33">
      <c r="B13149" s="29"/>
      <c r="D13149" s="29"/>
      <c r="E13149" s="20"/>
      <c r="F13149" s="20"/>
      <c r="AC13149" s="20"/>
      <c r="AG13149" s="32"/>
    </row>
    <row r="13150" spans="2:33">
      <c r="B13150" s="29"/>
      <c r="D13150" s="29"/>
      <c r="E13150" s="20"/>
      <c r="F13150" s="20"/>
      <c r="AC13150" s="20"/>
      <c r="AG13150" s="32"/>
    </row>
    <row r="13151" spans="2:33">
      <c r="B13151" s="29"/>
      <c r="D13151" s="29"/>
      <c r="E13151" s="20"/>
      <c r="F13151" s="20"/>
      <c r="AC13151" s="20"/>
      <c r="AG13151" s="32"/>
    </row>
    <row r="13152" spans="2:33">
      <c r="B13152" s="29"/>
      <c r="D13152" s="29"/>
      <c r="E13152" s="20"/>
      <c r="F13152" s="20"/>
      <c r="AC13152" s="20"/>
      <c r="AG13152" s="32"/>
    </row>
    <row r="13153" spans="2:33">
      <c r="B13153" s="29"/>
      <c r="D13153" s="29"/>
      <c r="E13153" s="20"/>
      <c r="F13153" s="20"/>
      <c r="AC13153" s="20"/>
      <c r="AG13153" s="32"/>
    </row>
    <row r="13154" spans="2:33">
      <c r="B13154" s="29"/>
      <c r="D13154" s="29"/>
      <c r="E13154" s="20"/>
      <c r="F13154" s="20"/>
      <c r="AC13154" s="20"/>
      <c r="AG13154" s="32"/>
    </row>
    <row r="13155" spans="2:33">
      <c r="B13155" s="29"/>
      <c r="D13155" s="29"/>
      <c r="E13155" s="20"/>
      <c r="F13155" s="20"/>
      <c r="AC13155" s="20"/>
      <c r="AG13155" s="32"/>
    </row>
    <row r="13156" spans="2:33">
      <c r="B13156" s="29"/>
      <c r="D13156" s="29"/>
      <c r="E13156" s="20"/>
      <c r="F13156" s="20"/>
      <c r="AC13156" s="20"/>
      <c r="AG13156" s="32"/>
    </row>
    <row r="13157" spans="2:33">
      <c r="B13157" s="29"/>
      <c r="D13157" s="29"/>
      <c r="E13157" s="20"/>
      <c r="F13157" s="20"/>
      <c r="AC13157" s="20"/>
      <c r="AG13157" s="32"/>
    </row>
    <row r="13158" spans="2:33">
      <c r="B13158" s="29"/>
      <c r="D13158" s="29"/>
      <c r="E13158" s="20"/>
      <c r="F13158" s="20"/>
      <c r="AC13158" s="20"/>
      <c r="AG13158" s="32"/>
    </row>
    <row r="13159" spans="2:33">
      <c r="B13159" s="29"/>
      <c r="D13159" s="29"/>
      <c r="E13159" s="20"/>
      <c r="F13159" s="20"/>
      <c r="AC13159" s="20"/>
      <c r="AG13159" s="32"/>
    </row>
    <row r="13160" spans="2:33">
      <c r="B13160" s="29"/>
      <c r="D13160" s="29"/>
      <c r="E13160" s="20"/>
      <c r="F13160" s="20"/>
      <c r="AC13160" s="20"/>
      <c r="AG13160" s="32"/>
    </row>
    <row r="13161" spans="2:33">
      <c r="B13161" s="29"/>
      <c r="D13161" s="29"/>
      <c r="E13161" s="20"/>
      <c r="F13161" s="20"/>
      <c r="AC13161" s="20"/>
      <c r="AG13161" s="32"/>
    </row>
    <row r="13162" spans="2:33">
      <c r="B13162" s="29"/>
      <c r="D13162" s="29"/>
      <c r="E13162" s="20"/>
      <c r="F13162" s="20"/>
      <c r="AC13162" s="20"/>
      <c r="AG13162" s="32"/>
    </row>
    <row r="13163" spans="2:33">
      <c r="B13163" s="29"/>
      <c r="D13163" s="29"/>
      <c r="E13163" s="20"/>
      <c r="F13163" s="20"/>
      <c r="AC13163" s="20"/>
      <c r="AG13163" s="32"/>
    </row>
    <row r="13164" spans="2:33">
      <c r="B13164" s="29"/>
      <c r="D13164" s="29"/>
      <c r="E13164" s="20"/>
      <c r="F13164" s="20"/>
      <c r="AC13164" s="20"/>
      <c r="AG13164" s="32"/>
    </row>
    <row r="13165" spans="2:33">
      <c r="B13165" s="29"/>
      <c r="D13165" s="29"/>
      <c r="E13165" s="20"/>
      <c r="F13165" s="20"/>
      <c r="AC13165" s="20"/>
      <c r="AG13165" s="32"/>
    </row>
    <row r="13166" spans="2:33">
      <c r="B13166" s="29"/>
      <c r="D13166" s="29"/>
      <c r="E13166" s="20"/>
      <c r="F13166" s="20"/>
      <c r="AC13166" s="20"/>
      <c r="AG13166" s="32"/>
    </row>
    <row r="13167" spans="2:33">
      <c r="B13167" s="29"/>
      <c r="D13167" s="29"/>
      <c r="E13167" s="20"/>
      <c r="F13167" s="20"/>
      <c r="AC13167" s="20"/>
      <c r="AG13167" s="32"/>
    </row>
    <row r="13168" spans="2:33">
      <c r="B13168" s="29"/>
      <c r="D13168" s="29"/>
      <c r="E13168" s="20"/>
      <c r="F13168" s="20"/>
      <c r="AC13168" s="20"/>
      <c r="AG13168" s="32"/>
    </row>
    <row r="13169" spans="2:33">
      <c r="B13169" s="29"/>
      <c r="D13169" s="29"/>
      <c r="E13169" s="20"/>
      <c r="F13169" s="20"/>
      <c r="AC13169" s="20"/>
      <c r="AG13169" s="32"/>
    </row>
    <row r="13170" spans="2:33">
      <c r="B13170" s="29"/>
      <c r="D13170" s="29"/>
      <c r="E13170" s="20"/>
      <c r="F13170" s="20"/>
      <c r="AC13170" s="20"/>
      <c r="AG13170" s="32"/>
    </row>
    <row r="13171" spans="2:33">
      <c r="B13171" s="29"/>
      <c r="D13171" s="29"/>
      <c r="E13171" s="20"/>
      <c r="F13171" s="20"/>
      <c r="AC13171" s="20"/>
      <c r="AG13171" s="32"/>
    </row>
    <row r="13172" spans="2:33">
      <c r="B13172" s="29"/>
      <c r="D13172" s="29"/>
      <c r="E13172" s="20"/>
      <c r="F13172" s="20"/>
      <c r="AC13172" s="20"/>
      <c r="AG13172" s="32"/>
    </row>
    <row r="13173" spans="2:33">
      <c r="B13173" s="29"/>
      <c r="D13173" s="29"/>
      <c r="E13173" s="20"/>
      <c r="F13173" s="20"/>
      <c r="AC13173" s="20"/>
      <c r="AG13173" s="32"/>
    </row>
    <row r="13174" spans="2:33">
      <c r="B13174" s="29"/>
      <c r="D13174" s="29"/>
      <c r="E13174" s="20"/>
      <c r="F13174" s="20"/>
      <c r="AC13174" s="20"/>
      <c r="AG13174" s="32"/>
    </row>
    <row r="13175" spans="2:33">
      <c r="B13175" s="29"/>
      <c r="D13175" s="29"/>
      <c r="E13175" s="20"/>
      <c r="F13175" s="20"/>
      <c r="AC13175" s="20"/>
      <c r="AG13175" s="32"/>
    </row>
    <row r="13176" spans="2:33">
      <c r="B13176" s="29"/>
      <c r="D13176" s="29"/>
      <c r="E13176" s="20"/>
      <c r="F13176" s="20"/>
      <c r="AC13176" s="20"/>
      <c r="AG13176" s="32"/>
    </row>
    <row r="13177" spans="2:33">
      <c r="B13177" s="29"/>
      <c r="D13177" s="29"/>
      <c r="E13177" s="20"/>
      <c r="F13177" s="20"/>
      <c r="AC13177" s="20"/>
      <c r="AG13177" s="32"/>
    </row>
    <row r="13178" spans="2:33">
      <c r="B13178" s="29"/>
      <c r="D13178" s="29"/>
      <c r="E13178" s="20"/>
      <c r="F13178" s="20"/>
      <c r="AC13178" s="20"/>
      <c r="AG13178" s="32"/>
    </row>
    <row r="13179" spans="2:33">
      <c r="B13179" s="29"/>
      <c r="D13179" s="29"/>
      <c r="E13179" s="20"/>
      <c r="F13179" s="20"/>
      <c r="AC13179" s="20"/>
      <c r="AG13179" s="32"/>
    </row>
    <row r="13180" spans="2:33">
      <c r="B13180" s="29"/>
      <c r="D13180" s="29"/>
      <c r="E13180" s="20"/>
      <c r="F13180" s="20"/>
      <c r="AC13180" s="20"/>
      <c r="AG13180" s="32"/>
    </row>
    <row r="13181" spans="2:33">
      <c r="B13181" s="29"/>
      <c r="D13181" s="29"/>
      <c r="E13181" s="20"/>
      <c r="F13181" s="20"/>
      <c r="AC13181" s="20"/>
      <c r="AG13181" s="32"/>
    </row>
    <row r="13182" spans="2:33">
      <c r="B13182" s="29"/>
      <c r="D13182" s="29"/>
      <c r="E13182" s="20"/>
      <c r="F13182" s="20"/>
      <c r="AC13182" s="20"/>
      <c r="AG13182" s="32"/>
    </row>
    <row r="13183" spans="2:33">
      <c r="B13183" s="29"/>
      <c r="D13183" s="29"/>
      <c r="E13183" s="20"/>
      <c r="F13183" s="20"/>
      <c r="AC13183" s="20"/>
      <c r="AG13183" s="32"/>
    </row>
    <row r="13184" spans="2:33">
      <c r="B13184" s="29"/>
      <c r="D13184" s="29"/>
      <c r="E13184" s="20"/>
      <c r="F13184" s="20"/>
      <c r="AC13184" s="20"/>
      <c r="AG13184" s="32"/>
    </row>
    <row r="13185" spans="2:33">
      <c r="B13185" s="29"/>
      <c r="D13185" s="29"/>
      <c r="E13185" s="20"/>
      <c r="F13185" s="20"/>
      <c r="AC13185" s="20"/>
      <c r="AG13185" s="32"/>
    </row>
    <row r="13186" spans="2:33">
      <c r="B13186" s="29"/>
      <c r="D13186" s="29"/>
      <c r="E13186" s="20"/>
      <c r="F13186" s="20"/>
      <c r="AC13186" s="20"/>
      <c r="AG13186" s="32"/>
    </row>
    <row r="13187" spans="2:33">
      <c r="B13187" s="29"/>
      <c r="D13187" s="29"/>
      <c r="E13187" s="20"/>
      <c r="F13187" s="20"/>
      <c r="AC13187" s="20"/>
      <c r="AG13187" s="32"/>
    </row>
    <row r="13188" spans="2:33">
      <c r="B13188" s="29"/>
      <c r="D13188" s="29"/>
      <c r="E13188" s="20"/>
      <c r="F13188" s="20"/>
      <c r="AC13188" s="20"/>
      <c r="AG13188" s="32"/>
    </row>
    <row r="13189" spans="2:33">
      <c r="B13189" s="29"/>
      <c r="D13189" s="29"/>
      <c r="E13189" s="20"/>
      <c r="F13189" s="20"/>
      <c r="AC13189" s="20"/>
      <c r="AG13189" s="32"/>
    </row>
    <row r="13190" spans="2:33">
      <c r="B13190" s="29"/>
      <c r="D13190" s="29"/>
      <c r="E13190" s="20"/>
      <c r="F13190" s="20"/>
      <c r="AC13190" s="20"/>
      <c r="AG13190" s="32"/>
    </row>
    <row r="13191" spans="2:33">
      <c r="B13191" s="29"/>
      <c r="D13191" s="29"/>
      <c r="E13191" s="20"/>
      <c r="F13191" s="20"/>
      <c r="AC13191" s="20"/>
      <c r="AG13191" s="32"/>
    </row>
    <row r="13192" spans="2:33">
      <c r="B13192" s="29"/>
      <c r="D13192" s="29"/>
      <c r="E13192" s="20"/>
      <c r="F13192" s="20"/>
      <c r="AC13192" s="20"/>
      <c r="AG13192" s="32"/>
    </row>
    <row r="13193" spans="2:33">
      <c r="B13193" s="29"/>
      <c r="D13193" s="29"/>
      <c r="E13193" s="20"/>
      <c r="F13193" s="20"/>
      <c r="AC13193" s="20"/>
      <c r="AG13193" s="32"/>
    </row>
    <row r="13194" spans="2:33">
      <c r="B13194" s="29"/>
      <c r="D13194" s="29"/>
      <c r="E13194" s="20"/>
      <c r="F13194" s="20"/>
      <c r="AC13194" s="20"/>
      <c r="AG13194" s="32"/>
    </row>
    <row r="13195" spans="2:33">
      <c r="B13195" s="29"/>
      <c r="D13195" s="29"/>
      <c r="E13195" s="20"/>
      <c r="F13195" s="20"/>
      <c r="AC13195" s="20"/>
      <c r="AG13195" s="32"/>
    </row>
    <row r="13196" spans="2:33">
      <c r="B13196" s="29"/>
      <c r="D13196" s="29"/>
      <c r="E13196" s="20"/>
      <c r="F13196" s="20"/>
      <c r="AC13196" s="20"/>
      <c r="AG13196" s="32"/>
    </row>
    <row r="13197" spans="2:33">
      <c r="B13197" s="29"/>
      <c r="D13197" s="29"/>
      <c r="E13197" s="20"/>
      <c r="F13197" s="20"/>
      <c r="AC13197" s="20"/>
      <c r="AG13197" s="32"/>
    </row>
    <row r="13198" spans="2:33">
      <c r="B13198" s="29"/>
      <c r="D13198" s="29"/>
      <c r="E13198" s="20"/>
      <c r="F13198" s="20"/>
      <c r="AC13198" s="20"/>
      <c r="AG13198" s="32"/>
    </row>
    <row r="13199" spans="2:33">
      <c r="B13199" s="29"/>
      <c r="D13199" s="29"/>
      <c r="E13199" s="20"/>
      <c r="F13199" s="20"/>
      <c r="AC13199" s="20"/>
      <c r="AG13199" s="32"/>
    </row>
    <row r="13200" spans="2:33">
      <c r="B13200" s="29"/>
      <c r="D13200" s="29"/>
      <c r="E13200" s="20"/>
      <c r="F13200" s="20"/>
      <c r="AC13200" s="20"/>
      <c r="AG13200" s="32"/>
    </row>
    <row r="13201" spans="2:33">
      <c r="B13201" s="29"/>
      <c r="D13201" s="29"/>
      <c r="E13201" s="20"/>
      <c r="F13201" s="20"/>
      <c r="AC13201" s="20"/>
      <c r="AG13201" s="32"/>
    </row>
    <row r="13202" spans="2:33">
      <c r="B13202" s="29"/>
      <c r="D13202" s="29"/>
      <c r="E13202" s="20"/>
      <c r="F13202" s="20"/>
      <c r="AC13202" s="20"/>
      <c r="AG13202" s="32"/>
    </row>
    <row r="13203" spans="2:33">
      <c r="B13203" s="29"/>
      <c r="D13203" s="29"/>
      <c r="E13203" s="20"/>
      <c r="F13203" s="20"/>
      <c r="AC13203" s="20"/>
      <c r="AG13203" s="32"/>
    </row>
    <row r="13204" spans="2:33">
      <c r="B13204" s="29"/>
      <c r="D13204" s="29"/>
      <c r="E13204" s="20"/>
      <c r="F13204" s="20"/>
      <c r="AC13204" s="20"/>
      <c r="AG13204" s="32"/>
    </row>
    <row r="13205" spans="2:33">
      <c r="B13205" s="29"/>
      <c r="D13205" s="29"/>
      <c r="E13205" s="20"/>
      <c r="F13205" s="20"/>
      <c r="AC13205" s="20"/>
      <c r="AG13205" s="32"/>
    </row>
    <row r="13206" spans="2:33">
      <c r="B13206" s="29"/>
      <c r="D13206" s="29"/>
      <c r="E13206" s="20"/>
      <c r="F13206" s="20"/>
      <c r="AC13206" s="20"/>
      <c r="AG13206" s="32"/>
    </row>
    <row r="13207" spans="2:33">
      <c r="B13207" s="29"/>
      <c r="D13207" s="29"/>
      <c r="E13207" s="20"/>
      <c r="F13207" s="20"/>
      <c r="AC13207" s="20"/>
      <c r="AG13207" s="32"/>
    </row>
    <row r="13208" spans="2:33">
      <c r="B13208" s="29"/>
      <c r="D13208" s="29"/>
      <c r="E13208" s="20"/>
      <c r="F13208" s="20"/>
      <c r="AC13208" s="20"/>
      <c r="AG13208" s="32"/>
    </row>
    <row r="13209" spans="2:33">
      <c r="B13209" s="29"/>
      <c r="D13209" s="29"/>
      <c r="E13209" s="20"/>
      <c r="F13209" s="20"/>
      <c r="AC13209" s="20"/>
      <c r="AG13209" s="32"/>
    </row>
    <row r="13210" spans="2:33">
      <c r="B13210" s="29"/>
      <c r="D13210" s="29"/>
      <c r="E13210" s="20"/>
      <c r="F13210" s="20"/>
      <c r="AC13210" s="20"/>
      <c r="AG13210" s="32"/>
    </row>
    <row r="13211" spans="2:33">
      <c r="B13211" s="29"/>
      <c r="D13211" s="29"/>
      <c r="E13211" s="20"/>
      <c r="F13211" s="20"/>
      <c r="AC13211" s="20"/>
      <c r="AG13211" s="32"/>
    </row>
    <row r="13212" spans="2:33">
      <c r="B13212" s="29"/>
      <c r="D13212" s="29"/>
      <c r="E13212" s="20"/>
      <c r="F13212" s="20"/>
      <c r="AC13212" s="20"/>
      <c r="AG13212" s="32"/>
    </row>
    <row r="13213" spans="2:33">
      <c r="B13213" s="29"/>
      <c r="D13213" s="29"/>
      <c r="E13213" s="20"/>
      <c r="F13213" s="20"/>
      <c r="AC13213" s="20"/>
      <c r="AG13213" s="32"/>
    </row>
    <row r="13214" spans="2:33">
      <c r="B13214" s="29"/>
      <c r="D13214" s="29"/>
      <c r="E13214" s="20"/>
      <c r="F13214" s="20"/>
      <c r="AC13214" s="20"/>
      <c r="AG13214" s="32"/>
    </row>
    <row r="13215" spans="2:33">
      <c r="B13215" s="29"/>
      <c r="D13215" s="29"/>
      <c r="E13215" s="20"/>
      <c r="F13215" s="20"/>
      <c r="AC13215" s="20"/>
      <c r="AG13215" s="32"/>
    </row>
    <row r="13216" spans="2:33">
      <c r="B13216" s="29"/>
      <c r="D13216" s="29"/>
      <c r="E13216" s="20"/>
      <c r="F13216" s="20"/>
      <c r="AC13216" s="20"/>
      <c r="AG13216" s="32"/>
    </row>
    <row r="13217" spans="2:33">
      <c r="B13217" s="29"/>
      <c r="D13217" s="29"/>
      <c r="E13217" s="20"/>
      <c r="F13217" s="20"/>
      <c r="AC13217" s="20"/>
      <c r="AG13217" s="32"/>
    </row>
    <row r="13218" spans="2:33">
      <c r="B13218" s="29"/>
      <c r="D13218" s="29"/>
      <c r="E13218" s="20"/>
      <c r="F13218" s="20"/>
      <c r="AC13218" s="20"/>
      <c r="AG13218" s="32"/>
    </row>
    <row r="13219" spans="2:33">
      <c r="B13219" s="29"/>
      <c r="D13219" s="29"/>
      <c r="E13219" s="20"/>
      <c r="F13219" s="20"/>
      <c r="AC13219" s="20"/>
      <c r="AG13219" s="32"/>
    </row>
    <row r="13220" spans="2:33">
      <c r="B13220" s="29"/>
      <c r="D13220" s="29"/>
      <c r="E13220" s="20"/>
      <c r="F13220" s="20"/>
      <c r="AC13220" s="20"/>
      <c r="AG13220" s="32"/>
    </row>
    <row r="13221" spans="2:33">
      <c r="B13221" s="29"/>
      <c r="D13221" s="29"/>
      <c r="E13221" s="20"/>
      <c r="F13221" s="20"/>
      <c r="AC13221" s="20"/>
      <c r="AG13221" s="32"/>
    </row>
    <row r="13222" spans="2:33">
      <c r="B13222" s="29"/>
      <c r="D13222" s="29"/>
      <c r="E13222" s="20"/>
      <c r="F13222" s="20"/>
      <c r="AC13222" s="20"/>
      <c r="AG13222" s="32"/>
    </row>
    <row r="13223" spans="2:33">
      <c r="B13223" s="29"/>
      <c r="D13223" s="29"/>
      <c r="E13223" s="20"/>
      <c r="F13223" s="20"/>
      <c r="AC13223" s="20"/>
      <c r="AG13223" s="32"/>
    </row>
    <row r="13224" spans="2:33">
      <c r="B13224" s="29"/>
      <c r="D13224" s="29"/>
      <c r="E13224" s="20"/>
      <c r="F13224" s="20"/>
      <c r="AC13224" s="20"/>
      <c r="AG13224" s="32"/>
    </row>
    <row r="13225" spans="2:33">
      <c r="B13225" s="29"/>
      <c r="D13225" s="29"/>
      <c r="E13225" s="20"/>
      <c r="F13225" s="20"/>
      <c r="AC13225" s="20"/>
      <c r="AG13225" s="32"/>
    </row>
    <row r="13226" spans="2:33">
      <c r="B13226" s="29"/>
      <c r="D13226" s="29"/>
      <c r="E13226" s="20"/>
      <c r="F13226" s="20"/>
      <c r="AC13226" s="20"/>
      <c r="AG13226" s="32"/>
    </row>
    <row r="13227" spans="2:33">
      <c r="B13227" s="29"/>
      <c r="D13227" s="29"/>
      <c r="E13227" s="20"/>
      <c r="F13227" s="20"/>
      <c r="AC13227" s="20"/>
      <c r="AG13227" s="32"/>
    </row>
    <row r="13228" spans="2:33">
      <c r="B13228" s="29"/>
      <c r="D13228" s="29"/>
      <c r="E13228" s="20"/>
      <c r="F13228" s="20"/>
      <c r="AC13228" s="20"/>
      <c r="AG13228" s="32"/>
    </row>
    <row r="13229" spans="2:33">
      <c r="B13229" s="29"/>
      <c r="D13229" s="29"/>
      <c r="E13229" s="20"/>
      <c r="F13229" s="20"/>
      <c r="AC13229" s="20"/>
      <c r="AG13229" s="32"/>
    </row>
    <row r="13230" spans="2:33">
      <c r="B13230" s="29"/>
      <c r="D13230" s="29"/>
      <c r="E13230" s="20"/>
      <c r="F13230" s="20"/>
      <c r="AC13230" s="20"/>
      <c r="AG13230" s="32"/>
    </row>
    <row r="13231" spans="2:33">
      <c r="B13231" s="29"/>
      <c r="D13231" s="29"/>
      <c r="E13231" s="20"/>
      <c r="F13231" s="20"/>
      <c r="AC13231" s="20"/>
      <c r="AG13231" s="32"/>
    </row>
    <row r="13232" spans="2:33">
      <c r="B13232" s="29"/>
      <c r="D13232" s="29"/>
      <c r="E13232" s="20"/>
      <c r="F13232" s="20"/>
      <c r="AC13232" s="20"/>
      <c r="AG13232" s="32"/>
    </row>
    <row r="13233" spans="2:33">
      <c r="B13233" s="29"/>
      <c r="D13233" s="29"/>
      <c r="E13233" s="20"/>
      <c r="F13233" s="20"/>
      <c r="AC13233" s="20"/>
      <c r="AG13233" s="32"/>
    </row>
    <row r="13234" spans="2:33">
      <c r="B13234" s="29"/>
      <c r="D13234" s="29"/>
      <c r="E13234" s="20"/>
      <c r="F13234" s="20"/>
      <c r="AC13234" s="20"/>
      <c r="AG13234" s="32"/>
    </row>
    <row r="13235" spans="2:33">
      <c r="B13235" s="29"/>
      <c r="D13235" s="29"/>
      <c r="E13235" s="20"/>
      <c r="F13235" s="20"/>
      <c r="AC13235" s="20"/>
      <c r="AG13235" s="32"/>
    </row>
    <row r="13236" spans="2:33">
      <c r="B13236" s="29"/>
      <c r="D13236" s="29"/>
      <c r="E13236" s="20"/>
      <c r="F13236" s="20"/>
      <c r="AC13236" s="20"/>
      <c r="AG13236" s="32"/>
    </row>
    <row r="13237" spans="2:33">
      <c r="B13237" s="29"/>
      <c r="D13237" s="29"/>
      <c r="E13237" s="20"/>
      <c r="F13237" s="20"/>
      <c r="AC13237" s="20"/>
      <c r="AG13237" s="32"/>
    </row>
    <row r="13238" spans="2:33">
      <c r="B13238" s="29"/>
      <c r="D13238" s="29"/>
      <c r="E13238" s="20"/>
      <c r="F13238" s="20"/>
      <c r="AC13238" s="20"/>
      <c r="AG13238" s="32"/>
    </row>
    <row r="13239" spans="2:33">
      <c r="B13239" s="29"/>
      <c r="D13239" s="29"/>
      <c r="E13239" s="20"/>
      <c r="F13239" s="20"/>
      <c r="AC13239" s="20"/>
      <c r="AG13239" s="32"/>
    </row>
    <row r="13240" spans="2:33">
      <c r="B13240" s="29"/>
      <c r="D13240" s="29"/>
      <c r="E13240" s="20"/>
      <c r="F13240" s="20"/>
      <c r="AC13240" s="20"/>
      <c r="AG13240" s="32"/>
    </row>
    <row r="13241" spans="2:33">
      <c r="B13241" s="29"/>
      <c r="D13241" s="29"/>
      <c r="E13241" s="20"/>
      <c r="F13241" s="20"/>
      <c r="AC13241" s="20"/>
      <c r="AG13241" s="32"/>
    </row>
    <row r="13242" spans="2:33">
      <c r="B13242" s="29"/>
      <c r="D13242" s="29"/>
      <c r="E13242" s="20"/>
      <c r="F13242" s="20"/>
      <c r="AC13242" s="20"/>
      <c r="AG13242" s="32"/>
    </row>
  </sheetData>
  <autoFilter ref="A1:AG278" xr:uid="{A9FC0D49-8D65-45C4-BF76-8C6A07DD433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918F-03B9-4924-9ABE-E56B7AC56A7F}">
  <dimension ref="A1:J23"/>
  <sheetViews>
    <sheetView tabSelected="1" workbookViewId="0">
      <selection activeCell="D14" sqref="D14"/>
    </sheetView>
  </sheetViews>
  <sheetFormatPr defaultColWidth="11.42578125" defaultRowHeight="15"/>
  <cols>
    <col min="1" max="1" width="18.7109375" bestFit="1" customWidth="1"/>
    <col min="2" max="2" width="19" bestFit="1" customWidth="1"/>
    <col min="3" max="3" width="23.28515625" bestFit="1" customWidth="1"/>
    <col min="4" max="4" width="28.140625" bestFit="1" customWidth="1"/>
    <col min="5" max="5" width="33.5703125" bestFit="1" customWidth="1"/>
    <col min="6" max="6" width="31" bestFit="1" customWidth="1"/>
    <col min="7" max="7" width="35.140625" bestFit="1" customWidth="1"/>
    <col min="8" max="8" width="24" bestFit="1" customWidth="1"/>
    <col min="9" max="9" width="19" bestFit="1" customWidth="1"/>
    <col min="10" max="10" width="28.140625" bestFit="1" customWidth="1"/>
    <col min="11" max="11" width="17.7109375" bestFit="1" customWidth="1"/>
    <col min="12" max="12" width="26" bestFit="1" customWidth="1"/>
    <col min="13" max="13" width="17.7109375" bestFit="1" customWidth="1"/>
    <col min="14" max="14" width="26" bestFit="1" customWidth="1"/>
    <col min="15" max="15" width="17.7109375" bestFit="1" customWidth="1"/>
    <col min="16" max="16" width="26" bestFit="1" customWidth="1"/>
    <col min="17" max="17" width="17.7109375" bestFit="1" customWidth="1"/>
    <col min="18" max="18" width="26" bestFit="1" customWidth="1"/>
    <col min="19" max="19" width="17.7109375" bestFit="1" customWidth="1"/>
    <col min="20" max="20" width="26" bestFit="1" customWidth="1"/>
    <col min="21" max="21" width="17.7109375" bestFit="1" customWidth="1"/>
    <col min="22" max="22" width="26" bestFit="1" customWidth="1"/>
    <col min="23" max="23" width="17.7109375" bestFit="1" customWidth="1"/>
    <col min="24" max="24" width="26" bestFit="1" customWidth="1"/>
    <col min="25" max="25" width="17.7109375" bestFit="1" customWidth="1"/>
    <col min="26" max="26" width="26" bestFit="1" customWidth="1"/>
    <col min="27" max="27" width="17.7109375" bestFit="1" customWidth="1"/>
    <col min="28" max="28" width="26" bestFit="1" customWidth="1"/>
    <col min="29" max="29" width="17.7109375" bestFit="1" customWidth="1"/>
    <col min="30" max="30" width="26" bestFit="1" customWidth="1"/>
    <col min="31" max="31" width="17.7109375" bestFit="1" customWidth="1"/>
    <col min="32" max="32" width="26" bestFit="1" customWidth="1"/>
    <col min="33" max="33" width="22.28515625" bestFit="1" customWidth="1"/>
    <col min="34" max="34" width="30.5703125" bestFit="1" customWidth="1"/>
    <col min="35" max="35" width="33.28515625" bestFit="1" customWidth="1"/>
    <col min="36" max="36" width="40.140625" bestFit="1" customWidth="1"/>
  </cols>
  <sheetData>
    <row r="1" spans="1:10">
      <c r="A1" s="41" t="s">
        <v>275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</row>
    <row r="2" spans="1:10">
      <c r="A2" s="42" t="s">
        <v>92</v>
      </c>
      <c r="B2">
        <v>86022.02</v>
      </c>
      <c r="C2">
        <v>30756.770249999998</v>
      </c>
      <c r="D2">
        <v>30756.770249999998</v>
      </c>
      <c r="F2">
        <v>22871.996200000001</v>
      </c>
      <c r="H2" s="60" t="s">
        <v>281</v>
      </c>
      <c r="I2" s="61" t="s">
        <v>282</v>
      </c>
      <c r="J2" s="49" t="s">
        <v>283</v>
      </c>
    </row>
    <row r="3" spans="1:10">
      <c r="A3" s="42" t="s">
        <v>284</v>
      </c>
      <c r="B3">
        <v>86022.02</v>
      </c>
      <c r="C3">
        <v>30756.770249999998</v>
      </c>
      <c r="D3">
        <v>30756.770249999998</v>
      </c>
      <c r="F3">
        <v>22871.996200000001</v>
      </c>
      <c r="H3" t="s">
        <v>92</v>
      </c>
      <c r="I3" s="62"/>
      <c r="J3" s="64"/>
    </row>
    <row r="5" spans="1:10">
      <c r="A5" s="52" t="s">
        <v>285</v>
      </c>
    </row>
    <row r="6" spans="1:10">
      <c r="A6" s="49" t="s">
        <v>275</v>
      </c>
      <c r="B6" s="49" t="s">
        <v>276</v>
      </c>
      <c r="C6" s="49" t="s">
        <v>277</v>
      </c>
      <c r="D6" s="49" t="s">
        <v>278</v>
      </c>
      <c r="E6" s="49" t="s">
        <v>279</v>
      </c>
      <c r="F6" s="49" t="s">
        <v>280</v>
      </c>
      <c r="H6" s="41" t="s">
        <v>286</v>
      </c>
      <c r="I6" t="s">
        <v>287</v>
      </c>
    </row>
    <row r="7" spans="1:10">
      <c r="A7" s="42" t="s">
        <v>92</v>
      </c>
    </row>
    <row r="8" spans="1:10">
      <c r="A8" s="50" t="s">
        <v>284</v>
      </c>
      <c r="B8" s="51">
        <v>33404.710000000006</v>
      </c>
      <c r="C8" s="51">
        <v>12117.3</v>
      </c>
      <c r="D8" s="51">
        <v>12117.3</v>
      </c>
      <c r="E8" s="51"/>
      <c r="F8" s="51">
        <v>8847.58</v>
      </c>
      <c r="H8" s="41" t="s">
        <v>275</v>
      </c>
      <c r="I8" t="s">
        <v>276</v>
      </c>
      <c r="J8" t="s">
        <v>278</v>
      </c>
    </row>
    <row r="9" spans="1:10">
      <c r="H9" s="42" t="s">
        <v>284</v>
      </c>
      <c r="I9" s="63"/>
      <c r="J9" s="63"/>
    </row>
    <row r="11" spans="1:10">
      <c r="A11" s="52" t="s">
        <v>288</v>
      </c>
      <c r="B11" s="53">
        <f>+B2-B8</f>
        <v>52617.31</v>
      </c>
      <c r="C11" s="53">
        <f t="shared" ref="C11:F11" si="0">+C2-C8</f>
        <v>18639.470249999998</v>
      </c>
      <c r="D11" s="53">
        <f t="shared" si="0"/>
        <v>18639.470249999998</v>
      </c>
      <c r="E11" s="53">
        <f t="shared" si="0"/>
        <v>0</v>
      </c>
      <c r="F11" s="53">
        <f t="shared" si="0"/>
        <v>14024.416200000001</v>
      </c>
    </row>
    <row r="12" spans="1:10">
      <c r="H12" s="52" t="s">
        <v>289</v>
      </c>
    </row>
    <row r="14" spans="1:10">
      <c r="H14" t="s">
        <v>290</v>
      </c>
      <c r="I14" s="63">
        <f>+GETPIVOTDATA("Suma de Prima neta",$A$1)-I3-GETPIVOTDATA("Suma de Prima neta",$H$8)</f>
        <v>86022.02</v>
      </c>
      <c r="J14">
        <f>+GETPIVOTDATA("Suma de Comisión prima neta",$A$1)-J3-GETPIVOTDATA("Suma de Comisión prima neta",$H$8)</f>
        <v>30756.770249999998</v>
      </c>
    </row>
    <row r="15" spans="1:10">
      <c r="F15" t="s">
        <v>291</v>
      </c>
    </row>
    <row r="20" spans="1:6">
      <c r="A20" s="41" t="s">
        <v>275</v>
      </c>
      <c r="B20" t="s">
        <v>276</v>
      </c>
      <c r="C20" t="s">
        <v>277</v>
      </c>
      <c r="D20" t="s">
        <v>278</v>
      </c>
      <c r="E20" t="s">
        <v>279</v>
      </c>
      <c r="F20" t="s">
        <v>280</v>
      </c>
    </row>
    <row r="21" spans="1:6">
      <c r="A21" s="42" t="s">
        <v>292</v>
      </c>
      <c r="B21" s="53">
        <v>33404.710000000006</v>
      </c>
      <c r="C21" s="53">
        <v>12117.3</v>
      </c>
      <c r="D21" s="53">
        <v>12117.3</v>
      </c>
      <c r="F21">
        <v>8847.58</v>
      </c>
    </row>
    <row r="22" spans="1:6">
      <c r="A22" s="42" t="s">
        <v>293</v>
      </c>
      <c r="B22" s="53">
        <v>52617.31</v>
      </c>
      <c r="C22" s="53">
        <v>18639.470249999998</v>
      </c>
      <c r="D22" s="53">
        <v>18639.470249999998</v>
      </c>
      <c r="F22">
        <v>14024.416200000001</v>
      </c>
    </row>
    <row r="23" spans="1:6">
      <c r="A23" s="42" t="s">
        <v>284</v>
      </c>
      <c r="B23" s="53">
        <v>86022.02</v>
      </c>
      <c r="C23" s="53">
        <v>30756.770249999998</v>
      </c>
      <c r="D23" s="53">
        <v>30756.770249999998</v>
      </c>
      <c r="F23">
        <v>22871.996200000001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8ABE3-E00B-4904-860D-55908E75C8E9}">
  <dimension ref="A1:G4"/>
  <sheetViews>
    <sheetView workbookViewId="0">
      <selection activeCell="C8" sqref="C8"/>
    </sheetView>
  </sheetViews>
  <sheetFormatPr defaultColWidth="11.42578125" defaultRowHeight="15"/>
  <cols>
    <col min="2" max="2" width="13.7109375" customWidth="1"/>
    <col min="3" max="3" width="15" customWidth="1"/>
    <col min="4" max="4" width="23.85546875" customWidth="1"/>
    <col min="5" max="6" width="17.5703125" customWidth="1"/>
  </cols>
  <sheetData>
    <row r="1" spans="1:7">
      <c r="A1" t="s">
        <v>294</v>
      </c>
    </row>
    <row r="2" spans="1:7">
      <c r="A2" t="s">
        <v>295</v>
      </c>
    </row>
    <row r="4" spans="1:7" ht="30">
      <c r="A4" s="38" t="s">
        <v>296</v>
      </c>
      <c r="B4" s="38" t="s">
        <v>297</v>
      </c>
      <c r="C4" s="39" t="s">
        <v>81</v>
      </c>
      <c r="D4" s="39" t="s">
        <v>298</v>
      </c>
      <c r="E4" s="39" t="s">
        <v>85</v>
      </c>
      <c r="F4" s="40" t="s">
        <v>299</v>
      </c>
      <c r="G4" s="39" t="s">
        <v>300</v>
      </c>
    </row>
  </sheetData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2E818-45AE-47F3-9C6B-DA3C22D27C40}">
  <dimension ref="A1:L9"/>
  <sheetViews>
    <sheetView workbookViewId="0">
      <selection activeCell="B7" sqref="B7"/>
    </sheetView>
  </sheetViews>
  <sheetFormatPr defaultColWidth="11.42578125" defaultRowHeight="15"/>
  <cols>
    <col min="1" max="1" width="24.5703125" customWidth="1"/>
    <col min="2" max="2" width="24.85546875" customWidth="1"/>
  </cols>
  <sheetData>
    <row r="1" spans="1:12">
      <c r="A1" s="7" t="s">
        <v>301</v>
      </c>
      <c r="L1" s="19"/>
    </row>
    <row r="3" spans="1:12">
      <c r="B3" s="11" t="s">
        <v>302</v>
      </c>
    </row>
    <row r="4" spans="1:12">
      <c r="A4" s="13" t="s">
        <v>303</v>
      </c>
      <c r="B4" s="12">
        <f>+SUM('Modelo Datos'!I:I)</f>
        <v>86022.02</v>
      </c>
    </row>
    <row r="5" spans="1:12">
      <c r="A5" s="13" t="s">
        <v>304</v>
      </c>
      <c r="B5" s="12">
        <f>+SUM('Modelo Datos'!J:J)</f>
        <v>30756.770249999998</v>
      </c>
    </row>
    <row r="6" spans="1:12">
      <c r="A6" s="13" t="s">
        <v>305</v>
      </c>
      <c r="B6" s="12">
        <f>+SUM('Modelo Datos'!K:K)</f>
        <v>30756.770249999998</v>
      </c>
    </row>
    <row r="7" spans="1:12">
      <c r="A7" s="13" t="s">
        <v>306</v>
      </c>
      <c r="B7" s="12">
        <f>+SUM('Modelo Datos'!P:R)</f>
        <v>22871.996200000001</v>
      </c>
    </row>
    <row r="9" spans="1:12">
      <c r="A9" s="14" t="s">
        <v>307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A1538-2B0F-48F2-BC15-48492FA8D2DF}">
  <dimension ref="A1:J29"/>
  <sheetViews>
    <sheetView workbookViewId="0">
      <selection activeCell="H8" sqref="H8"/>
    </sheetView>
  </sheetViews>
  <sheetFormatPr defaultColWidth="8.85546875" defaultRowHeight="15"/>
  <cols>
    <col min="3" max="3" width="17.140625" customWidth="1"/>
    <col min="4" max="4" width="24.7109375" customWidth="1"/>
    <col min="5" max="5" width="17" customWidth="1"/>
    <col min="6" max="6" width="16.7109375" customWidth="1"/>
    <col min="7" max="7" width="17.42578125" customWidth="1"/>
    <col min="8" max="8" width="14.7109375" customWidth="1"/>
    <col min="9" max="9" width="16" customWidth="1"/>
  </cols>
  <sheetData>
    <row r="1" spans="1:10">
      <c r="A1" t="s">
        <v>308</v>
      </c>
      <c r="B1" t="s">
        <v>309</v>
      </c>
      <c r="C1" s="46" t="s">
        <v>28</v>
      </c>
      <c r="D1" t="s">
        <v>310</v>
      </c>
      <c r="E1" t="s">
        <v>311</v>
      </c>
      <c r="F1" t="s">
        <v>312</v>
      </c>
      <c r="G1" t="s">
        <v>313</v>
      </c>
      <c r="H1" t="s">
        <v>314</v>
      </c>
      <c r="I1" t="s">
        <v>36</v>
      </c>
      <c r="J1" t="s">
        <v>315</v>
      </c>
    </row>
    <row r="2" spans="1:10">
      <c r="A2" t="s">
        <v>94</v>
      </c>
      <c r="B2" t="s">
        <v>282</v>
      </c>
      <c r="C2" s="54">
        <v>45992</v>
      </c>
      <c r="D2" s="17" t="s">
        <v>92</v>
      </c>
      <c r="E2" t="s">
        <v>316</v>
      </c>
      <c r="F2" s="43" t="s">
        <v>104</v>
      </c>
      <c r="G2" s="17"/>
      <c r="I2" s="45">
        <v>-400</v>
      </c>
      <c r="J2" s="45">
        <v>-150</v>
      </c>
    </row>
    <row r="3" spans="1:10">
      <c r="C3" s="54"/>
      <c r="D3" s="17"/>
      <c r="F3" s="43"/>
      <c r="G3" s="17"/>
      <c r="I3" s="45"/>
      <c r="J3" s="45"/>
    </row>
    <row r="4" spans="1:10">
      <c r="C4" s="54"/>
      <c r="D4" s="17"/>
      <c r="F4" s="43"/>
      <c r="G4" s="17"/>
      <c r="I4" s="45"/>
      <c r="J4" s="45"/>
    </row>
    <row r="5" spans="1:10">
      <c r="C5" s="54"/>
      <c r="D5" s="17"/>
      <c r="F5" s="43"/>
      <c r="G5" s="17"/>
      <c r="I5" s="45"/>
      <c r="J5" s="45"/>
    </row>
    <row r="6" spans="1:10">
      <c r="C6" s="54"/>
      <c r="D6" s="17"/>
      <c r="F6" s="43"/>
      <c r="G6" s="17"/>
      <c r="I6" s="45"/>
      <c r="J6" s="45"/>
    </row>
    <row r="7" spans="1:10">
      <c r="C7" s="54"/>
      <c r="D7" s="17"/>
      <c r="F7" s="43"/>
      <c r="G7" s="17"/>
      <c r="I7" s="45"/>
      <c r="J7" s="45"/>
    </row>
    <row r="8" spans="1:10">
      <c r="C8" s="54"/>
      <c r="D8" s="17"/>
      <c r="F8" s="43"/>
      <c r="G8" s="17"/>
      <c r="I8" s="45"/>
      <c r="J8" s="45"/>
    </row>
    <row r="9" spans="1:10">
      <c r="C9" s="54"/>
      <c r="D9" s="17"/>
      <c r="F9" s="43"/>
      <c r="G9" s="17"/>
      <c r="I9" s="45"/>
      <c r="J9" s="45"/>
    </row>
    <row r="10" spans="1:10">
      <c r="C10" s="54"/>
      <c r="D10" s="17"/>
      <c r="F10" s="43"/>
      <c r="G10" s="17"/>
      <c r="I10" s="45"/>
      <c r="J10" s="45"/>
    </row>
    <row r="11" spans="1:10">
      <c r="C11" s="54"/>
      <c r="D11" s="17"/>
      <c r="F11" s="43"/>
      <c r="G11" s="17"/>
      <c r="I11" s="45"/>
      <c r="J11" s="45"/>
    </row>
    <row r="12" spans="1:10">
      <c r="C12" s="54"/>
      <c r="D12" s="17"/>
      <c r="F12" s="43"/>
      <c r="G12" s="17"/>
      <c r="I12" s="45"/>
      <c r="J12" s="45"/>
    </row>
    <row r="13" spans="1:10">
      <c r="C13" s="54"/>
      <c r="D13" s="17"/>
      <c r="F13" s="43"/>
      <c r="G13" s="17"/>
      <c r="I13" s="45"/>
      <c r="J13" s="45"/>
    </row>
    <row r="14" spans="1:10">
      <c r="C14" s="54"/>
      <c r="D14" s="17"/>
      <c r="F14" s="43"/>
      <c r="G14" s="17"/>
      <c r="I14" s="45"/>
      <c r="J14" s="45"/>
    </row>
    <row r="15" spans="1:10">
      <c r="C15" s="54"/>
      <c r="D15" s="17"/>
      <c r="F15" s="43"/>
      <c r="G15" s="17"/>
      <c r="I15" s="45"/>
      <c r="J15" s="45"/>
    </row>
    <row r="16" spans="1:10">
      <c r="C16" s="54"/>
      <c r="D16" s="17"/>
      <c r="F16" s="43"/>
      <c r="G16" s="17"/>
      <c r="I16" s="45"/>
      <c r="J16" s="45"/>
    </row>
    <row r="17" spans="3:10">
      <c r="C17" s="54"/>
      <c r="D17" s="17"/>
      <c r="F17" s="43"/>
      <c r="G17" s="17"/>
      <c r="I17" s="45"/>
      <c r="J17" s="45"/>
    </row>
    <row r="18" spans="3:10">
      <c r="C18" s="54"/>
      <c r="D18" s="17"/>
      <c r="F18" s="43"/>
      <c r="G18" s="17"/>
      <c r="I18" s="45"/>
      <c r="J18" s="45"/>
    </row>
    <row r="19" spans="3:10">
      <c r="C19" s="54"/>
      <c r="D19" s="17"/>
      <c r="F19" s="43"/>
      <c r="G19" s="17"/>
      <c r="I19" s="45"/>
      <c r="J19" s="45"/>
    </row>
    <row r="20" spans="3:10">
      <c r="C20" s="54"/>
      <c r="D20" s="17"/>
      <c r="F20" s="43"/>
      <c r="G20" s="17"/>
      <c r="I20" s="45"/>
      <c r="J20" s="45"/>
    </row>
    <row r="21" spans="3:10">
      <c r="C21" s="54"/>
      <c r="D21" s="17"/>
      <c r="F21" s="43"/>
      <c r="G21" s="17"/>
      <c r="I21" s="45"/>
      <c r="J21" s="45"/>
    </row>
    <row r="22" spans="3:10">
      <c r="C22" s="54"/>
      <c r="D22" s="17"/>
      <c r="F22" s="43"/>
      <c r="G22" s="17"/>
      <c r="I22" s="45"/>
      <c r="J22" s="45"/>
    </row>
    <row r="23" spans="3:10">
      <c r="C23" s="54"/>
      <c r="D23" s="17"/>
      <c r="F23" s="43"/>
      <c r="G23" s="17"/>
      <c r="I23" s="45"/>
      <c r="J23" s="45"/>
    </row>
    <row r="24" spans="3:10">
      <c r="C24" s="54"/>
      <c r="D24" s="17"/>
      <c r="F24" s="43"/>
      <c r="G24" s="17"/>
      <c r="I24" s="45"/>
      <c r="J24" s="45"/>
    </row>
    <row r="25" spans="3:10">
      <c r="C25" s="54"/>
      <c r="D25" s="17"/>
      <c r="F25" s="43"/>
      <c r="G25" s="17"/>
      <c r="I25" s="45"/>
      <c r="J25" s="45"/>
    </row>
    <row r="26" spans="3:10">
      <c r="C26" s="54"/>
      <c r="D26" s="17"/>
      <c r="F26" s="43"/>
      <c r="G26" s="17"/>
      <c r="I26" s="45"/>
      <c r="J26" s="45"/>
    </row>
    <row r="27" spans="3:10">
      <c r="C27" s="54"/>
      <c r="D27" s="17"/>
      <c r="F27" s="43"/>
      <c r="G27" s="17"/>
      <c r="I27" s="45"/>
      <c r="J27" s="45"/>
    </row>
    <row r="28" spans="3:10">
      <c r="C28" s="54"/>
      <c r="D28" s="17"/>
      <c r="F28" s="43"/>
      <c r="G28" s="17"/>
      <c r="I28" s="45"/>
      <c r="J28" s="45"/>
    </row>
    <row r="29" spans="3:10">
      <c r="C29" s="54"/>
      <c r="D29" s="17"/>
      <c r="F29" s="43"/>
      <c r="I29" s="45"/>
      <c r="J29" s="4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6700608-87c1-4b7c-937f-b2582eea695b">
      <Terms xmlns="http://schemas.microsoft.com/office/infopath/2007/PartnerControls"/>
    </lcf76f155ced4ddcb4097134ff3c332f>
    <TaxCatchAll xmlns="5c680a88-8913-4f49-a90f-96ec542e1a5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26B37DCBE27DF4DB781863BFA31B7FA" ma:contentTypeVersion="15" ma:contentTypeDescription="Crear nuevo documento." ma:contentTypeScope="" ma:versionID="8b1e17a0c43590e3d02493390183cc09">
  <xsd:schema xmlns:xsd="http://www.w3.org/2001/XMLSchema" xmlns:xs="http://www.w3.org/2001/XMLSchema" xmlns:p="http://schemas.microsoft.com/office/2006/metadata/properties" xmlns:ns2="76700608-87c1-4b7c-937f-b2582eea695b" xmlns:ns3="5c680a88-8913-4f49-a90f-96ec542e1a5b" targetNamespace="http://schemas.microsoft.com/office/2006/metadata/properties" ma:root="true" ma:fieldsID="c17193f3b2a04f9c5f279af6740b60ff" ns2:_="" ns3:_="">
    <xsd:import namespace="76700608-87c1-4b7c-937f-b2582eea695b"/>
    <xsd:import namespace="5c680a88-8913-4f49-a90f-96ec542e1a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700608-87c1-4b7c-937f-b2582eea69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eb73700a-25db-440e-ab5b-64ac94edaa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680a88-8913-4f49-a90f-96ec542e1a5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7ef0e86f-0b03-4b53-85e7-a94709699488}" ma:internalName="TaxCatchAll" ma:showField="CatchAllData" ma:web="5c680a88-8913-4f49-a90f-96ec542e1a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D59B25-0BE4-4092-A380-FE4CC87DD9DC}"/>
</file>

<file path=customXml/itemProps2.xml><?xml version="1.0" encoding="utf-8"?>
<ds:datastoreItem xmlns:ds="http://schemas.openxmlformats.org/officeDocument/2006/customXml" ds:itemID="{96176692-8AF5-4940-BBB4-9C31E3B27D68}"/>
</file>

<file path=customXml/itemProps3.xml><?xml version="1.0" encoding="utf-8"?>
<ds:datastoreItem xmlns:ds="http://schemas.openxmlformats.org/officeDocument/2006/customXml" ds:itemID="{FE3283E5-3A07-49D6-A69A-14E2C452FE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Pere Torres</dc:creator>
  <cp:keywords/>
  <dc:description/>
  <cp:lastModifiedBy>Pere Torres</cp:lastModifiedBy>
  <cp:revision/>
  <dcterms:created xsi:type="dcterms:W3CDTF">2025-06-26T11:08:49Z</dcterms:created>
  <dcterms:modified xsi:type="dcterms:W3CDTF">2026-03-10T15:29:41Z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0x010100526B37DCBE27DF4DB781863BFA31B7FA</vt:lpwstr>
  </property>
  <property fmtid="{D5CDD505-2E9C-101B-9397-08002B2CF9AE}" pid="3" name="MediaServiceImageTags">
    <vt:lpwstr/>
  </property>
</Properties>
</file>